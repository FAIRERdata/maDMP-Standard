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harlesd\Downloads\"/>
    </mc:Choice>
  </mc:AlternateContent>
  <xr:revisionPtr revIDLastSave="0" documentId="8_{58BACE0C-BDAA-431E-AB69-54CEDCA59787}" xr6:coauthVersionLast="47" xr6:coauthVersionMax="47" xr10:uidLastSave="{00000000-0000-0000-0000-000000000000}"/>
  <bookViews>
    <workbookView xWindow="-120" yWindow="-120" windowWidth="20730" windowHeight="11040" tabRatio="696" xr2:uid="{00000000-000D-0000-FFFF-FFFF00000000}"/>
  </bookViews>
  <sheets>
    <sheet name="GC maDMP Master Sheet" sheetId="2" r:id="rId1"/>
    <sheet name="Changes made to Orange Tab" sheetId="17" state="hidden" r:id="rId2"/>
    <sheet name="Currency codes" sheetId="22" state="hidden" r:id="rId3"/>
    <sheet name="UNESCO endangered languages" sheetId="28" state="hidden" r:id="rId4"/>
    <sheet name="2. Approvals" sheetId="31" state="hidden" r:id="rId5"/>
    <sheet name="4. People" sheetId="33" state="hidden" r:id="rId6"/>
    <sheet name="5a. Resources" sheetId="34" state="hidden" r:id="rId7"/>
    <sheet name="5b. Computing Environment" sheetId="35" state="hidden" r:id="rId8"/>
    <sheet name="6a. Funding" sheetId="36" state="hidden" r:id="rId9"/>
    <sheet name="6b. Costs" sheetId="37" state="hidden" r:id="rId10"/>
    <sheet name="7a. LegalEthical" sheetId="38" state="hidden" r:id="rId11"/>
    <sheet name="7b. Indigenous" sheetId="39" state="hidden" r:id="rId12"/>
    <sheet name="7c. SecurityPrivacy" sheetId="40" state="hidden" r:id="rId13"/>
    <sheet name="7d. Intellectual Property" sheetId="41" state="hidden" r:id="rId14"/>
    <sheet name="7e. License" sheetId="42" state="hidden" r:id="rId15"/>
    <sheet name="8. Metadata Standards" sheetId="43" state="hidden" r:id="rId16"/>
    <sheet name="9. Dataset" sheetId="44" state="hidden" r:id="rId17"/>
    <sheet name="10. Distributions" sheetId="45" state="hidden" r:id="rId18"/>
    <sheet name="11. Hosts" sheetId="46" state="hidden" r:id="rId19"/>
    <sheet name="12. Dispositions" sheetId="47" state="hidden" r:id="rId20"/>
    <sheet name="GC additions" sheetId="52" state="hidden" r:id="rId21"/>
  </sheets>
  <definedNames>
    <definedName name="_xlnm._FilterDatabase" localSheetId="2" hidden="1">'Currency codes'!$A$1:$D$180</definedName>
    <definedName name="_xlnm._FilterDatabase" localSheetId="0" hidden="1">'GC maDMP Master Sheet'!$C$1:$C$476</definedName>
    <definedName name="_xlnm._FilterDatabase" localSheetId="3" hidden="1">'UNESCO endangered languages'!$A$2:$Z$2726</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47" l="1"/>
  <c r="A2" i="46"/>
  <c r="A2" i="45"/>
  <c r="A2" i="44"/>
  <c r="A2" i="43"/>
  <c r="A2" i="42"/>
  <c r="A2" i="41"/>
  <c r="A2" i="40"/>
  <c r="A2" i="39"/>
  <c r="A2" i="38"/>
  <c r="A2" i="37"/>
  <c r="A2" i="36"/>
  <c r="A2" i="35"/>
  <c r="A2" i="34"/>
  <c r="A2" i="33"/>
  <c r="A2"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tc={9115e741-f797-4330-9cad-bd6e3c6ddca0}</author>
    <author>tc={e8bc3f6f-e4cd-46cf-b47a-02908e8dd744}</author>
    <author>tc={c92e1741-8ce1-4f26-877f-9d7f9cefde8c}</author>
    <author>tc={379db1fd-8819-4d82-ae23-755f4885708d}</author>
    <author>tc={f5a6a15c-9bea-44c0-8217-12daeb022fc6}</author>
    <author>tc={85ec69b5-80b7-432b-ba49-5e431c9ea10c}</author>
    <author>tc={7f3bb7ef-b799-4a87-b813-fb6d6783ce77}</author>
    <author>tc={bb7233ca-5bef-4996-8985-c44850b853c7}</author>
    <author>tc={8ee2aad0-012e-4ac6-b6bc-757a0bb27cfe}</author>
    <author>tc={c669a080-7a42-453a-8977-2c6db8c3ed96}</author>
    <author>tc={79efa12d-9dea-4f94-9911-eeb644887a1a}</author>
    <author>tc={fe520a1a-a428-46f2-80d5-3d47248d9efd}</author>
    <author>tc={491cd1e1-4f29-45b4-a92d-b7267248e45a}</author>
    <author>tc={739705ec-2191-488a-a7d1-da5af0cf3484}</author>
    <author>tc={3cd0168e-5a3b-437e-811a-b2e54615c2ac}</author>
    <author>tc={863a7218-41a2-4f9b-98fb-77633eeca652}</author>
    <author>tc={7f23ae74-e999-463a-a0c0-f84563c0fcbd}</author>
    <author>tc={9a470329-3249-4c24-b234-1fa3cf78676a}</author>
    <author>tc={70d5fd13-96d6-4808-b273-e066e141ae41}</author>
    <author>tc={1dc2d822-bbf9-453b-8ff0-84c275de9f38}</author>
    <author>tc={6459f6d1-1a2c-415b-ae85-2088153603da}</author>
    <author>tc={128eb0b7-5614-4901-94dd-ed6368b6daa0}</author>
    <author>tc={9e8aba73-203c-433b-abf2-29af67a3248a}</author>
    <author>tc={898396fc-49f8-4108-b561-91c5b0bd7902}</author>
    <author>tc={22c751e1-75f4-4ba8-99c8-7f5a6fa1cca2}</author>
    <author>tc={0372f3c0-4d18-47f2-9a9c-12769fedbcf9}</author>
    <author>tc={7ee6ed45-59bf-4346-b060-bce849cc3d72}</author>
    <author>tc={bc2dd955-9746-416f-ae16-2555364d8dba}</author>
    <author>tc={860d875c-9c9d-4d3a-99e4-043f8c94a2a9}</author>
    <author>tc={03b8b45f-24be-4ba2-8a5e-af91576021d9}</author>
    <author>tc={40373a2e-5ea2-4098-b0e8-dc0ae7f02772}</author>
    <author>tc={4bb64bb8-d933-4e2e-ace8-cfd916a30b4f}</author>
    <author>tc={599561c0-1531-47bd-a284-46a1140d6b6c}</author>
    <author>tc={d7bc23a8-412b-4638-b27c-1d95dded2225}</author>
    <author>tc={848cae33-c023-4f82-8cfa-e5fa7dadd487}</author>
    <author>tc={43738f26-6098-4bcd-8a5c-6da6352416f8}</author>
    <author>tc={cc0351ae-24fd-43f5-8686-4ed199a1461e}</author>
    <author>tc={a1504e34-d8df-4817-aa2b-f5f8071e696b}</author>
    <author>tc={976e1bff-f126-4172-a214-7c3a3e07b749}</author>
    <author>tc={8caec570-3a05-44cb-b556-0aa09000d406}</author>
    <author>tc={711bbb10-67ed-4b65-bf03-be0568f36947}</author>
    <author>tc={944f4cfa-1377-4fe0-bab6-005fbd1a7238}</author>
    <author>tc={84037722-2f89-4f16-8a82-04b64f4da219}</author>
    <author>tc={c9ad82c8-0b91-4ff3-9786-d6857404467c}</author>
    <author>tc={af21b070-ed60-4f16-87b1-4c4a484b4381}</author>
    <author>tc={c937beeb-0621-47f4-85cf-d3e70940fdba}</author>
    <author>tc={4aef7191-1ec4-4faf-8c1c-07d14348869b}</author>
    <author>tc={330853ee-a802-4539-871b-9c909af4c64f}</author>
    <author>tc={1a3bbca9-4c17-41cd-97bd-22dd8934ed8a}</author>
    <author>tc={f1f08069-0c99-480e-a082-ce4ad0b46b96}</author>
    <author>tc={30a3e787-bf67-4599-bab4-37435b158b3b}</author>
    <author>tc={0bcb58d9-5eed-4c2b-a338-d29570716ce1}</author>
    <author>tc={c26d49ed-4787-47dc-9862-7a96578152ac}</author>
    <author>tc={06a50255-0f33-44df-90a5-b36335417db7}</author>
    <author>tc={9e995e67-0ebd-43fd-9363-2d9e1a47ae51}</author>
    <author>tc={d2922080-29d0-44dc-8075-d4e1cf845562}</author>
    <author>tc={1f396613-554f-42c6-b667-93344ca49450}</author>
    <author>tc={f1d59c76-cd3f-4c20-9be3-0af1ebcfe661}</author>
    <author>tc={84b68677-82b2-4023-b2fe-c0428f97371c}</author>
    <author>tc={9679d9dd-ed6e-4180-8ce7-9dcd5a45b026}</author>
    <author>tc={d5b17a6b-6e19-4cae-84f6-af89fad3c49f}</author>
    <author>tc={6443dd5e-2e8a-48a2-b462-2a4138fb407d}</author>
    <author>tc={bbcc996f-5a84-4809-908d-5cffeba14710}</author>
    <author>tc={e3becbd5-190d-4892-922c-3d3e0955294b}</author>
    <author>tc={3e1bdf99-4ef8-4bf6-a2d3-cc000107ce21}</author>
    <author>tc={33cdd946-c7c9-48a3-8b42-d008ef2ef746}</author>
    <author>tc={c8366afe-46fa-4d58-982f-210e7ac4209c}</author>
    <author>tc={91e6c659-ab4a-490a-9b2c-2f9fb46174b4}</author>
    <author>tc={448fe7d4-e382-4883-88c1-44ccaaf7f32a}</author>
    <author>tc={93db122f-014e-415f-9c64-31b2152c51fe}</author>
    <author>tc={71733a01-6ebe-40fe-9c3a-20d519f958fe}</author>
    <author>tc={b8eb2871-6c1b-4137-9a70-6d48309c2d7f}</author>
    <author>tc={85229c49-ddea-422b-8f01-e7561ab51065}</author>
    <author>tc={5b54b826-d8a8-486b-a459-a46edd4bc598}</author>
    <author>tc={ceb86760-fe83-4b79-8931-2c7d0173d639}</author>
    <author>tc={caedf182-4ea5-414a-8b60-c2f631677464}</author>
    <author>tc={060930e6-89b5-4d70-bde9-44c926955877}</author>
    <author>tc={838100fc-9e48-4614-b809-17aae4740643}</author>
    <author>tc={d03906e3-8573-495c-b88b-fc358215ef24}</author>
    <author>tc={11e8f2a3-1e01-4826-92be-f55089f85f7f}</author>
    <author>tc={d551fc1d-1e31-4fe3-b509-4c0c9bd0fbc3}</author>
    <author>tc={92d9e43e-419e-461a-ada3-2ff9c6d1e420}</author>
    <author>tc={b9a61993-297c-46c5-899c-c47a5c218e34}</author>
    <author>tc={b646ec55-a9ce-4cbf-a6e4-78106e0d34c9}</author>
    <author>tc={e4c0b343-0185-4031-a907-4a90c1fd5543}</author>
    <author>tc={5a1ce6a0-8c4c-4097-8b75-dc25b5d30deb}</author>
    <author>tc={6116aa17-2ab4-4e42-9b73-72775131e652}</author>
    <author>tc={06f65452-9f5f-45f6-bea0-a2002438b4b6}</author>
    <author>tc={0c64abd3-752c-4f98-ac67-b8964c9c2f79}</author>
    <author>tc={c3731b21-d4b7-4805-b272-34dc886f2ee6}</author>
    <author>tc={72786b53-0ab5-499f-9fee-4484df6faf33}</author>
    <author>tc={c4a9cb37-0b74-47ca-9dc3-303e9782b730}</author>
    <author>tc={d0c742e0-7164-418d-afc6-aa118791c43a}</author>
    <author>tc={d97a79a8-387c-4710-a26a-4832e72fbbda}</author>
    <author>tc={af6bf7cf-3ffc-470c-85ef-1a3065fb98b9}</author>
    <author>tc={6aa115cf-f2ab-4769-b530-aaeeefc80877}</author>
    <author>tc={582302ae-b3ee-45fc-b234-4e77123d5e15}</author>
    <author>tc={db9f6f4f-f5db-4c26-a0d3-c74418a381d6}</author>
    <author>tc={4c366dfd-293f-4b1b-9256-84a6d0756b67}</author>
    <author>tc={26350223-b10c-42f2-9779-39af35481d50}</author>
    <author>tc={7dea0a21-fc07-49bf-b605-bc52c82381b4}</author>
    <author>tc={b9f90d00-328b-463b-8ae2-74eac1cfab0a}</author>
    <author>tc={1d943059-6b58-4d77-bc64-6422a69a7ff1}</author>
    <author>tc={c2546b1d-909c-4af5-b9da-2b51d08aa04d}</author>
    <author>tc={15bb861b-a0fb-48e4-a288-65e0328fcf30}</author>
    <author>tc={3f063413-0272-4821-a998-0f67f9bd345a}</author>
    <author>tc={0042f209-3007-4376-80f6-25932c799c73}</author>
    <author>tc={371dcabb-c36e-4098-86af-3fb855d5d9be}</author>
    <author>tc={f1eea105-1817-411a-bc3f-faac08f03d68}</author>
    <author>tc={285e0e8c-a70b-4297-a11a-0c68df19a21c}</author>
    <author>tc={81171bd4-1771-4eff-bbea-638d9b9bbc40}</author>
    <author>tc={f85dc87e-3f28-491a-b57d-9841d3b86c94}</author>
    <author>tc={35402623-6ce9-4e93-8137-5b8c6df050a0}</author>
    <author>tc={3cc9f130-4070-4d31-93ab-089a362ae954}</author>
    <author>tc={9bf42476-3a77-45ce-aeca-b40ab5267fff}</author>
    <author>tc={cac42cab-944b-499d-baff-0fcb0b9fbe57}</author>
    <author>tc={24eb7512-752b-44ad-9907-208087548e44}</author>
    <author>tc={01ea2afc-fc12-46c8-b9a3-1d621e055926}</author>
    <author>tc={78976d50-e707-44e1-9a1b-a636fc9a005a}</author>
    <author>tc={43f511ff-7c3b-4bc4-b407-d8a03d15e3b0}</author>
    <author>tc={ce620e7f-8009-4979-b9d1-22c20bad4adf}</author>
    <author>tc={02b73152-54cd-4313-b309-7aba22ece7e1}</author>
    <author>tc={4a023bdb-74ae-407c-9393-8567ca538edd}</author>
    <author>tc={0ed0d8c4-d7f2-47aa-b3e7-92278ef4aee0}</author>
    <author>tc={c3b9e502-11f1-48a9-bd5f-d42f48d9d7b9}</author>
    <author>tc={4b9f3ef6-f6d3-4945-be07-cddb68731237}</author>
    <author>tc={efaad7ea-d4fe-4367-aae1-e116f6277d29}</author>
    <author>tc={5f72ff28-be73-43c8-97de-1b917feb7cb3}</author>
    <author>tc={b7607237-4a42-43f6-9bf0-4ae1bfcd8132}</author>
    <author>tc={561a474f-9f7c-45b6-bba8-a47bbd64ad24}</author>
    <author>tc={7e268f9d-04f3-4db7-bb90-5a7e65f52a86}</author>
    <author>tc={a3c80092-f428-4c36-bf2d-6b5cf9d11fbc}</author>
    <author>tc={d6a46ee3-e927-4b3b-a35e-ee3c2293364e}</author>
    <author>tc={9f05fbad-d667-483a-85a5-966a88ec6b8a}</author>
    <author>tc={96d0ced1-3d8e-41d2-a278-b553cbf67cc5}</author>
    <author>tc={02ed56fd-1699-4976-85e4-461f6f8fb644}</author>
    <author>tc={6722dee9-9c46-4485-905b-01626f754bbe}</author>
    <author>tc={2a8bfdc6-aa6b-4483-bb08-b0f6db0e5eff}</author>
    <author>tc={1fd54d53-e157-4c87-81a9-fa62c040e16d}</author>
    <author>tc={1c410955-1c30-4674-b74b-55cf6c0a1387}</author>
    <author>tc={7efd637a-a32f-449a-8f41-f1cea86634fd}</author>
    <author>tc={41d27397-9c6c-4110-bf2c-9bd1f69e9610}</author>
    <author>tc={2d7d5d60-0972-41bd-8634-6a6853e35c37}</author>
    <author>tc={a9539f9b-adc8-49ab-9f73-b8568cfce849}</author>
    <author>tc={2716fc0f-d7ae-4699-bfd9-4b834d9350a3}</author>
    <author>tc={6a05b2cb-69df-4743-8356-0a2dd63af650}</author>
    <author>tc={20ca27c7-f650-4100-9f4c-05baf685b912}</author>
    <author>tc={a63e11a8-2d7a-493b-ae03-9c34eec09cf9}</author>
    <author>tc={e210e6eb-3dbb-44ba-8ca7-4b3b31b77216}</author>
    <author>tc={779954c0-8088-486f-9257-268295640fcc}</author>
    <author>tc={7e2b42f7-f79d-45ed-bde3-72b7fa2f3410}</author>
    <author>tc={7da48fca-e271-4b73-880e-3bf83627a985}</author>
    <author>tc={354e235d-2140-4619-a5db-40a1a6967d63}</author>
    <author>tc={1934b7b1-0c1f-4239-949f-a3ac757aa354}</author>
    <author>tc={9e2d123e-134e-4e17-988f-d1c7c15e0fb3}</author>
    <author>tc={b86435cb-1926-4de7-b2ab-0c5d1d668d2c}</author>
    <author>tc={2b36b748-b0f4-4fd0-a83d-fd87445c948e}</author>
    <author>tc={05870ef6-3559-4dbd-88d5-b2dec0176eaf}</author>
    <author>tc={0a825de5-709e-4f2b-b585-bdf7a478155d}</author>
    <author>tc={2ee5dc37-a554-4acc-bf4e-a898625020f7}</author>
    <author>tc={4b6483d0-1485-4a08-afdd-3498e76b87c4}</author>
    <author>tc={ee5942a3-b549-4d7b-9c65-d3c31d666bc5}</author>
    <author>tc={885c936a-597e-4bed-b0cb-27bc36cb40af}</author>
    <author>tc={3af647b8-1121-456d-b0d7-2951a5fbeb16}</author>
    <author>tc={4f86c3dd-8f85-43c8-b7b3-8eb83afbe4eb}</author>
    <author>tc={4bac4f67-e839-40f5-8387-4f24e48f9f92}</author>
    <author>tc={dd5f0eaf-ea09-4cd7-be6b-6e2a651e7fe1}</author>
    <author>tc={b796f2ef-ff60-4920-942f-6c0616fd5968}</author>
    <author>tc={393d8f5e-478f-4026-80b4-8f7482083060}</author>
    <author>tc={ff4d54a4-0bfc-48f1-ae20-14ccc8dc4893}</author>
    <author>tc={63a68783-aba0-4398-9bac-859cd7977d82}</author>
    <author>tc={0f7ba254-ce8c-4806-b5e3-a7952e74303b}</author>
    <author>tc={0aa9380a-05c7-407b-9aa4-46f33dd0a366}</author>
    <author>tc={c304bbe5-5956-4257-a1b9-b411914aeb3a}</author>
    <author>tc={9128bc73-4877-41c8-b70f-6a587648cc3d}</author>
    <author>tc={7e94286f-25fb-4869-a7ec-94316d402b9a}</author>
    <author>tc={1c230bf3-0774-489d-b1e8-ee92ca455b7b}</author>
    <author>tc={47ab6c50-06cf-4ede-861b-50f1190ed5ce}</author>
    <author>tc={c3bdbbf3-b074-41ce-b8e7-751e23277bc8}</author>
    <author>tc={7dea6b6c-a962-4add-8fba-0dace57e4c1a}</author>
    <author>tc={d5825959-aa90-4012-8df0-c7654d819b2e}</author>
    <author>tc={a8b5260e-3da9-4bf1-b93e-f2bf260a02bf}</author>
    <author>tc={456c0691-0bdd-4bb2-902e-f310485627f2}</author>
    <author>tc={250f94ef-94d6-4b3e-8c61-f52b655819aa}</author>
    <author>tc={6970251b-f77f-4d19-b1a2-72799e63ab53}</author>
    <author>tc={961ce6e8-194f-4eaa-925c-be4a5fe49adf}</author>
    <author>tc={ceda5d6c-48cd-4f0c-a732-95b2975c400e}</author>
    <author>tc={1b5467da-885a-46d6-be8b-e115785f005f}</author>
    <author>tc={bbf8b2f3-7795-497c-8500-fb66a6298745}</author>
    <author>tc={fe79154b-92d0-49e6-9bcd-abe28e3a8192}</author>
    <author>tc={858fe471-3199-463a-a6e3-703d0678c34a}</author>
    <author>tc={bf8b7b7d-fa33-419a-b148-4942820249fb}</author>
    <author>tc={4ae08d5a-dff7-4070-804a-e5b52cedfa29}</author>
    <author>tc={579b085a-3a6b-4d11-a467-ec79fa1a3949}</author>
    <author>tc={c73610ad-f127-4736-a8f9-23a5baf48f50}</author>
  </authors>
  <commentList>
    <comment ref="B1" authorId="0" shapeId="0" xr:uid="{9115E741-F797-4330-9CAD-BD6E3C6DDCA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has to be similar to string after last "/" in common standard field name or the last 2 strings concatenated with "_" between them
Réponse :
    MANDATORY RULE FOR NESTED STRUCTURE</t>
      </text>
    </comment>
    <comment ref="H1" authorId="1" shapeId="0" xr:uid="{E8BC3F6F-E4CD-46CF-B47A-02908E8DD74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Use the Property ID not the path</t>
      </text>
    </comment>
    <comment ref="I1" authorId="2" shapeId="0" xr:uid="{C92E1741-8CE1-4F26-877F-9D7F9CEFDE8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thanks to those commenting. I'd like to suggest that we endeavor at all costs to keep explanations of the terms/definitions/user text as minimal/simple as possible to support the user friendliness of the DMP tools we develop
Réponse :
    Agreed.</t>
      </text>
    </comment>
    <comment ref="I2" authorId="3" shapeId="0" xr:uid="{379DB1FD-8819-4D82-AE23-755F4885708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Need to more clearly define what is meant by "access".
Réponse :
    Suggest revise front-end user question to: Is this dmp releasable to the general public?
Réponse :
    Changed to: "Who can access the data management plan?"
Réponse :
    OPEN ACCESS: available to anyone based on an open licence (e.g., CC0, CC-BY, Open Government Licence). SHARED ACCESS: Public access with a license that limits use, that is available to anyone under terms and conditions that are not ‘open' (e.g., CC-BY-NC), shared only with named people or organisations, or via authentication for specific groups that meet certain criteria. CLOSED ACCESS: Internal access only. https://theodi.org/insights/tools/the-data-spectrum/ ; https://www.alerc.org.uk/uploads/7/6/3/3/7633190/an_introduction_to_open_shared_and_closed_data.pdf</t>
      </text>
    </comment>
    <comment ref="A9" authorId="4" shapeId="0" xr:uid="{F5A6A15C-9BEA-44C0-8217-12DAEB022FC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Claire: consider syntax of nested items. Why "approval" both before and after the slash? Suggest: remove "approval" after slash
Réponse :
    Yes, I agree.</t>
      </text>
    </comment>
    <comment ref="I11" authorId="5" shapeId="0" xr:uid="{85EC69B5-80B7-432B-BA49-5E431C9EA10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Who approved the project?</t>
      </text>
    </comment>
    <comment ref="K12" authorId="6" shapeId="0" xr:uid="{7F3BB7EF-B799-4A87-B813-FB6D6783CE7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Suggest leave this free-form, only because job titles may be specific to the institution. Each institution could make its own controlled vocabulary.
Réponse :
    Agreed</t>
      </text>
    </comment>
    <comment ref="I13" authorId="7" shapeId="0" xr:uid="{BB7233CA-5BEF-4996-8985-C44850B853C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When was the project approved?</t>
      </text>
    </comment>
    <comment ref="J15" authorId="8" shapeId="0" xr:uid="{8EE2AAD0-012E-4AC6-B6BC-757A0BB27CF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Is "not applicable" the choice to enter when "the DMP is still a draft and has not been yet submitted"?
Réponse :
    @emilywenjia.chu@ec.gc.ca I'll add "not submitted" as one of the controlled vocabulary choices for approval_status</t>
      </text>
    </comment>
    <comment ref="D32" authorId="9" shapeId="0" xr:uid="{C669A080-7A42-453A-8977-2C6DB8C3ED9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Cardinality was missing - someone should quickly double-check this number.
Réponse :
    Right.</t>
      </text>
    </comment>
    <comment ref="A41" authorId="10" shapeId="0" xr:uid="{79EFA12D-9DEA-4F94-9911-EEB644887A1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 believe this fieldname is listed at the wrong level.  In the common standard it falls directly under "contact": dmp/contact/mbox
Réponse :
    Yes, thank you.</t>
      </text>
    </comment>
    <comment ref="A42" authorId="11" shapeId="0" xr:uid="{FE520A1A-A428-46F2-80D5-3D47248D9EF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 believe this fieldname is listed at the wrong level. In the common standard it falls directly under "contact": dmp/contact/name
Réponse :
    Yes, thank you.</t>
      </text>
    </comment>
    <comment ref="A49" authorId="12" shapeId="0" xr:uid="{491CD1E1-4F29-45B4-A92D-B7267248E45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Will email comments/questions about the affiliation content
Réponse :
    I fixed the /identifier and /type (I hope).</t>
      </text>
    </comment>
    <comment ref="E51" authorId="13" shapeId="0" xr:uid="{739705EC-2191-488A-A7D1-DA5AF0CF348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0..1</t>
      </text>
    </comment>
    <comment ref="E55" authorId="14" shapeId="0" xr:uid="{3CD0168E-5A3B-437E-811A-B2E54615C2A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0..1</t>
      </text>
    </comment>
    <comment ref="F56" authorId="15" shapeId="0" xr:uid="{863A7218-41A2-4F9B-98FB-77633EECA65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optional to required WHEN. Changed cardinality to 1 from 0..1
Réponse :
    agreed</t>
      </text>
    </comment>
    <comment ref="A58" authorId="16" shapeId="0" xr:uid="{7F23AE74-E999-463A-A0C0-F84563C0FCB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See tab, Geo location codes.
Réponse :
    Do we need to now switch to complying with the GC Enterprise Data Reference Standard?  https://www.canada.ca/en/government/system/digital-government/digital-government-innovations/enabling-interoperability/gc-enterprise-data-reference-standards/current-past-official-names-countries-territories-geographic-areas.html
Réponse :
    In the new GC reference standard (see CSV file at the bottom of that page) there is correspondence between GC_COUNTRY_ID's and ISO 3166 Alpha-2 which is used by the RDA maDMP standard. However, that csv file, is showing no ISO code for the following 12 countries:
Czechoslovakia
Democratic Republic of Yemen
German Democratic Republic
Midway Islands
Netherlands Antilles
Panama Canal Zone
Serbia and Montenegro
the Republic of Dahomey
Union of Soviet Socialist Republics
Upper Volta
Wake Island
Yugoslavia
From what I can tell, this is because the ISO codes for those (former?) countries have been withdrawn or reassigned, but they still have a GC_COUNTRY_ID. So, what do we do for the maDMP standard now? Since the country fields in the maDMP standard refer to currently existing countries only, not former countries, I recommend that we stay with the ISO standard for the greatest degree of interoperability internationally. It will still be interoperable internally at the GC because systems can use a lookup table from the csv file in the GC reference standard to get the GC_COUNTRY_ID.</t>
      </text>
    </comment>
    <comment ref="E58" authorId="17" shapeId="0" xr:uid="{9A470329-3249-4C24-B234-1FA3CF78676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0..1
Réponse :
    Leave required</t>
      </text>
    </comment>
    <comment ref="F58" authorId="18" shapeId="0" xr:uid="{70D5FD13-96D6-4808-B273-E066E141AE4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as it is under an optional nested structure
Réponse :
    agreed</t>
      </text>
    </comment>
    <comment ref="E59" authorId="19" shapeId="0" xr:uid="{1DC2D822-BBF9-453B-8FF0-84C275DE9F3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0..1
Réponse :
    Leave required</t>
      </text>
    </comment>
    <comment ref="F59" authorId="20" shapeId="0" xr:uid="{6459F6D1-1A2C-415B-AE85-2088153603D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as under a nested structure
Réponse :
    agreed
Marked as resolved</t>
      </text>
    </comment>
    <comment ref="I59" authorId="21" shapeId="0" xr:uid="{128EB0B7-5614-4901-94DD-ED6368B6DAA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What country is the contributor in?</t>
      </text>
    </comment>
    <comment ref="F61" authorId="22" shapeId="0" xr:uid="{9E8ABA73-203C-433B-ABF2-29AF67A3248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Réponse :
    agreed</t>
      </text>
    </comment>
    <comment ref="F62" authorId="23" shapeId="0" xr:uid="{898396FC-49F8-4108-B561-91C5B0BD790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Réponse :
    agreed</t>
      </text>
    </comment>
    <comment ref="I62" authorId="24" shapeId="0" xr:uid="{22C751E1-75F4-4BA8-99C8-7F5A6FA1CCA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What province or state is the contributor working in?</t>
      </text>
    </comment>
    <comment ref="F65" authorId="25" shapeId="0" xr:uid="{0372F3C0-4D18-47F2-9A9C-12769FEDBCF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required because RDA cardinality is 1</t>
      </text>
    </comment>
    <comment ref="F69" authorId="26" shapeId="0" xr:uid="{7EE6ED45-59BF-4346-B060-BCE849CC3D7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required because RDA cardinality is 1</t>
      </text>
    </comment>
    <comment ref="A73" authorId="27" shapeId="0" xr:uid="{BC2DD955-9746-416F-AE16-2555364D8DB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 believe this fieldname is listed at the wrong level. In the common standard it falls directly under "contributor": dmp/contributor/mbox
Réponse :
    Yes, thank you.</t>
      </text>
    </comment>
    <comment ref="A74" authorId="28" shapeId="0" xr:uid="{860D875C-9C9D-4D3A-99E4-043F8C94A2A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 believe this fieldname is listed at the wrong level. In the common standard it falls directly under "contributor": dmp/contributor/name
Réponse :
    Yes, thank you.</t>
      </text>
    </comment>
    <comment ref="F74" authorId="29" shapeId="0" xr:uid="{03B8B45F-24BE-4BA2-8A5E-AF91576021D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required because RDA cardinality is 1</t>
      </text>
    </comment>
    <comment ref="F77" authorId="30" shapeId="0" xr:uid="{40373A2E-5EA2-4098-B0E8-DC0AE7F0277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required since RDA cardinality is 1..n</t>
      </text>
    </comment>
    <comment ref="K77" authorId="31" shapeId="0" xr:uid="{4BB64BB8-D933-4E2E-ACE8-CFD916A30B4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This controlled vocabulary not in RDA standard.</t>
      </text>
    </comment>
    <comment ref="A81" authorId="32" shapeId="0" xr:uid="{599561C0-1531-47BD-A284-46A1140D6B6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This field is currently under review</t>
      </text>
    </comment>
    <comment ref="A82" authorId="33" shapeId="0" xr:uid="{D7BC23A8-412B-4638-B27C-1D95DDED222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This field is currently under review</t>
      </text>
    </comment>
    <comment ref="A83" authorId="34" shapeId="0" xr:uid="{848CAE33-C023-4F82-8CFA-E5FA7DADD48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This field is currently under review</t>
      </text>
    </comment>
    <comment ref="A84" authorId="35" shapeId="0" xr:uid="{43738F26-6098-4BCD-8A5C-6DA6352416F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This field is currently under review</t>
      </text>
    </comment>
    <comment ref="A85" authorId="36" shapeId="0" xr:uid="{CC0351AE-24FD-43F5-8686-4ED199A1461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See tab, Currency codes.</t>
      </text>
    </comment>
    <comment ref="F87" authorId="37" shapeId="0" xr:uid="{A1504E34-D8DF-4817-AA2B-F5F8071E696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from required to required WHEN. Since cost nested structure is optional
Réponse :
    agreed
Marked as resolved</t>
      </text>
    </comment>
    <comment ref="A133" authorId="38" shapeId="0" xr:uid="{976E1BFF-F126-4172-A214-7C3A3E07B74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Property not in the RDA DMP Std.</t>
      </text>
    </comment>
    <comment ref="A135" authorId="39" shapeId="0" xr:uid="{8CAEC570-3A05-44CB-B556-0AA09000D40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What I meant by dataset codebook / Data Product Specification / Read me is not a subset of computing_environment. Suggest instead something to the effect of:
dmp/dataset/interpretation_context
as 0..n string (freetext). 
This could be used to indicate the existence and/or location of relevant codebooks, data dictionaries, data product specifications, or even simply unit of measurement, when not maintained as/with a distribution.
An example of a completed Data Product Specification according to ISO 19131 is available here (for AgClimate data) https://www.agr.gc.ca/atlas/supportdocument_documentdesupport/aafcAgClimate/en/ISO_19131_AgClimate_-_Data_Product_Specification.pdf
Réponse :
    I added a new /dmp/dataset/dataset_documentation/ to hold code_book, data_product_spectification, and data_dictionnary, along with a new blue tab since it is 0..n. However, none of this would be interoperable outside of GC, so I'm wondering if we couldn't simply and instructions to the user manual that these elements should be included in dmp/dataset/metadata/ which is already 0..n. What do you think?
Réponse :
    I like the idea of it being visible externally. I don't see how leveraging the RDA DMP standard's "metadata" element would work, though, unless you can get the RDA DMP standard to change their guidance and the cardinality of 1 for "dmp/dataset/metadata/metadata_standard_id" OR change their guidance and include options for metadata standard ID for ISO compliant Data product specifications, random READ ME files, etc. 
In the standard currently: "Metadata - Provides a pointer to a metadata standard used to describe the data. It does not contain any actual metadata relating to the dataset." I don't think including codebooks/data product specification in this field would work conceptually or practically.
Conceptually: Data product specifications, user guides, etcetera are not metadata standards per se. They are just really crucial stuff ;) -- contextual metadata, or accompanying material, or keys.
Practically: If I were to write something in the dmp/dataset/metadata/description element, then I am required to select a metadata standard id, including identifer and type, which are not applicable. Maybe KT would have ideas?
I like your phrasing for the dmp/dataset/dataset_documentation element. I don't see any reason to go into sub-elements (like what you have striked out).
Thanks Claire!
Réponse :
    @jennifer.cuffe@canada.ca @katherine.timms@canada.ca Right. So, instead, now I've added /dataset_documentation/access_url, /dscription, /download_url, and /name. Would that work?
Réponse :
    OK, if you feel there are benefits to nesting it, and including all the lower-level elements. 
From my perspective, as long as there is somewhere in the template to indicate that this sort of key documentation exists for a dataset (even a simple string), it suffices. Anything should be a vast improvement for re-use, including for at time of transfer to LAC.</t>
      </text>
    </comment>
    <comment ref="F135" authorId="40" shapeId="0" xr:uid="{711BBB10-67ED-4B65-BF03-BE0568F3694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optional? may not be online</t>
      </text>
    </comment>
    <comment ref="E136" authorId="41" shapeId="0" xr:uid="{944F4CFA-1377-4FE0-BAB6-005FBD1A723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 think could be 0..1</t>
      </text>
    </comment>
    <comment ref="F137" authorId="42" shapeId="0" xr:uid="{84037722-2F89-4F16-8A82-04B64F4DA21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optional? may not be online</t>
      </text>
    </comment>
    <comment ref="E138" authorId="43" shapeId="0" xr:uid="{C9AD82C8-0B91-4FF3-9786-D6857404467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0..1 in the case there is no documentation</t>
      </text>
    </comment>
    <comment ref="F138" authorId="44" shapeId="0" xr:uid="{AF21B070-ED60-4F16-87B1-4C4A484B438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double check cardinality is ok, not required if</t>
      </text>
    </comment>
    <comment ref="K138" authorId="45" shapeId="0" xr:uid="{C937BEEB-0621-47F4-85CF-D3E70940FDB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Controlled vocabulary could include: code book, data dictionary, data specification,  readme file, other (specify).</t>
      </text>
    </comment>
    <comment ref="C139" authorId="46" shapeId="0" xr:uid="{4AEF7191-1EC4-4FAF-8C1C-07D14348869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Do datasets always have an ID? We say that dataset are the conceptual level and distributions are instances. I guess we have no choice since it's an RDA field.
Réponse :
    see also distribution id</t>
      </text>
    </comment>
    <comment ref="C147" authorId="47" shapeId="0" xr:uid="{330853EE-A802-4539-871B-9C909AF4C64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Not urgent for this update, but worth a comb-through at the end: Is the way in which we are referring to other fields (e.g., dmp/dataset/disposition_completed) in various descriptions consistent? the RDA common standard itself does not have precedents, really. There are two partial precedents: (1) the preamble for Distribution in the common standard uses a bunch of quotation marks referring to metadata properties, and (2) the description of Dataset /description and Dataset /title refer to Description and Title at the DMP level, just using capitalization.</t>
      </text>
    </comment>
    <comment ref="B148" authorId="48" shapeId="0" xr:uid="{1A3BBCA9-4C17-41CD-97BD-22DD8934ED8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There is something non-parallel with these IDs nested within disposition_action. Authorization is not preceded by disposition_action_ in the Property ID, whereas the other three in the nest are.</t>
      </text>
    </comment>
    <comment ref="C151" authorId="49" shapeId="0" xr:uid="{F1F08069-0C99-480E-A082-CE4AD0B46B9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To be consistent with common standard, the description should list the allowed values. Current sentence seems superfluous.</t>
      </text>
    </comment>
    <comment ref="C154" authorId="50" shapeId="0" xr:uid="{30A3E787-BF67-4599-BAB4-37435B158B3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This is missing the Allowed values.</t>
      </text>
    </comment>
    <comment ref="E154" authorId="51" shapeId="0" xr:uid="{0BCB58D9-5EED-4C2B-A338-D29570716CE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should be 0..1 I think
Réponse :
    I think we can make it mandatory since there are answers like : unknown, tobe determined and not applicable
Réponse :
    I can live with that, because the disposition planning nest is 0..1. This means that only when someone enters a value anywhere in the disposition nest, will that someone also need to indicate a value for each of the following: "archival value" / "required destruction" / "required perpetual use." (Personally, I don't think this makes the most sense for non-government organizations, but I can live with it).</t>
      </text>
    </comment>
    <comment ref="F154" authorId="52" shapeId="0" xr:uid="{C26D49ED-4787-47DC-9862-7A96578152A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Can we have a required in an optional nest? Suggest switch this to 0..1 for standard, but recommend GC implements as 1.
Réponse :
    also, if you want this to apply to other large organizations (and not just the GC), then we are likely better to go with 0..1
Réponse :
    even if there are choices like  not applicable, to be determined,  unknown?</t>
      </text>
    </comment>
    <comment ref="I154" authorId="53" shapeId="0" xr:uid="{06A50255-0F33-44DF-90A5-B36335417DB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What is the definition of archival value? We have checked all of the possible reference documents and cannot find one.
Réponse :
    The ongoing usefulness or significance of records, based on the administrative, legal, fiscal, evidential, or historical information they contain, justifying their continued preservation. In general, records with archival value are estimated to make up only a small percentage of an organization’s records. In most organizations, the determination of which records are considered to have archival value is made by archivists. Sometimes, archivists distinguish between the concepts of historical value and archival value. In such cases, historical value is defined narrowly as the value of a record to support research in the history of people and the world, and archival value is defined broadly to encompass value that supports any type of research using permanent records, including psychological, sociological, and other types of scientific research. (Society of American Archivists dictionary)</t>
      </text>
    </comment>
    <comment ref="C156" authorId="54" shapeId="0" xr:uid="{9E995E67-0EBD-43FD-9363-2D9E1A47AE5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Optional word-smithing suggestion. (I'm not liking how I worded things, sorry!) For noting time-limited impediments to effecting disposition at the end of the dataset's retention period. Note: use the retention specification nest to indicate an indefinite retention period or a perpetual use requirement.</t>
      </text>
    </comment>
    <comment ref="I157" authorId="55" shapeId="0" xr:uid="{D2922080-29D0-44DC-8075-D4E1CF84556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Optional editorial: what is preventing you from effecting disposition, once the retention period has elapsed?</t>
      </text>
    </comment>
    <comment ref="A158" authorId="56" shapeId="0" xr:uid="{1F396613-554F-42C6-B667-93344CA4945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Covers cases where data are required to be: (1) preserved for the ongoing protection of human rights, legal evidence or litigation holds; or, (2) there are other, dataset-specific legal considerations affecting final disposition (e.g,. partnership agreement).</t>
      </text>
    </comment>
    <comment ref="C158" authorId="57" shapeId="0" xr:uid="{F1D59C76-CD3F-4C20-9BE3-0AF1EBCFE66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to make this apply to non-GC, suggest rewording "ATIP request" bullet as "access to information or privacy request hold"
Réponse :
    @claire.austin@ec.gc.ca  see also comment at 2:55</t>
      </text>
    </comment>
    <comment ref="I158" authorId="58" shapeId="0" xr:uid="{84B68677-82B2-4023-B2FE-C0428F97371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What type of impediment blocks you from effecting disposition?</t>
      </text>
    </comment>
    <comment ref="C159" authorId="59" shapeId="0" xr:uid="{9679D9DD-ED6E-4180-8CE7-9DCD5A45B02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Again, optional wordsmithing comment upon re-read. Instead of "last date", write "most recent date on which"</t>
      </text>
    </comment>
    <comment ref="C161" authorId="60" shapeId="0" xr:uid="{D5B17A6B-6E19-4CAE-84F6-AF89FAD3C49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Optional wordsmithing comment: insert "applicable" before retention schedule.</t>
      </text>
    </comment>
    <comment ref="E164" authorId="61" shapeId="0" xr:uid="{6443DD5E-2E8A-48A2-B462-2A4138FB407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needs to be 0..1
Réponse :
    I think we can make it mandatory since there are answers like : unknown, tobe determined and not applicable</t>
      </text>
    </comment>
    <comment ref="F164" authorId="62" shapeId="0" xr:uid="{BBCC996F-5A84-4809-908D-5CFFEBA1471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this should not be required.
Réponse :
    I think we can make it mandatory since there are answers like : unknown, tobe determined and not applicable</t>
      </text>
    </comment>
    <comment ref="I164" authorId="63" shapeId="0" xr:uid="{E3BECBD5-190D-4892-922C-3D3E0955294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should this be more clear - ie destroyed when?
Réponse :
    Described in retention/disposition policy</t>
      </text>
    </comment>
    <comment ref="F165" authorId="64" shapeId="0" xr:uid="{3E1BDF99-4EF8-4BF6-A2D3-CC000107CE2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required IF dependency from if destruction is required to "if yes all, yes part was chosen in disposition_planning_required_destruction"
Réponse :
    agreed</t>
      </text>
    </comment>
    <comment ref="E166" authorId="65" shapeId="0" xr:uid="{33CDD946-C7C9-48A3-8B42-D008EF2EF74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needs to be 0..1
Réponse :
    I think we can make it mandatory since there are answers like : unknown, tobe determined and not applicable</t>
      </text>
    </comment>
    <comment ref="F166" authorId="66" shapeId="0" xr:uid="{C8366AFE-46FA-4D58-982F-210E7AC4209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This should not be required
Réponse :
    I think we can make it mandatory since there are answers like : unknown, tobe determined and not applicable</t>
      </text>
    </comment>
    <comment ref="I166" authorId="67" shapeId="0" xr:uid="{91E6C659-AB4A-490A-9B2C-2F9FB46174B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Wordsmithing: Do you need to keep this dataset indefinitely, for active use?</t>
      </text>
    </comment>
    <comment ref="B171" authorId="68" shapeId="0" xr:uid="{448FE7D4-E382-4883-88C1-44CCAAF7F32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maybe trigger_occurred would be a better name? Although I like imagining a bouncing Tigger and all
1 total reaction
Dominique Charles reacted with 😁 at 2024-12-02 21:31 PM
Réponse :
    Marked as resolved
Réponse :
    Re-opened
Réponse :
    does it make us look not serious?
Réponse :
    I don't think that trigger_occurred seems unserious. Trigger_triggered perhaps unserious.</t>
      </text>
    </comment>
    <comment ref="I172" authorId="69" shapeId="0" xr:uid="{93DB122F-014E-415F-9C64-31B2152C51F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What type of event triggers the retention period start?</t>
      </text>
    </comment>
    <comment ref="K175" authorId="70" shapeId="0" xr:uid="{71733A01-6EBE-40FE-9C3A-20D519F958F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In the RDA common standard, only the date is requested.
Réponse :
    ISO 8601 compliance was added in v1.1 (Nov 2020).</t>
      </text>
    </comment>
    <comment ref="A176" authorId="71" shapeId="0" xr:uid="{B8EB2871-6C1B-4137-9A70-6D48309C2D7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Would this not be the same thing as retention period?</t>
      </text>
    </comment>
    <comment ref="A177" authorId="72" shapeId="0" xr:uid="{85229C49-DDEA-422B-8F01-E7561AB5106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@katherine.timms@canada.ca The RDA standard requires describing size in bytes. This is fine for small datasets, but is a problem for large datasets (e.g., petabytes). To get around this, added two new elements (data_size and data_size_units). Script would need to be written to convert this to bytes for the byte_size field. Thoughts?
Assigned to katherine.timms@bac-lac.gc.ca
Réponse :
    My thoughts are that if byte_size does not provide a useful number for large files (i.e., a file that would typically be expressed in petabytes), then perhaps this field should be ignored (it is 0..1 in RDA). Instead, the data_size and data_size_units should be used in the GC. I believe these might be required by LAC for transfer (extent). @heather.tompkins@canada.ca can you confirm?
Réponse :
    @katherine.timms@canada.ca claire.austin@canada.ca For transfer as a whole, we'd want to know the anticipated volume to understand demands on storage (either for transfer &amp; for processing).  Having volume expressed in a meaningful way (e.g. GB if at that scale, TB if at that scale) makes way more sense then at the bytes level.
Réponse :
    Thank you! I see, too, in the LAC draft Metadata Standard that extent (i.e., size/duration of record + unit of measurement) is mandatory for the item level.
Réponse :
    Could this be an instance in which the information recorded in the dmp itself is slightly different than that gathered via the associated tool? As in, the dmp TOOL could gather the information via two questions (i.e., for data size and data size unit), but the TOOL would automatically convert that information into bytes for recording into the dmp itself so it is compliant with the RDA standard.
Réponse :
    Agreed. Added two new fields: data_size and data_size_units</t>
      </text>
    </comment>
    <comment ref="C177" authorId="73" shapeId="0" xr:uid="{5B54B826-D8A8-486B-A459-A46EDD4BC59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https://www.iana.org/assignments/character-sets/character-sets.xhtml#character-sets-1</t>
      </text>
    </comment>
    <comment ref="L179" authorId="74" shapeId="0" xr:uid="{CEB86760-FE83-4B79-8931-2C7D0173D63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This reference doesn't match the controlled vocabulary
Réponse :
    https://en.wikipedia.org/wiki/Unicode_block#List_of_blocks</t>
      </text>
    </comment>
    <comment ref="A186" authorId="75" shapeId="0" xr:uid="{CAEDF182-4EA5-414A-8B60-C2F63167746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See tab, Unicode block.</t>
      </text>
    </comment>
    <comment ref="F187" authorId="76" shapeId="0" xr:uid="{060930E6-89B5-4D70-BDE9-44C92695587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since the distribution nested structure is optional</t>
      </text>
    </comment>
    <comment ref="F192" authorId="77" shapeId="0" xr:uid="{838100FC-9E48-4614-B809-17AAE474064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from required IF to optional
Réponse :
    agreed</t>
      </text>
    </comment>
    <comment ref="C193" authorId="78" shapeId="0" xr:uid="{D03906E3-8573-495C-B88B-FC358215EF2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can't we create a distribution section before we know the distribution_id?</t>
      </text>
    </comment>
    <comment ref="I201" authorId="79" shapeId="0" xr:uid="{11E8F2A3-1E01-4826-92BE-F55089F85F7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This is for file path, for files that are available internally on shared drives but are not published on the internet (and thus have urls). This is probably going to be the case for many GC research datasets.
I am no expert, but I don't think we can stick an internal network path in any access_url or download_url field, at least from what I glean from the DCAT vocab and the net. I read that while file paths and urls both point computers to a resource, file paths use backslashes and urls use forward slashes. 
Also, having a separate field for internal-to-dept-addresses would let departments not "publish" this field of the dmp, and keep it for internal use.  
I think we should change the name of this field though to dmp/dataset/distribution/file_path .
Réponse :
    Agreed</t>
      </text>
    </comment>
    <comment ref="F202" authorId="80" shapeId="0" xr:uid="{D551FC1D-1E31-4FE3-B509-4C0C9BD0FBC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IF to required WHEN due to optional distribution nested structure. Changed cardinality from 0..n to 1..n.
Réponse :
    agreed</t>
      </text>
    </comment>
    <comment ref="F222" authorId="81" shapeId="0" xr:uid="{92D9E43E-419E-461A-ADA3-2FF9C6D1E42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Why is the cardinality 0..n and not 0..1?</t>
      </text>
    </comment>
    <comment ref="K223" authorId="82" shapeId="0" xr:uid="{B9A61993-297C-46C5-899C-C47A5C218E3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Missing controlled vocabulary</t>
      </text>
    </comment>
    <comment ref="F224" authorId="83" shapeId="0" xr:uid="{B646EC55-A9CE-4CBF-A6E4-78106E0D34C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IF to optional due to required IF dependency (if transferred to LAC). Added dependency to description</t>
      </text>
    </comment>
    <comment ref="F225" authorId="84" shapeId="0" xr:uid="{E4C0B343-0185-4031-A907-4A90C1FD554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due to optional host nested structure
Réponse :
    agreed</t>
      </text>
    </comment>
    <comment ref="F226" authorId="85" shapeId="0" xr:uid="{5A1CE6A0-8C4C-4097-8B75-DC25B5D30DE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due to optional host nested structure</t>
      </text>
    </comment>
    <comment ref="F230" authorId="86" shapeId="0" xr:uid="{6116AA17-2AB4-4E42-9B73-72775131E65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because distribution is optional</t>
      </text>
    </comment>
    <comment ref="F231" authorId="87" shapeId="0" xr:uid="{06F65452-9F5F-45F6-BEA0-A2002438B4B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required</t>
      </text>
    </comment>
    <comment ref="F232" authorId="88" shapeId="0" xr:uid="{0C64ABD3-752C-4F98-AC67-B8964C9C2F7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because distribution is optional</t>
      </text>
    </comment>
    <comment ref="K232" authorId="89" shapeId="0" xr:uid="{C3731B21-D4B7-4805-B272-34DC886F2EE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In the RDA common standard, only the date is requested.
Réponse :
    ISO 8601 compliance was added in v1.1 (Nov 2020).</t>
      </text>
    </comment>
    <comment ref="A234" authorId="90" shapeId="0" xr:uid="{72786B53-0AB5-499F-9FEE-4484DF6FAF3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This property not in the RDA DMP Std.</t>
      </text>
    </comment>
    <comment ref="K236" authorId="91" shapeId="0" xr:uid="{C4A9CB37-0B74-47CA-9DC3-303E9782B73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Missing the controlled voc</t>
      </text>
    </comment>
    <comment ref="K239" authorId="92" shapeId="0" xr:uid="{D0C742E0-7164-418D-AFC6-AA118791C43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Missing the controlled vocabulary</t>
      </text>
    </comment>
    <comment ref="F244" authorId="93" shapeId="0" xr:uid="{D97A79A8-387C-4710-A26A-4832E72FBBD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IF to optional. Right now there is no way to indicate if there is a physical data asset from previous entries
Réponse :
    agreed</t>
      </text>
    </comment>
    <comment ref="A245" authorId="94" shapeId="0" xr:uid="{AF6BF7CF-3FFC-470C-85EF-1A3065FB98B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Curious about this grouping and the terminology chosen. They are about describing physical storage media and physical storage locations, when applicable? Curious if terminology developed in library/digital preservation field might be helpful here - for example, PREMIS 1.7.2 storageMedium https://www.loc.gov/standards/premis/v3/premis-3-0-final.pdf (note link to metadataregistry.org controlled vocabulary)? However, your grouping under 'physical_data_asset' does allow for collation of physical location, network location, and storage media characteristics. With regard to physical location, is the "computer_name_full" to identify a local hard drive on which data might be stored? This is distinct from networked storage locations (e.g. shared_drive_access), which could be accessed remotely? In general, are you seeking to record a storage location (whether physical, local computer, networked, cloud) for the distribution (i.e., the 'official' copy of it, not the access copies linked from access_url and download_url)? 
@heather.tompkins@canada.ca can you provide advice on this grouping of properties?
Réponse :
    @jennifer.cuffe@bac-lac.gc.ca @katherine.timms@canada.ca @heather.tompkins@canada.ca  The idea is to allow for recording of physical assets (e.g., external hard drives) and/or physical location of servers, data centers, etc. Thoughts?
Réponse :
    @jennifer.cuffe@bac-lac.gc.ca @katherine.timms@canada.ca @heather.tompkins@canada.ca Added a new column for potential PREMIS validation.</t>
      </text>
    </comment>
    <comment ref="E248" authorId="95" shapeId="0" xr:uid="{6AA115CF-F2AB-4769-B530-AAEEEFC8087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 think this could be 0..1</t>
      </text>
    </comment>
    <comment ref="F248" authorId="96" shapeId="0" xr:uid="{582302AE-B3EE-45FC-B234-4E77123D5E1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IF to required WHEN due to optional physical data asset</t>
      </text>
    </comment>
    <comment ref="E250" authorId="97" shapeId="0" xr:uid="{DB9F6F4F-F5DB-4C26-A0D3-C74418A381D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 think this could be 0..1</t>
      </text>
    </comment>
    <comment ref="F250" authorId="98" shapeId="0" xr:uid="{4C366DFD-293F-4B1B-9256-84A6D0756B6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IF to required WHEN due to optional physical data asset. Changed cardinality from 0..1 to 1 (not sure about this)</t>
      </text>
    </comment>
    <comment ref="F251" authorId="99" shapeId="0" xr:uid="{26350223-B10C-42F2-9779-39AF35481D5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from required IF to required WHEN, due to optional distribution nested structure</t>
      </text>
    </comment>
    <comment ref="J251" authorId="100" shapeId="0" xr:uid="{7DEA0A21-FC07-49BF-B605-BC52C82381B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None , could be an example</t>
      </text>
    </comment>
    <comment ref="F252" authorId="101" shapeId="0" xr:uid="{B9F90D00-328B-463B-8AE2-74EAC1CFAB0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since distribution nested structure is optional
Réponse :
    agreed</t>
      </text>
    </comment>
    <comment ref="A253" authorId="102" shapeId="0" xr:uid="{1D943059-6B58-4D77-BC64-6422A69A7FF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Property not in the RDA DMP Std.</t>
      </text>
    </comment>
    <comment ref="E255" authorId="103" shapeId="0" xr:uid="{C2546B1D-909C-4AF5-B9DA-2B51D08AA04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 think this should be 0..1</t>
      </text>
    </comment>
    <comment ref="F255" authorId="104" shapeId="0" xr:uid="{15BB861B-A0FB-48E4-A288-65E0328FCF3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IF to required WHEN due to optional distribution nested structure. Not sure to change cardinality to 1
Réponse :
    I think we should make it required since they can choose "unknown"</t>
      </text>
    </comment>
    <comment ref="A256" authorId="105" shapeId="0" xr:uid="{3F063413-0272-4821-A998-0F67F9BD345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Encoded according to NARSTO standard: LEVEL 0. Raw data or minimally processed data. Contains all available measurement data. May contain quality control flags indicating missing or invalid data. *** LEVEL 1. A complete dataset of specified quality. The dataset has been subjected to quality assurance and quality control checks and data management procedures. Compliance with documented data quality objectives, standard operating procedures (SOPs), and protocols has been evaluated and documented. If the data have been audited, level '0' status will remain in effect until all audits have been completed and the investigator’s response recorded. *** LEVEL 2. A complete, externally consistent dataset of specified quality that has undergone interpretative and diagnostic analyses. A validation level and status discussion must be included in the metadata record associated with the dataset. *** LEVEL 3. Data that have received intense scrutiny through analysis or use in modeling. As analysis of the data proceeds, analysts may raise questions about portions of the level '2' dataset. Additional checks and tests will be performed on such data and the Level 3 code will be affixed to data passing these tests. If this scrutiny reveals an inconsistency that appears to be caused by a measurement error, the entire chain of evidence for the measurement will be reviewed. *** MIXED. A package of datasets with varying levels of data quality. *** UNKNOWN. Data quality is unknown.</t>
      </text>
    </comment>
    <comment ref="F256" authorId="106" shapeId="0" xr:uid="{0042F209-3007-4376-80F6-25932C799C7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since distribution nested structure is optional
Réponse :
    agreed</t>
      </text>
    </comment>
    <comment ref="F263" authorId="107" shapeId="0" xr:uid="{371DCABB-C36E-4098-86AF-3FB855D5D9B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IF to required WHEN due to optional distribution nested structure.</t>
      </text>
    </comment>
    <comment ref="A265" authorId="108" shapeId="0" xr:uid="{F1EEA105-1817-411A-BC3F-FAAC08F03D6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align with dmp/dataset/collection/data_update_frequency?</t>
      </text>
    </comment>
    <comment ref="E270" authorId="109" shapeId="0" xr:uid="{285E0E8C-A70B-4297-A11A-0C68DF19A21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0..1 due to when there is non geo-spatial data</t>
      </text>
    </comment>
    <comment ref="F270" authorId="110" shapeId="0" xr:uid="{81171BD4-1771-4EFF-BBEA-638D9B9BBC4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IF to optional and added the required IF dependency to the description</t>
      </text>
    </comment>
    <comment ref="F272" authorId="111" shapeId="0" xr:uid="{F85DC87E-3F28-491A-B57D-9841D3B86C9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required since cardinality is 1</t>
      </text>
    </comment>
    <comment ref="A273" authorId="112" shapeId="0" xr:uid="{35402623-6CE9-4E93-8137-5B8C6DF050A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 keep on thinking that this new element -- IP -- would be better considered a property of the dataset, not the distribution. Would there ever be an instance in which the copyright or other IP rights, would differ distribution-by-distribution? Even in instances in which one is talking about a continuously-accruing longitudinal dataset, it would seem easier to indicate any change over time in IP rights at the level of the dataset. In contrast, it makes sense that licenses are managed in relation to specific distributions.
Réponse :
    Agreed.</t>
      </text>
    </comment>
    <comment ref="F273" authorId="113" shapeId="0" xr:uid="{3CC9F130-4070-4D31-93AB-089A362AE95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Not sure if this should be required. I changed required to optional
Réponse :
    @claire.austin@canada.ca</t>
      </text>
    </comment>
    <comment ref="A274" authorId="114" shapeId="0" xr:uid="{9BF42476-3A77-45CE-AECA-B40AB5267FF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Did we want to remove "copyright" from the field title. If we remove "copyright", it would allow for the recording of other rights as well BUT then the controlled vocab options would not work. Alternatively, another field dmp/dataset/distribution/intellectual_property/other 0..n string could allow for the recording of other considerations (e.g., recordings etc.)
Réponse :
    Agreed.
Réponse :
    Created new field for "other" intellectual property. 0..1, free text.</t>
      </text>
    </comment>
    <comment ref="E274" authorId="115" shapeId="0" xr:uid="{CAC42CAB-944B-499D-BAFF-0FCB0B9FBE5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0..1?</t>
      </text>
    </comment>
    <comment ref="K274" authorId="116" shapeId="0" xr:uid="{24EB7512-752B-44AD-9907-208087548E4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Missing controlled vocabulary</t>
      </text>
    </comment>
    <comment ref="F275" authorId="117" shapeId="0" xr:uid="{01EA2AFC-FC12-46C8-B9A3-1D621E05592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required due to cardinality 1..n, recommended by LAC</t>
      </text>
    </comment>
    <comment ref="K278" authorId="118" shapeId="0" xr:uid="{78976D50-E707-44E1-9A1B-A636FC9A005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In the RDA common standard, only the date is requested.
Réponse :
    ISO 8601 compliance was added in v1.1 (Nov 2020).</t>
      </text>
    </comment>
    <comment ref="K279" authorId="119" shapeId="0" xr:uid="{43F511FF-7C3B-4BC4-B407-D8A03D15E3B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keyword is 0..n, each entry is a string, the system will handle how to display multiple entries</t>
      </text>
    </comment>
    <comment ref="D280" authorId="120" shapeId="0" xr:uid="{CE620E7F-8009-4979-B9D1-22C20BAD4AD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We had talked about changing this to 0..n, to allow for multiple languages to be identified instead of "multiple" (which would not permit machine-identification of indigenous languages). Any news on possibly altering the RDA standard original?
Réponse :
    I haven't approached the RDA WG yet with any proposed changes to the standard. Waiting until our specification is firm.
Réponse :
    Added 0..n cardinality change for GC
Réponse :
    Also added 'dmp/dataset/language_multiple' (0..n)</t>
      </text>
    </comment>
    <comment ref="A281" authorId="121" shapeId="0" xr:uid="{02B73152-54CD-4313-B309-7ABA22ECE7E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See tab, Language codes.</t>
      </text>
    </comment>
    <comment ref="E281" authorId="122" shapeId="0" xr:uid="{4A023BDB-74AE-407C-9393-8567CA538ED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should be 1..n or optional
Réponse :
    ok</t>
      </text>
    </comment>
    <comment ref="F283" authorId="123" shapeId="0" xr:uid="{0ED0D8C4-D7F2-47AA-B3E7-92278EF4AEE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required, RDA cardinality is 1</t>
      </text>
    </comment>
    <comment ref="F285" authorId="124" shapeId="0" xr:uid="{C3B9E502-11F1-48A9-BD5F-D42F48D9D7B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required, RDA cardinality is 1</t>
      </text>
    </comment>
    <comment ref="F289" authorId="125" shapeId="0" xr:uid="{4B9F3EF6-F6D3-4945-BE07-CDDB6873123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required, RDA cardinality is 1</t>
      </text>
    </comment>
    <comment ref="A303" authorId="126" shapeId="0" xr:uid="{EFAAD7EA-D4FE-4367-AAE1-E116F6277D2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Why yellow? (In RDA DMP)
Réponse :
    Just to draw attention to it since it is related to other GC elements.</t>
      </text>
    </comment>
    <comment ref="C305" authorId="127" shapeId="0" xr:uid="{5F72FF28-BE73-43C8-97DE-1B917FEB7CB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Should the user-friendly Question be whether a privacy impact assessment WAS conducted or WILL BE conducted? I would think the latter?
Réponse :
    Changed the fieldname to dmp/dataset/security_and_privacy/privacy_impact_assessment/required and modified the user friendly question. Will also modify the descriptions and controlled vocabularies for related fields.</t>
      </text>
    </comment>
    <comment ref="E305" authorId="128" shapeId="0" xr:uid="{B7607237-4A42-43F6-9BF0-4AE1BFCD813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Not my area of expertise, so what follows is a genuine question: Could there not be more then one PIA approved per dataset? (i.e., a renewed PIA ten years in, for cumulative database?) if so, suggest 1..n or 0..n
Réponse :
    Agreed that there might be more than one PIA if circumstances change https://www.canada.ca/en/government/system/digital-government/digital-privacy-playbook/privacy-impact-assessments.html
Réponse :
    I might be mistaken, but I think that the cardinality would remain "1" even in the case a PIA was not required (for example in 2024), but due to changes became required (e.g., in 2030). This change would be captured the update to the DMP in 2030. A change in cardinality would not be needed.</t>
      </text>
    </comment>
    <comment ref="A306" authorId="129" shapeId="0" xr:uid="{561A474F-9F7C-45B6-BBA8-A47BBD64AD2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should this be a property of security and privacy, rather than of dataset directly? (true question). Also, is there a way we could turn it into privacy_impacy_assessment_id to avoid another box in the diagram? (again, true question)
Réponse :
    Yes, agreed. Also, removed controlled vocabulary from /registered to all entry of ID, if applicable.</t>
      </text>
    </comment>
    <comment ref="F306" authorId="130" shapeId="0" xr:uid="{7E268F9D-04F3-4DB7-BB90-5A7E65F52A8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required IF dependency from "If a privacy impact assessment was conducted" to "if 'yes' was chosen from privacy_impact_assessment_required"</t>
      </text>
    </comment>
    <comment ref="G306" authorId="131" shapeId="0" xr:uid="{A3C80092-F428-4C36-BF2D-6B5CF9D11FB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If privacy_impact_assessment_conducted is yes</t>
      </text>
    </comment>
    <comment ref="F307" authorId="132" shapeId="0" xr:uid="{D6A46EE3-E927-4B3B-A35E-EE3C2293364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required IF dependency from "If a privacy impact assessment was conducted" to "if 'yes' was chosen from privacy_impact_assessment_required"</t>
      </text>
    </comment>
    <comment ref="G307" authorId="133" shapeId="0" xr:uid="{9F05FBAD-D667-483A-85A5-966A88EC6B8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If privacy_impact_assessment_approved is "yes"</t>
      </text>
    </comment>
    <comment ref="F309" authorId="134" shapeId="0" xr:uid="{96D0CED1-3D8E-41D2-A278-B553CBF67CC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required IF dependency from "If a privacy impact assessment was conducted" to "if 'yes' was chosen from privacy_impact_assessment_required"</t>
      </text>
    </comment>
    <comment ref="G309" authorId="135" shapeId="0" xr:uid="{02ED56FD-1699-4976-85E4-461F6F8FB64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If privacy_impact_assessment_conducted is "yes"</t>
      </text>
    </comment>
    <comment ref="C311" authorId="136" shapeId="0" xr:uid="{6722DEE9-9C46-4485-905B-01626F754BB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for "To name and identify a security or privacy control"</t>
      </text>
    </comment>
    <comment ref="I311" authorId="137" shapeId="0" xr:uid="{2A8BFDC6-AA6B-4483-BB08-B0F6DB0E5EF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There should not be a question mark at the end of this. - Anna B, CSA</t>
      </text>
    </comment>
    <comment ref="I312" authorId="138" shapeId="0" xr:uid="{1FD54D53-E157-4C87-81A9-FA62C040E16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Need explanation of what sensitive data is
Réponse :
    Sensitive data are data for which injury that could reasonably be expected as a result of a loss of confidentiality (resulting from unauthorized disclosure), loss of integrity (resulting from unauthorized modification or destruction), or loss of availability (resulting from unauthorized removal or other disruption). See, for example, Treasury Board of Canada, Policy on government security.</t>
      </text>
    </comment>
    <comment ref="A314" authorId="139" shapeId="0" xr:uid="{1C410955-1C30-4674-B74B-55CF6C0A138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How is this field different than dmp/dataset/keyword? 
If this is meant for a department's IM file classification code, suggest instead a different syntax.
If you keep dmp/dataset/subject to be a true "subject" field, suggest the cardinality of subject/classification be switched to 0..n (not 1), like for keywords. 
If "subject" means the subject according to some controlled system (e.g., library or in-house classification system) then fine, but suggest it be modelled on the structure for what you've done with industry above (to include  subject/classification_system also)
Réponse :
    Two-letter code (class and sub-class) for subject classification of the dataset according to the Library of Congress Classification (LCC). For example, the class and subclass code for an air quality dataset would be GE (Class: "Geography, Anthropolgy, Recreation" ; Subclass: "Environmental Sciences). https://www.loc.gov/aba/cataloging/classification/lcco/lcco_g.pdf
https://www.loc.gov/aba/cataloging/classification/lcco/lcco_b.pdf</t>
      </text>
    </comment>
    <comment ref="F314" authorId="140" shapeId="0" xr:uid="{7EFD637A-A32F-449A-8F41-F1CEA86634F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due to optional subject nested structure</t>
      </text>
    </comment>
    <comment ref="F315" authorId="141" shapeId="0" xr:uid="{41D27397-9C6C-4110-BF2C-9BD1F69E961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due to optional subject nested structure</t>
      </text>
    </comment>
    <comment ref="K319" authorId="142" shapeId="0" xr:uid="{2D7D5D60-0972-41BD-8634-6A6853E35C3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Is the cardinality in the DMP Std 0..n?</t>
      </text>
    </comment>
    <comment ref="E342" authorId="143" shapeId="0" xr:uid="{A9539F9B-ADC8-49AB-9F73-B8568CFCE84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Make 0..n? to allow for capture the requirements for multiple specific purposes?</t>
      </text>
    </comment>
    <comment ref="F353" authorId="144" shapeId="0" xr:uid="{2716FC0F-D7AE-4699-BFD9-4B834D9350A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IF to required WHEN due to optional technical resource nested structure
Réponse :
    agreed</t>
      </text>
    </comment>
    <comment ref="I383" authorId="145" shapeId="0" xr:uid="{6A05B2CB-69DF-4743-8356-0A2DD63AF65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Should we clarify/expand on the type of ethical issues? Should there be a sub-question with some examples of ethical issues? - Anna B, CSA
Réponse :
    If you would like to email me some examples of ethical issues, I can add those to the description, but at this I don't think we need an extra field.</t>
      </text>
    </comment>
    <comment ref="F385" authorId="146" shapeId="0" xr:uid="{20CA27C7-F650-4100-9F4C-05BAF685B91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optional to required since its cardinality is 1
Réponse :
    Agreed.</t>
      </text>
    </comment>
    <comment ref="A390" authorId="147" shapeId="0" xr:uid="{A63E11A8-2D7A-493B-AE03-9C34EEC09CF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suggest we switch the chapter for this field to dmp/indigenous_considerations/community_approval (and description) and switch to 0..n. The fact that community approval is required could be mentioned in the ethics section, but perhaps best to track it with the other indigenous_considerations
Réponse :
    This is primarily because of the way in which the three dmp/ethical_issues_ properties are structured in the common standard.
Réponse :
    Agreed.</t>
      </text>
    </comment>
    <comment ref="A391" authorId="148" shapeId="0" xr:uid="{E210E6EB-3DBB-44BA-8CA7-4B3B31B7721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Property not in the RDA DMP Std.</t>
      </text>
    </comment>
    <comment ref="A392" authorId="149" shapeId="0" xr:uid="{779954C0-8088-486F-9257-268295640FC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suggest change the syntax to dmp/indigenous_considerations/dmp_discussion
Réponse :
    Agreed.</t>
      </text>
    </comment>
    <comment ref="A395" authorId="150" shapeId="0" xr:uid="{7E2B42F7-F79D-45ED-BDE3-72B7FA2F341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 think this property and the previous should be a direct property of indigenous_considerations. 
As it currently stands, information re: the particular indigenous group  would need to be entered in the dmp for each distribution separately (and repeatedly).
Réponse :
    Agreed.</t>
      </text>
    </comment>
    <comment ref="E396" authorId="151" shapeId="0" xr:uid="{7DA48FCA-E271-4B73-880E-3BF83627A98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question: why 0..1 and not 0..n?
Réponse :
    Agreed.</t>
      </text>
    </comment>
    <comment ref="A397" authorId="152" shapeId="0" xr:uid="{354E235D-2140-4619-A5DB-40A1A6967D6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Claire: While I am totally down with the idea behind these fields and picklists -- to make datasets/distributions findable by the communities to whom they pertain -- I am uncomfortable with the field names and picklists as they stand for a variety of reasons. I'll send you an e-mail becuase my suggestion involves a bit of a reconfiguraton of these two fields
Réponse :
    Requested during consultation with Indigenous groups. This field captures the "Indian band number" specific to First Nations. As far as I know, Inuit and Métis do not have a similar identification system.</t>
      </text>
    </comment>
    <comment ref="E399" authorId="153" shapeId="0" xr:uid="{1934B7B1-0C1F-4239-949F-A3AC757AA35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question: why not 0..n?
Réponse :
    Agreed.</t>
      </text>
    </comment>
    <comment ref="I399" authorId="154" shapeId="0" xr:uid="{9E2D123E-134E-4E17-988F-D1C7C15E0FB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perhaps: What was the research method used, that was specific to the indigenous context? (if any)</t>
      </text>
    </comment>
    <comment ref="K399" authorId="155" shapeId="0" xr:uid="{B86435CB-1926-4DE7-B2AB-0C5D1D668D2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Claire: I don't remember the why of this field, unless this specific field was suggested during consultations, I suggest we abandon this field altogether. If the field was suggested by the community (ie we need this field for a specific reason), then I'd strongly recommend it become a string (0..n). I'm happy to chat about why!
Réponse :
    It was recommended during consultations with the Indigenous community. Changed from controlled vocabulary to string. Instead of the controlled vocabulary, added some examples to the Description.</t>
      </text>
    </comment>
    <comment ref="F400" authorId="156" shapeId="0" xr:uid="{2B36B748-B0F4-4FD0-A83D-FD87445C948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 think this would be required IF for if indigenous_considerations_exist. I think this field is important for people to need to answer.</t>
      </text>
    </comment>
    <comment ref="F401" authorId="157" shapeId="0" xr:uid="{05870EF6-3559-4DBD-88D5-B2DEC0176EA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Following the comment in row 140, this row would be required IF, if indigenous_traditional_knowledge is answered "yes"</t>
      </text>
    </comment>
    <comment ref="E402" authorId="158" shapeId="0" xr:uid="{0A825DE5-709E-4F2B-B585-BDF7A478155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maybe move to the nested structure about the DMP distribution together with the encoding and the url and then allow multiple DMP distributions</t>
      </text>
    </comment>
    <comment ref="A403" authorId="159" shapeId="0" xr:uid="{2EE5DC37-A554-4ACC-BF4E-A898625020F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See tab, Language codes.</t>
      </text>
    </comment>
    <comment ref="C403" authorId="160" shapeId="0" xr:uid="{4B6483D0-1485-4A08-AFDD-3498E76B87C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Description incomplete. (One line only). 
Complete description should read:
Indicates the date on which data no longer exists in relation to the dmp. (That is, the data lifecycle is complete, at the institution). 
In instances in which data was never created in relation to the dmp, indicates the date on which the dmp was considered closed. 
Encoded using the ISO 8601 Date and Time compliant string.
Note: consider using “dmp/description” to record details (e.g., to where the data was transferred, or that the data no longer exists)."</t>
      </text>
    </comment>
    <comment ref="K414" authorId="161" shapeId="0" xr:uid="{EE5942A3-B549-4D7B-9C65-D3C31D666BC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Am I understanding the DMP std correctly in making project 0..n (nested data structure)?</t>
      </text>
    </comment>
    <comment ref="K419" authorId="162" shapeId="0" xr:uid="{885C936A-597E-4BED-B0CB-27BC36CB40A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In the RDA common standard, only the date is requested.
Réponse :
    ISO 8601 compliance was added in v1.1 (Nov 2020).</t>
      </text>
    </comment>
    <comment ref="F420" authorId="163" shapeId="0" xr:uid="{3AF647B8-1121-456D-B0D7-2951A5FBEB1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because project nested structure is optional</t>
      </text>
    </comment>
    <comment ref="F421" authorId="164" shapeId="0" xr:uid="{4F86C3DD-8F85-43C8-B7B3-8EB83AFBE4E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optional to required WHEN. Since cardinality is 1 and project nested structure must exist</t>
      </text>
    </comment>
    <comment ref="F422" authorId="165" shapeId="0" xr:uid="{4BAC4F67-E839-40F5-8387-4F24E48F9F9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required, RDA cardinality is 1</t>
      </text>
    </comment>
    <comment ref="F426" authorId="166" shapeId="0" xr:uid="{DD5F0EAF-EA09-4CD7-BE6B-6E2A651E7FE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required, RDA cardinality is 1</t>
      </text>
    </comment>
    <comment ref="F427" authorId="167" shapeId="0" xr:uid="{B796F2EF-FF60-4920-942F-6C0616FD596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because project nested structure is optional
Réponse :
    agreed</t>
      </text>
    </comment>
    <comment ref="D428" authorId="168" shapeId="0" xr:uid="{393D8F5E-478F-4026-80B4-8F748208306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cardinality in the RDA standard is listed as 0..1.  Was this modified for the GC standard?
Réponse :
    Fixed. Thank you.</t>
      </text>
    </comment>
    <comment ref="F429" authorId="169" shapeId="0" xr:uid="{FF4D54A4-0BFC-48F1-AE20-14CCC8DC489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required, RDA cardinality is 1</t>
      </text>
    </comment>
    <comment ref="F433" authorId="170" shapeId="0" xr:uid="{63A68783-ABA0-4398-9BAC-859CD7977D8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required, RDA cardinality is 1</t>
      </text>
    </comment>
    <comment ref="E434" authorId="171" shapeId="0" xr:uid="{0F7BA254-CE8C-4806-B5E3-A7952E74303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 think this could be 0..n instead if it is required IF</t>
      </text>
    </comment>
    <comment ref="F434" authorId="172" shapeId="0" xr:uid="{0AA9380A-05C7-407B-9AA4-46F33DD0A36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because project nested structure is optional
Réponse :
    agreed</t>
      </text>
    </comment>
    <comment ref="D436" authorId="173" shapeId="0" xr:uid="{C304BBE5-5956-4257-A1B9-B411914AEB3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Could somebody please check that 0..1 makes sense here?</t>
      </text>
    </comment>
    <comment ref="E436" authorId="174" shapeId="0" xr:uid="{9128BC73-4877-41C8-B70F-6A587648CC3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 think could be changed to 0..n if required IF</t>
      </text>
    </comment>
    <comment ref="F436" authorId="175" shapeId="0" xr:uid="{7E94286F-25FB-4869-A7EC-94316D402B9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because project nested structure is optional</t>
      </text>
    </comment>
    <comment ref="G436" authorId="176" shapeId="0" xr:uid="{1C230BF3-0774-489D-B1E8-EE92CA455B7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if funding_status is granted, applied, planned, rejected. i.e. funding_status is answered</t>
      </text>
    </comment>
    <comment ref="A443" authorId="177" shapeId="0" xr:uid="{47AB6C50-06CF-4EDE-861B-50F1190ED5C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Property not in the RDA DMP Std.</t>
      </text>
    </comment>
    <comment ref="E443" authorId="178" shapeId="0" xr:uid="{C3BDBBF3-B074-41CE-B8E7-751E23277BC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is 0..1 on the diagram</t>
      </text>
    </comment>
    <comment ref="A446" authorId="179" shapeId="0" xr:uid="{7DEA6B6C-A962-4ADD-8FBA-0DACE57E4C1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Claire: consider keeping the naming convention consistent with others (e.g., having /agreement/download_url, access_url, and format as separate lines)</t>
      </text>
    </comment>
    <comment ref="A447" authorId="180" shapeId="0" xr:uid="{D5825959-AA90-4012-8DF0-C7654D819B2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Claire: should this be named /agreement/description instead? (i.e., why two agreements in field name?)
Réponse :
    I agree</t>
      </text>
    </comment>
    <comment ref="F447" authorId="181" shapeId="0" xr:uid="{A8B5260E-3DA9-4BF1-B93E-F2BF260A02B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IF to required WHEN</t>
      </text>
    </comment>
    <comment ref="K447" authorId="182" shapeId="0" xr:uid="{456C0691-0BDD-4BB2-902E-F310485627F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Claire: at present I am unconvinced that a controlled vocabulary in this field would be helpful and productive. Unless there are clear definitions for each of the vocabulary within the GC, suggest this become a string (free-form) but that the field description or example list common types. I suspect different GC Institutions will want to have their own list.
Réponse :
    Agreed</t>
      </text>
    </comment>
    <comment ref="A448" authorId="183" shapeId="0" xr:uid="{250F94EF-94D6-4B3E-8C61-F52B655819A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Claire: check syntax  of field name. To me, agreement/type makes more sense than agreement_type since it is nested</t>
      </text>
    </comment>
    <comment ref="B455" authorId="184" shapeId="0" xr:uid="{6970251B-F77F-4D19-B1A2-72799E63AB5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Why is succession_plan not in this nest?
Réponse :
    Succession plan could me one of the measure without being a dedicated field</t>
      </text>
    </comment>
    <comment ref="C455" authorId="185" shapeId="0" xr:uid="{961CE6E8-194F-4EAA-925C-BE4A5FE49AD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 think this definition may need work. Safeguarding research partnerships could be understood in many ways, not all consistent with "safeguarding Science".
Réponse :
    @claire.austin@ec.gc.ca
Réponse :
    ok</t>
      </text>
    </comment>
    <comment ref="E455" authorId="186" shapeId="0" xr:uid="{CEDA5D6C-48CD-4F0C-A732-95B2975C400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This can't be a cardinality of 1. As has been emphasized, dmps are not meant to stand-in for overall science policies in GC institutions. For many GC institutions, the measures for safeguarding science are implemented institution-wide, and are not necessarily tailored to a specific project.
Réponse :
    this nested structure is required but the first question is asking if any measure exists and if no then no other field is required
Réponse :
    But my point is that the way this is currently structured, it puts anyone completing a DMP in a pickle, and so it becomes a PR exercise. Even if there is nothing project-specific, they cannot say no -- because in all likelihood there are a full host of measures generally applicable to all (or many) of an institution's projects. This section needs to be reworked for clarity, to emphasize that measures recorded here are project-specific.</t>
      </text>
    </comment>
    <comment ref="C457" authorId="187" shapeId="0" xr:uid="{1B5467DA-885A-46D6-BE8B-E115785F005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If this field is to stay here, it needs to be rephrased to make clear this information needs to be specific to the particular project. (Not for recording general overall program/institutional measures; and not specific to a particular dataset).
Réponse :
    @claire.austin@ec.gc.ca
Réponse :
    ok</t>
      </text>
    </comment>
    <comment ref="C461" authorId="188" shapeId="0" xr:uid="{BBF8B2F3-7795-497C-8500-FB66A629874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 think that this needs to be rephrased to be project-specific; if not it is almost like we are expecting the person who fills out the dmp at any point in time, to link to the full suite of institutional safeguards, which is not only unrealistic, but may be counterproductive (in that it may become a PR exercise, or result in the overall dmp becoming Protected_B, rather than a place for identifying and documenting project-specific issues). See my other comments on this subject.
Réponse :
    @claire.austin@ec.gc.ca
Réponse :
    ok</t>
      </text>
    </comment>
    <comment ref="I461" authorId="189" shapeId="0" xr:uid="{FE79154B-92D0-49E6-9BCD-ABE28E3A819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 to "Have any measures ..." - Anna B, CSA</t>
      </text>
    </comment>
    <comment ref="K466" authorId="190" shapeId="0" xr:uid="{858FE471-3199-463A-A6E3-703D0678C34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In the RDA common standard, only the date is requested.
Réponse :
    ISO 8601 compliance was added in v1.1 (Nov 2020).</t>
      </text>
    </comment>
    <comment ref="A467" authorId="191" shapeId="0" xr:uid="{BF8B7B7D-FA33-419A-B148-4942820249F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Property not in RDA DMP Std.</t>
      </text>
    </comment>
    <comment ref="F467" authorId="192" shapeId="0" xr:uid="{4AE08D5A-DFF7-4070-804A-E5B52CEDFA2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Changed from required to required WHEN due to project being an optional nested structure</t>
      </text>
    </comment>
    <comment ref="C468" authorId="193" shapeId="0" xr:uid="{579B085A-3A6B-4D11-A467-EC79FA1A394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Should this be nested here under dataset? It seems better suited to be placed under DMP info. - Anna B, CSA
Réponse :
    Agreed.</t>
      </text>
    </comment>
    <comment ref="I473" authorId="194" shapeId="0" xr:uid="{C73610AD-F127-4736-A8F9-23A5BAF48F5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consider: what level of security classification is the data management plan
Réponse :
    Agreed.</t>
      </text>
    </comment>
  </commentList>
</comments>
</file>

<file path=xl/sharedStrings.xml><?xml version="1.0" encoding="utf-8"?>
<sst xmlns="http://schemas.openxmlformats.org/spreadsheetml/2006/main" count="24768" uniqueCount="12475">
  <si>
    <t>Description</t>
  </si>
  <si>
    <t>Common standard fieldname
(click on blue hyperlinks for RDA core maDMP field descriptions)</t>
  </si>
  <si>
    <t>Property ID</t>
  </si>
  <si>
    <t>Cardinality RDA</t>
  </si>
  <si>
    <t>Cardinality</t>
  </si>
  <si>
    <t>GC DMP Requirement</t>
  </si>
  <si>
    <t>"required IF/WHEN" dependency</t>
  </si>
  <si>
    <t>required when (For machine actionable)</t>
  </si>
  <si>
    <t>Front-end user-friendly question</t>
  </si>
  <si>
    <t>Example value</t>
  </si>
  <si>
    <t>Data type</t>
  </si>
  <si>
    <t>Allowed Values
(controlled vocabulary)</t>
  </si>
  <si>
    <t>LAC requirement at time of transfer for archival datasets</t>
  </si>
  <si>
    <t>DataCite Record for DMP (Mandatory, Optional, Recommended)</t>
  </si>
  <si>
    <t>Corresponding DataCite field(s)</t>
  </si>
  <si>
    <t>DataCite Record for Dataset (M, O, R)</t>
  </si>
  <si>
    <t>dmp/access</t>
  </si>
  <si>
    <t>dmp_access</t>
  </si>
  <si>
    <t>OPEN ACCESS: available to anyone based on an open license (e.g., CC0, CC-BY, Open Government License). SHARED ACCESS: Public access with a license that limits use, that is available to anyone under terms and conditions that are not ‘open' (e.g., CC-BY-NC), shared only with named people or organisations, or via authentication for specific groups that meet certain criteria. CLOSED ACCESS: Internal access only. https://theodi.org/insights/tools/the-data-spectrum/ ; https://www.alerc.org.uk/uploads/7/6/3/3/7633190/an_introduction_to_open_shared_and_closed_data.pdf</t>
  </si>
  <si>
    <t>NA</t>
  </si>
  <si>
    <t>0..1</t>
  </si>
  <si>
    <t>optional</t>
  </si>
  <si>
    <t>Is access to the maDMP open, shared, or closed?</t>
  </si>
  <si>
    <t>open</t>
  </si>
  <si>
    <t>controlled vocabulary</t>
  </si>
  <si>
    <t>open, shared, closed</t>
  </si>
  <si>
    <t>1</t>
  </si>
  <si>
    <t>required</t>
  </si>
  <si>
    <t>dmp/alternate_identifier/</t>
  </si>
  <si>
    <t>alternate_identifier</t>
  </si>
  <si>
    <t>To provide alternative or secondary identifiers for a DMP, which can be used to reference or cite the dataset in different contexts or systems. Alternative identifiers can include other PIDs from DMP storage systems, internal database IDs, or other unique codes assigned to the DMP by various organizations or services.</t>
  </si>
  <si>
    <t>0..n</t>
  </si>
  <si>
    <t>nested data structure</t>
  </si>
  <si>
    <t>dmp/alternate_identifier/identifier</t>
  </si>
  <si>
    <t>alternate_identifier_identifier</t>
  </si>
  <si>
    <t>To indicate the specific value of the organization identifier </t>
  </si>
  <si>
    <t>required WHEN</t>
  </si>
  <si>
    <t>when the dmp alternate identifier nested structure exists</t>
  </si>
  <si>
    <t>What is the value of the DMP alternate identifier?</t>
  </si>
  <si>
    <t>https://doi.org/10.1371/journal.pcbi.1006750</t>
  </si>
  <si>
    <t>string (free-form text)</t>
  </si>
  <si>
    <t>dmp/alternate_identifier/identifier/registry_name</t>
  </si>
  <si>
    <t>alternate_identifier_registry_name</t>
  </si>
  <si>
    <t>To indicate what identifier system is used to identify the organization when selecting "other" as id type.</t>
  </si>
  <si>
    <t>required IF</t>
  </si>
  <si>
    <t>if "Other" was selected for dmp/alternate_identifier/identifier/type</t>
  </si>
  <si>
    <t>dmp/alternate_identifier/identifier/type</t>
  </si>
  <si>
    <t>What registry or system was used to provide the DMP alternate ID?</t>
  </si>
  <si>
    <t>organization's repository</t>
  </si>
  <si>
    <t>dmp/alternate_identifier/identifier/registry_uri</t>
  </si>
  <si>
    <t>alternate_identifier_registry_uri</t>
  </si>
  <si>
    <t>Link to the identifier system used to identify the organization</t>
  </si>
  <si>
    <t>Where can the registry or system be found?</t>
  </si>
  <si>
    <t>https://007myorg.sharepoint.com/sites/DataAssets/Lists/DMPRepository/AllItems.aspx</t>
  </si>
  <si>
    <t>uri</t>
  </si>
  <si>
    <t>dmp/alternate_identifier/identifier/registry_version</t>
  </si>
  <si>
    <t>alternate_identifier_registry_version</t>
  </si>
  <si>
    <t>To indicate the version number or the date when the system or registry was consulted</t>
  </si>
  <si>
    <t>What version of the registr/system was used or what date the registry/system was consulted?</t>
  </si>
  <si>
    <t>2025-10-31</t>
  </si>
  <si>
    <t>alternate_identifier_type</t>
  </si>
  <si>
    <t>To specify what type the identifier is</t>
  </si>
  <si>
    <t>What type is the identifier?</t>
  </si>
  <si>
    <t>doi</t>
  </si>
  <si>
    <t>handle, doi, ark, url, other</t>
  </si>
  <si>
    <t>dmp/approval/</t>
  </si>
  <si>
    <t>approval</t>
  </si>
  <si>
    <t>Approval of the maDMP</t>
  </si>
  <si>
    <t>16</t>
  </si>
  <si>
    <t>dmp/approval/by_mbox</t>
  </si>
  <si>
    <t>approval_by_mbox</t>
  </si>
  <si>
    <t>Email of the person who approved the maDMP</t>
  </si>
  <si>
    <t>What is the approval person's email?</t>
  </si>
  <si>
    <t>jean.dupont@email.com</t>
  </si>
  <si>
    <t>5</t>
  </si>
  <si>
    <t>dmp/approval/by_name</t>
  </si>
  <si>
    <t>approval_by_name</t>
  </si>
  <si>
    <t>Name of the person who approved the maDMP</t>
  </si>
  <si>
    <t>if approval_status = "submitted", "approved", or "rejected"</t>
  </si>
  <si>
    <t>dmp/approval/status</t>
  </si>
  <si>
    <t>What is the name of the approval person?</t>
  </si>
  <si>
    <t>Jean Dupont</t>
  </si>
  <si>
    <t>dmp/approval/by_position</t>
  </si>
  <si>
    <t>approval_by_position</t>
  </si>
  <si>
    <t>Job position of the person who approved the maDMP</t>
  </si>
  <si>
    <t>What is the position of the approval person?</t>
  </si>
  <si>
    <t>Director</t>
  </si>
  <si>
    <t>dmp/approval/date</t>
  </si>
  <si>
    <t>approval_date</t>
  </si>
  <si>
    <t>DMP Approval date. Encoded using the relevant ISO 8601 Date &lt;a href="https://www.w3.org/TR/NOTE-datetime"&gt;compliant string&lt;/a&gt;</t>
  </si>
  <si>
    <t>What was the date of the approval action?</t>
  </si>
  <si>
    <t>2023-12-31</t>
  </si>
  <si>
    <t>Date. ISO 8601 date compliant string</t>
  </si>
  <si>
    <t>8</t>
  </si>
  <si>
    <t>dmp/approval/description</t>
  </si>
  <si>
    <t>approval_description</t>
  </si>
  <si>
    <t>To provide any free-form text information on the approval for the DMP</t>
  </si>
  <si>
    <t>Provide a description of the approval.</t>
  </si>
  <si>
    <t>Need to respond to all required fields</t>
  </si>
  <si>
    <t>approval_status</t>
  </si>
  <si>
    <t>Approval status for the DMP</t>
  </si>
  <si>
    <t>when the approval nested structure exists</t>
  </si>
  <si>
    <t>contact</t>
  </si>
  <si>
    <t>What is the maDMP approval status?</t>
  </si>
  <si>
    <t>approved</t>
  </si>
  <si>
    <t>approved, rejected, submitted, not submitted, not applicable, unknown</t>
  </si>
  <si>
    <t>10</t>
  </si>
  <si>
    <t>dmp/contact/</t>
  </si>
  <si>
    <t>dmp_contact</t>
  </si>
  <si>
    <t>Specifies the party which can provide information about the DMP. This is not necessarily the DMP creator, and it can be a person or an organization.</t>
  </si>
  <si>
    <t>dmp/contact/affiliation/</t>
  </si>
  <si>
    <t>contact_affiliation</t>
  </si>
  <si>
    <t>To provide information about the organization the contact is affiliated with</t>
  </si>
  <si>
    <t>dmp/contact/affiliation/contact_affiliation_id/</t>
  </si>
  <si>
    <t>contact_affiliation_id</t>
  </si>
  <si>
    <t>Details about the organization's ID</t>
  </si>
  <si>
    <t>when the contact affiliation nested structure exists</t>
  </si>
  <si>
    <t>dmp/contact/affiliation/contact_affiliation_id/identifier</t>
  </si>
  <si>
    <t>contact_affiliation_id_identifier</t>
  </si>
  <si>
    <t>when the contact affiliation identifier nested structure exists</t>
  </si>
  <si>
    <t>What is the identifier of the contact's organization?</t>
  </si>
  <si>
    <t>0238rs311</t>
  </si>
  <si>
    <t>dmp/contact/affiliation/contact_affiliation_id/registry_name</t>
  </si>
  <si>
    <t>contact_affiliation_id_registry_name</t>
  </si>
  <si>
    <t>if "Other" was selected for contact_affiliation_id_type</t>
  </si>
  <si>
    <t>dmp/contact/affiliation/contact_affiliation_id/type</t>
  </si>
  <si>
    <t>What registry was used to provide the organization ID?</t>
  </si>
  <si>
    <t>Registre des entreprises du Quebec</t>
  </si>
  <si>
    <t>dmp/contact/affiliation/contact_affiliation_id/registry_uri</t>
  </si>
  <si>
    <t>contact_affiliation_id_registry_uri</t>
  </si>
  <si>
    <t>Where can the registry be found</t>
  </si>
  <si>
    <t>https://www.registreentreprises.gouv.qc.ca/reqna/gr/gr03/gr03a71.rechercheregistre.mvc/gr03a71?choixdomaine=RegistreEntreprisesQuebec</t>
  </si>
  <si>
    <t>dmp/contact/affiliation/contact_affiliation_id/registry_version</t>
  </si>
  <si>
    <t>contact_affiliation_id_registry_version</t>
  </si>
  <si>
    <t>What version of the registry/system was used or what date the registry/system was consulted?</t>
  </si>
  <si>
    <t>contact_affiliation_id_type</t>
  </si>
  <si>
    <t>To specify what type the organization identifier is.</t>
  </si>
  <si>
    <t>What type of identification system uniquely identifies the organization?</t>
  </si>
  <si>
    <t>ror</t>
  </si>
  <si>
    <t>ror, grid, isni, other</t>
  </si>
  <si>
    <t>dmp/contact/affiliation/contact_affiliation_name</t>
  </si>
  <si>
    <t>contact_affiliation_name</t>
  </si>
  <si>
    <t>Name of the organization the contact is affiliated with</t>
  </si>
  <si>
    <t>What is the name of the organization the contributor is affiliated with?</t>
  </si>
  <si>
    <t>Transport Canada</t>
  </si>
  <si>
    <t>dmp/contact/affiliation/contact_country/</t>
  </si>
  <si>
    <t>contact_country</t>
  </si>
  <si>
    <t>Country where the organization the contact is affiliated to, is located</t>
  </si>
  <si>
    <t>Canada</t>
  </si>
  <si>
    <t>dmp/contact/affiliation/contact_country/code</t>
  </si>
  <si>
    <t>contact_country_code</t>
  </si>
  <si>
    <t>The 2-letter code of the country, as per the ISO standard 3166-1 Codes for the representation of names of countries and their subdivisions – Part 1: Country codes</t>
  </si>
  <si>
    <t>when the country nested structure exists</t>
  </si>
  <si>
    <t>In which country is located the organization the contact is affiliated with? Provide the code</t>
  </si>
  <si>
    <t>US</t>
  </si>
  <si>
    <t>Use ISO 3166 Alpha-2 country code</t>
  </si>
  <si>
    <t>dmp/contact/affiliation/contact_country/name</t>
  </si>
  <si>
    <t>contact_country_name</t>
  </si>
  <si>
    <t>The name of the country, as per the ISO standard ISO 3166-1 Codes for the representation of names of countries and their subdivisions – Part 1: Country codes</t>
  </si>
  <si>
    <t>In which country is located the organization the contact is affiliated with? Provide the name</t>
  </si>
  <si>
    <t>United States of America</t>
  </si>
  <si>
    <t>dmp/contact/affiliation/contact_province_state/</t>
  </si>
  <si>
    <t>contact_province_state</t>
  </si>
  <si>
    <t>Province or state of the organization the contact is affiliated to.</t>
  </si>
  <si>
    <t>dmp/contact/affiliation/contact_province_state/code</t>
  </si>
  <si>
    <t>contact_province_state_code</t>
  </si>
  <si>
    <t>The 3-letter code of the province or state, as per the ISO standard 3166-2 Codes for the representation of names of countries and their subdivisions – Part 2: Country subdivision code</t>
  </si>
  <si>
    <t>when the province_state nested structure exists</t>
  </si>
  <si>
    <t>If applicable, in which subdivision of the country is located the organization that contact is affiliated with? Provide the code</t>
  </si>
  <si>
    <t>QC</t>
  </si>
  <si>
    <t>Use ISO 3166 Alpha-2 level 2 province, state, or territory code</t>
  </si>
  <si>
    <t>dmp/contact/affiliation/contact_province_state/name</t>
  </si>
  <si>
    <t>contact_province_state_name</t>
  </si>
  <si>
    <t>The name of the province or state, as per the ISO standard ISO 3166-2 Codes for the representation of names of countries and their subdivisions – Part 2: Country subdivision code</t>
  </si>
  <si>
    <t>If applicable, in which subdivision of the country is located the organization that contact is affiliated with? Provide the name</t>
  </si>
  <si>
    <t>Quebec</t>
  </si>
  <si>
    <t>Use ISO 3166 Alpha-2 level 2 province, state, or territory name</t>
  </si>
  <si>
    <t>dmp/contact/city</t>
  </si>
  <si>
    <t>contact_city</t>
  </si>
  <si>
    <t>City where the contact is located</t>
  </si>
  <si>
    <t>In which city is the contact located?</t>
  </si>
  <si>
    <t>Sherbrooke</t>
  </si>
  <si>
    <t>dmp/contact/contact_id/</t>
  </si>
  <si>
    <t>contact_id</t>
  </si>
  <si>
    <t>Persistent identifier associated with the contact</t>
  </si>
  <si>
    <r>
      <rPr>
        <u/>
        <sz val="9"/>
        <color rgb="FF1155CC"/>
        <rFont val="Calibri"/>
      </rPr>
      <t>dmp/contact/contact_id/identifier</t>
    </r>
  </si>
  <si>
    <t>contact_id_identifier</t>
  </si>
  <si>
    <t>To indicate the specific value of the contact’s  identifier</t>
  </si>
  <si>
    <t>What is the contact person's unique ID?</t>
  </si>
  <si>
    <t>0000-0000-0000-0000</t>
  </si>
  <si>
    <t>dmp/contact/contact_id/registry_name</t>
  </si>
  <si>
    <t>contact_id_registry_name</t>
  </si>
  <si>
    <t>To indicate what identifier system is used to identify the contact when selecting "other" as id type.</t>
  </si>
  <si>
    <t>if "Other" was selected for contact_id_type</t>
  </si>
  <si>
    <t>What other identifier system is used?</t>
  </si>
  <si>
    <t>GC Directory</t>
  </si>
  <si>
    <t>dmp/contact/contact_id/registry_url</t>
  </si>
  <si>
    <t>contact_id_registry_url</t>
  </si>
  <si>
    <t>Link to the identifier system used to identify the contact</t>
  </si>
  <si>
    <t>Where can the identifier system be accessed?</t>
  </si>
  <si>
    <t>https://gcdirectory-gcannuaire.ssc-spc.gc.ca/en/GCD/?pgid=002</t>
  </si>
  <si>
    <t>dmp/contact/contact_id/registry_version</t>
  </si>
  <si>
    <t>contact_id_registry_version</t>
  </si>
  <si>
    <t>2024/12/30</t>
  </si>
  <si>
    <r>
      <rPr>
        <u/>
        <sz val="9"/>
        <color rgb="FF1155CC"/>
        <rFont val="Calibri"/>
      </rPr>
      <t>dmp/contact/contact_id/type</t>
    </r>
  </si>
  <si>
    <t>contact_id_type</t>
  </si>
  <si>
    <t>To specify what type the contact’s  identifier is. It is recommended to use ORCID identifiers for scientists and researchers.</t>
  </si>
  <si>
    <t>orcid</t>
  </si>
  <si>
    <t>orcid, isni, openid, other</t>
  </si>
  <si>
    <t>dmp/contact/delivery_point</t>
  </si>
  <si>
    <t>contact_delivery_point</t>
  </si>
  <si>
    <t xml:space="preserve">Enter the street address for the responsible organization or individual
</t>
  </si>
  <si>
    <t>What is the contact person's civic address?</t>
  </si>
  <si>
    <t>2144; King West</t>
  </si>
  <si>
    <t>dmp/contact/fax</t>
  </si>
  <si>
    <t>contact_fax</t>
  </si>
  <si>
    <t>Telephone number of a facsimile machine for the responsible organization or individual.</t>
  </si>
  <si>
    <t>What is the contact person's fax number?</t>
  </si>
  <si>
    <t>1 (819) 5645698</t>
  </si>
  <si>
    <t>number</t>
  </si>
  <si>
    <t>dmp/contact/hours_of_service</t>
  </si>
  <si>
    <t>contact_hours_of_service</t>
  </si>
  <si>
    <t xml:space="preserve">The time period (including time zone) when the organization or individual can be contacted
</t>
  </si>
  <si>
    <t>What are the hours and time zone during which the organization or individual can be contacted?</t>
  </si>
  <si>
    <t>8:30/12:00; 13:00/16:30 EST</t>
  </si>
  <si>
    <r>
      <rPr>
        <u/>
        <sz val="9"/>
        <color rgb="FF1155CC"/>
        <rFont val="Calibri"/>
      </rPr>
      <t>dmp/contact/mbox</t>
    </r>
  </si>
  <si>
    <t>dmp_contact_mbox</t>
  </si>
  <si>
    <t>E-mail address</t>
  </si>
  <si>
    <t>What is contact person's e-mail address?</t>
  </si>
  <si>
    <t>xxxxxx@canada.ca</t>
  </si>
  <si>
    <r>
      <rPr>
        <u/>
        <sz val="9"/>
        <color rgb="FF1155CC"/>
        <rFont val="Calibri"/>
      </rPr>
      <t>dmp/contact/name</t>
    </r>
  </si>
  <si>
    <t>dmp_contact_name</t>
  </si>
  <si>
    <t>Name of the contact person or organization</t>
  </si>
  <si>
    <t>What is contact person's name?</t>
  </si>
  <si>
    <t>Winnie Pooh</t>
  </si>
  <si>
    <t>dmp/contact/position</t>
  </si>
  <si>
    <t>contact_position</t>
  </si>
  <si>
    <t>Position of the contact if contact is a person.</t>
  </si>
  <si>
    <t>What is the position of the contact person?</t>
  </si>
  <si>
    <t>Senior Systems Scientist</t>
  </si>
  <si>
    <t>dmp/contact/postal_zip_code</t>
  </si>
  <si>
    <t>contact_postal_zip_code</t>
  </si>
  <si>
    <t xml:space="preserve">ZIP or other postal code of the location
</t>
  </si>
  <si>
    <t>What is the contact person's postal code or zip code?</t>
  </si>
  <si>
    <t>J1J 2E8</t>
  </si>
  <si>
    <t>dmp/contact/role</t>
  </si>
  <si>
    <t>contact_role</t>
  </si>
  <si>
    <t>Role of the reponsible party.</t>
  </si>
  <si>
    <t>What is the role or function of the contact person or organization?</t>
  </si>
  <si>
    <t>Contact</t>
  </si>
  <si>
    <t>resourceProvider, custodian, owner, user, distributor, originator, pointOfContact, principalInvestigator, processor, publisher, author, collaborator, editor, mediator, rightsHolder</t>
  </si>
  <si>
    <t>dmp/contact/telephone</t>
  </si>
  <si>
    <t>contact_telephone</t>
  </si>
  <si>
    <t xml:space="preserve">Telephone number by which individuals can speak to the responsible organization or individual
</t>
  </si>
  <si>
    <t>What is the contact person's telephone number?</t>
  </si>
  <si>
    <t>1 (819) 5645600</t>
  </si>
  <si>
    <t>dmp/contact/url</t>
  </si>
  <si>
    <t>contact_url</t>
  </si>
  <si>
    <t xml:space="preserve">On-line information that can be used to contact the responsible individual or organization. This element should be expressed as a URL that will guide the user to further information online. 
</t>
  </si>
  <si>
    <t>What is the URL that links to the contact details of the responsible person or organization?</t>
  </si>
  <si>
    <t>www.geogratis.gc.ca</t>
  </si>
  <si>
    <t>dmp/contributor/</t>
  </si>
  <si>
    <t>dmp_contributor</t>
  </si>
  <si>
    <t>Party involved in the process of data management described by the DMP, or party involved in the creation and management of the DMP itself.</t>
  </si>
  <si>
    <t xml:space="preserve">nested data structure </t>
  </si>
  <si>
    <t>50</t>
  </si>
  <si>
    <t>dmp/contributor/affiliation/</t>
  </si>
  <si>
    <t>contributor_affiliation</t>
  </si>
  <si>
    <t xml:space="preserve">Provide information about the organization the contributor is affiliated with </t>
  </si>
  <si>
    <t>dmp/contributor/affiliation/contributor_affiliation_id/</t>
  </si>
  <si>
    <t>contributor_affiliation_id</t>
  </si>
  <si>
    <t>when the  contributor affiliation nested structure exists</t>
  </si>
  <si>
    <t>dmp/contributor/affiliation/contributor_affiliation_id/identifier</t>
  </si>
  <si>
    <t>contributor_affiliation_id_id</t>
  </si>
  <si>
    <t>when the contributor afilliation identifer nested structure exists</t>
  </si>
  <si>
    <t>What is the identifier of the contributor's organization?</t>
  </si>
  <si>
    <t>dmp/contributor/affiliation/contributor_affiliation_id/registry_name</t>
  </si>
  <si>
    <t>contributor_affiliation_id_registry_name</t>
  </si>
  <si>
    <t>To indicate what identifier system is used to identify the organization when "other" as id type.</t>
  </si>
  <si>
    <t>if "Other" was selected for contributor_affiliation_id_type</t>
  </si>
  <si>
    <t>dmp/contributor/affiliation/contributor_affiliation_id/type</t>
  </si>
  <si>
    <t>dmp/contributor/affiliation/contributor_affiliation_id/registry_url</t>
  </si>
  <si>
    <t>contributor_affiliation_id_registry_url</t>
  </si>
  <si>
    <t>dmp/contributor/affiliation/contributor_affiliation_id/registry_version</t>
  </si>
  <si>
    <t>contributor_affiliation_id_registry_version</t>
  </si>
  <si>
    <t>contributor_affiliation_id_type</t>
  </si>
  <si>
    <t>To specify what type the organization's identifier is.</t>
  </si>
  <si>
    <t>when the contributor affiliation nested structure exists</t>
  </si>
  <si>
    <t>dmp/contributor/affiliation/contributor_affiliation_name</t>
  </si>
  <si>
    <t>contributor_affiliation_name</t>
  </si>
  <si>
    <t>Name of the organization the contributor is affiliated with</t>
  </si>
  <si>
    <t>dmp/contributor/affiliation/contributor_country/</t>
  </si>
  <si>
    <t>contributor_country</t>
  </si>
  <si>
    <t>Country where the organization is located</t>
  </si>
  <si>
    <t>dmp/contributor/affiliation/contributor_country/code</t>
  </si>
  <si>
    <t>contributor_country_code</t>
  </si>
  <si>
    <t>In which country is located the organization the contributor is affiliated with? Provide the code</t>
  </si>
  <si>
    <t>dmp/contributor/affiliation/contributor_country/name</t>
  </si>
  <si>
    <t>contributor_country_name</t>
  </si>
  <si>
    <t>In which country is located the organization the contributor is affiliated with? Provide the name</t>
  </si>
  <si>
    <t>dmp/contributor/affiliation/contributor_province_state/</t>
  </si>
  <si>
    <t>contributor_province_state</t>
  </si>
  <si>
    <t>Province or state of the organization the contributor is affiliated with</t>
  </si>
  <si>
    <t>dmp/contributor/affiliation/contributor_province_state/code</t>
  </si>
  <si>
    <t>contributor_province_state_code</t>
  </si>
  <si>
    <t>If applicable, in which subdivision of the country is located the organization that contributor is affiliated with? Provide the code</t>
  </si>
  <si>
    <t>dmp/contributor/affiliation/contributor_province_state/name</t>
  </si>
  <si>
    <t>contributor_province_state_name</t>
  </si>
  <si>
    <t>The name of the province or state, as per the ISO standard ISO 3166-2  Codes for the representation of names of countries and their subdivisions – Part 2: Country subdivision code</t>
  </si>
  <si>
    <t>If applicable, in which subdivision of the country is located the organization that contributor is affiliated with? Provide the name</t>
  </si>
  <si>
    <t>dmp/contributor/city</t>
  </si>
  <si>
    <t>contributor_city</t>
  </si>
  <si>
    <t>City where the contributor is located</t>
  </si>
  <si>
    <t>In which city is the contributor or cited responsible party located?</t>
  </si>
  <si>
    <t>Montreal</t>
  </si>
  <si>
    <r>
      <rPr>
        <u/>
        <sz val="9"/>
        <color rgb="FF1155CC"/>
        <rFont val="Calibri"/>
      </rPr>
      <t>dmp/contributor/contributor_id/</t>
    </r>
  </si>
  <si>
    <t>contributor_id</t>
  </si>
  <si>
    <t>Persistent identifier associated with the contributor</t>
  </si>
  <si>
    <t>when the contributor nested structure exists</t>
  </si>
  <si>
    <t>contributor</t>
  </si>
  <si>
    <r>
      <rPr>
        <u/>
        <sz val="9"/>
        <color rgb="FF1155CC"/>
        <rFont val="Calibri"/>
      </rPr>
      <t>dmp/contributor/contributor_id/identifier</t>
    </r>
  </si>
  <si>
    <t>contributor_id_id</t>
  </si>
  <si>
    <t>To indicate the specific value of the contributor’s identifier </t>
  </si>
  <si>
    <t>when the contributor id structure exists</t>
  </si>
  <si>
    <t>What is the contributor's unique ID?</t>
  </si>
  <si>
    <t>1111-1111-1111-1111</t>
  </si>
  <si>
    <t>dmp/contributor/contributor_id/registry_name</t>
  </si>
  <si>
    <t>contributor_id_registry_name</t>
  </si>
  <si>
    <t>To indicate what identifier system is used to identify the contributor when selecting "other" as id type.</t>
  </si>
  <si>
    <t xml:space="preserve">if "Other" was selected for contributor_id_type </t>
  </si>
  <si>
    <t>dmp/contributor/contributor_id/type</t>
  </si>
  <si>
    <t>What identifier system is  used to identify the contributor?</t>
  </si>
  <si>
    <t>dmp/contributor/contributor_id/registry_url</t>
  </si>
  <si>
    <t>contributor_id_registry_url</t>
  </si>
  <si>
    <t>Link to the identifier system used to identify the contributor</t>
  </si>
  <si>
    <t>Where can the identifier system be found?</t>
  </si>
  <si>
    <t>dmp/contributor/contributor_id/registry_version</t>
  </si>
  <si>
    <t>contributor_id_registry_version</t>
  </si>
  <si>
    <t>To indicate the version number or date when the system was consulted</t>
  </si>
  <si>
    <r>
      <rPr>
        <u/>
        <sz val="9"/>
        <color rgb="FF1155CC"/>
        <rFont val="Calibri"/>
      </rPr>
      <t>dmp/contributor/contributor_id/type</t>
    </r>
  </si>
  <si>
    <t>contributor_id_type</t>
  </si>
  <si>
    <t>To specify what type the contributor’s identifier is. It is recommended to use ORCID ID for scientists and researchers.</t>
  </si>
  <si>
    <t>Which identifier type is used for the contributor's unique ID (orcid, isni, openid, other)?</t>
  </si>
  <si>
    <t>other</t>
  </si>
  <si>
    <t>dmp/contributor/delivery_point</t>
  </si>
  <si>
    <t>contributor_delivery_point</t>
  </si>
  <si>
    <t>Enter the street address for the contributor or the cited responsible party</t>
  </si>
  <si>
    <t>What is the contributor or cited responsible party's civic address?</t>
  </si>
  <si>
    <t>150 rue McGill, Montreal</t>
  </si>
  <si>
    <t>dmp/contributor/fax</t>
  </si>
  <si>
    <t>contributor_fax</t>
  </si>
  <si>
    <t>Telephone number of a facsimile machine for the contributor or cited responsible party</t>
  </si>
  <si>
    <t>What is the contributor or cited responsible party's fax number?</t>
  </si>
  <si>
    <t>1231231234</t>
  </si>
  <si>
    <t>dmp/contributor/hours_of_service</t>
  </si>
  <si>
    <t>contributor_hours_of_service</t>
  </si>
  <si>
    <t xml:space="preserve">The time period (including time zone) when the contributor or the cited responsible party can be contacted
</t>
  </si>
  <si>
    <t>What are the hours and time zone during which the contributor or cited responsible party can be contacted?</t>
  </si>
  <si>
    <t>08:30 - 17:30 UTC+5</t>
  </si>
  <si>
    <r>
      <rPr>
        <u/>
        <sz val="9"/>
        <color rgb="FF1155CC"/>
        <rFont val="Calibri"/>
      </rPr>
      <t>dmp/contributor/mbox</t>
    </r>
  </si>
  <si>
    <t>dmp_contributor_mbox</t>
  </si>
  <si>
    <t>To provide an E-mail address of the contributor</t>
  </si>
  <si>
    <t>What is the contributor's email?</t>
  </si>
  <si>
    <t>yyyyyy@canada.ca</t>
  </si>
  <si>
    <t>dmp/contributor/name</t>
  </si>
  <si>
    <t>dmp_contributor_name</t>
  </si>
  <si>
    <t>Name of the contributor</t>
  </si>
  <si>
    <t>What is the contributor's name?</t>
  </si>
  <si>
    <t>Christopher Robin</t>
  </si>
  <si>
    <t>dmp/contributor/position</t>
  </si>
  <si>
    <t>contributor_position</t>
  </si>
  <si>
    <t>Role or position of the contributor or cited responsible party</t>
  </si>
  <si>
    <t>What is the position of the contributor or cited responsible party?</t>
  </si>
  <si>
    <t>project manager</t>
  </si>
  <si>
    <t>yes</t>
  </si>
  <si>
    <t>dmp/contributor/postal_zip_code</t>
  </si>
  <si>
    <t>contributor_postal_zip_code</t>
  </si>
  <si>
    <t>ZIP or other postal code of the location</t>
  </si>
  <si>
    <t>What is the contributor or cited responsible party's postal code or zip code?</t>
  </si>
  <si>
    <t>H8T3F5</t>
  </si>
  <si>
    <t>dmp/contributor/role</t>
  </si>
  <si>
    <t>dmp_contributor_role</t>
  </si>
  <si>
    <t>To specify contributors’ role(s) within the data management process, including planning. It is recommended to list contributor roles according to the &lt;a href="https://datacite-metadata-schema.readthedocs.io/en/4.5/appendices/appendix-1/contributorType/" target="_blank"&gt;contributor types of DataCite Metadata Schema&lt;/a&gt;.</t>
  </si>
  <si>
    <t>1..n</t>
  </si>
  <si>
    <t>What is the contributor's role?</t>
  </si>
  <si>
    <t>Data steward</t>
  </si>
  <si>
    <t>dmp/contributor/telephone</t>
  </si>
  <si>
    <t>contributor_telephone</t>
  </si>
  <si>
    <t>Telephone number by which individuals can speak to the contributor or cited reponsible party</t>
  </si>
  <si>
    <t>What is the contributor or cited responsible party's telephone number?</t>
  </si>
  <si>
    <t>dmp/contributor/url</t>
  </si>
  <si>
    <t>contributor_url</t>
  </si>
  <si>
    <t xml:space="preserve">On-line information that can be used to contact the contributor or the cited responsible party. This element should be expressed as a URL that will guide the user to further information online. 
</t>
  </si>
  <si>
    <t>What is the URL that links to the contact details of the contributor or cited responsible party?</t>
  </si>
  <si>
    <t>https://profils-profiles.science.gc.ca/fr/profil/john-doe</t>
  </si>
  <si>
    <t>dmp/cost/</t>
  </si>
  <si>
    <t>cost</t>
  </si>
  <si>
    <t>To list costs related to data management. Providing multiple instances of a 'Cost' allows to break down costs into details. Providing one 'Cost' instance allows to provide one aggregated sum.</t>
  </si>
  <si>
    <t>dmp/cost/cost_documentation/</t>
  </si>
  <si>
    <t>cost_documentation</t>
  </si>
  <si>
    <t>Any external material documenting the costing details.</t>
  </si>
  <si>
    <t>dmp/cost/cost_documentation/access_url</t>
  </si>
  <si>
    <t>cost_documentation_access_url</t>
  </si>
  <si>
    <t>A URL of that gives access to the costdocumentation. e.g., landing page, feed, SPARQL endpoint. The access URL should be used for the URL of a service or location that can provide access to cost documentation, typically through a Web form, query or API call.</t>
  </si>
  <si>
    <t>Provide a link to the cost documentation.</t>
  </si>
  <si>
    <t>https://007gc.sharepoint.com/stb/wqmsd/Project.aspx</t>
  </si>
  <si>
    <t>dmp/cost/cost_documentation/download_url</t>
  </si>
  <si>
    <t>cost_documentation_download_url</t>
  </si>
  <si>
    <t>Download URL to the cost documentation</t>
  </si>
  <si>
    <t>Provide the download URL for the cost documentation.</t>
  </si>
  <si>
    <t>https://gc.sharepoint.com/dpmo/projects/project 345 business charter.docx</t>
  </si>
  <si>
    <t>dmp/cost/cost_documentation/name</t>
  </si>
  <si>
    <t>cost_documentation_name</t>
  </si>
  <si>
    <t>Title of the external document documenting the  cost</t>
  </si>
  <si>
    <t>when cost_documentation nested structure exists</t>
  </si>
  <si>
    <t>What is the title of the cost documentation?</t>
  </si>
  <si>
    <t>Project Business Charter</t>
  </si>
  <si>
    <r>
      <rPr>
        <u/>
        <sz val="9"/>
        <color rgb="FF1155CC"/>
        <rFont val="Calibri"/>
      </rPr>
      <t>dmp/cost/currency_code</t>
    </r>
  </si>
  <si>
    <t>cost_unit</t>
  </si>
  <si>
    <t>Allowed values defined by ISO 4217.</t>
  </si>
  <si>
    <t>if cost_value exists</t>
  </si>
  <si>
    <t>What is the currency for the cost amount?</t>
  </si>
  <si>
    <t>USD</t>
  </si>
  <si>
    <t>Use ISO 4217 codes</t>
  </si>
  <si>
    <r>
      <rPr>
        <u/>
        <sz val="9"/>
        <color rgb="FF1155CC"/>
        <rFont val="Calibri"/>
      </rPr>
      <t>dmp/cost/description</t>
    </r>
  </si>
  <si>
    <t>cost_description</t>
  </si>
  <si>
    <t>To provide additional details about a cost, including specifying which activities or resources it relates to, such as making data FAIR, ensuring data accessibility, or enhancing its reusability.</t>
  </si>
  <si>
    <t>Describe the costs.</t>
  </si>
  <si>
    <t>Storage and backup costs are calculated based on a 12-month storage period, daily incremental and weekly full backups, and a frequency of 4 restores per month, as outlined in the evaluation table at www.example-storagecostevaluation.com.</t>
  </si>
  <si>
    <r>
      <rPr>
        <u/>
        <sz val="9"/>
        <color rgb="FF1155CC"/>
        <rFont val="Calibri"/>
      </rPr>
      <t>dmp/cost/title</t>
    </r>
  </si>
  <si>
    <t>cost_title</t>
  </si>
  <si>
    <t>To give a title or name to identify the specific cost that is described in this section</t>
  </si>
  <si>
    <t>when cost nested structure exists</t>
  </si>
  <si>
    <t>Provide a title for the costs.</t>
  </si>
  <si>
    <t>Cloud storage and software</t>
  </si>
  <si>
    <r>
      <rPr>
        <u/>
        <sz val="9"/>
        <color rgb="FF1155CC"/>
        <rFont val="Calibri"/>
      </rPr>
      <t>dmp/cost/value</t>
    </r>
  </si>
  <si>
    <t>cost_value</t>
  </si>
  <si>
    <t>Cost value in the specified currency </t>
  </si>
  <si>
    <t>What is the total cost amount?</t>
  </si>
  <si>
    <t>1,000,000</t>
  </si>
  <si>
    <r>
      <rPr>
        <u/>
        <sz val="9"/>
        <color rgb="FF1155CC"/>
        <rFont val="Calibri"/>
      </rPr>
      <t>dmp/created</t>
    </r>
  </si>
  <si>
    <t>dmp_created</t>
  </si>
  <si>
    <t>Date and time of the first version of the maDMP. This date must not be changed in subsequent maDMPs. Each maDMP has a "Created" date and a "Modified" date. The modification date contains a timestamp of the last modification of the maDMP. Given two maDMPs with different modification dates, one can identify which is newer by comparing the timestamps. The same creation date indicates different versions of the same DMP.  Encoded using the relevant ISO 8601 Date and Time &lt;a href="https://www.w3.org/TR/NOTE-datetime"&gt;compliant string&lt;/a&gt;</t>
  </si>
  <si>
    <t>When was the first version of the maDMP created?</t>
  </si>
  <si>
    <t>2019-03-13T13:13:00Z</t>
  </si>
  <si>
    <t>DateTime. ISO 8601 datetime compliant string</t>
  </si>
  <si>
    <t>dmp/dataset/</t>
  </si>
  <si>
    <t>dataset</t>
  </si>
  <si>
    <t>To describe data on a non-technical level.</t>
  </si>
  <si>
    <t>dmp/dataset/dataset_alternate_identifier/</t>
  </si>
  <si>
    <t>dataset_alternate_identifier</t>
  </si>
  <si>
    <t>Details about an alternate identifier for the dataset</t>
  </si>
  <si>
    <t>dmp/dataset/dataset_alternate_identifier/identifier</t>
  </si>
  <si>
    <t>dataset_alternate_identifier_identifier</t>
  </si>
  <si>
    <t>To indicate the specific value of the dataset alternate identifier </t>
  </si>
  <si>
    <t>when the dataset_alternate_identifier nested structure exists</t>
  </si>
  <si>
    <t>What is the alternate dataset identifier ID?</t>
  </si>
  <si>
    <t>project-dataset-a</t>
  </si>
  <si>
    <t>dmp/dataset/dataset_alternate_identifier/identifier/registry_name</t>
  </si>
  <si>
    <t>dataset_alternate_identifierregistry_name</t>
  </si>
  <si>
    <t>To indicate what identifier system is used to identify the dataset when selecting "other" as id type.</t>
  </si>
  <si>
    <t>if "Other" was selected for dataset_alternate_identifier_identifier_type</t>
  </si>
  <si>
    <t>dmp/dataset/dataset_alternate_identifier/identifier/type</t>
  </si>
  <si>
    <t>What registry or system was used to identify the dataset?</t>
  </si>
  <si>
    <t>data asset inventory</t>
  </si>
  <si>
    <t>dmp/dataset/dataset_alternate_identifier/identifier/registry_uri</t>
  </si>
  <si>
    <t>dataset_alternate_identifierregistry_uri</t>
  </si>
  <si>
    <t>Link to the identifier system used to identify the dataset</t>
  </si>
  <si>
    <t>https://007myorg.sharepoint.com/sites/DataAssets/Lists/DataAssetInventory/AllItems.aspx</t>
  </si>
  <si>
    <t>dmp/dataset/dataset_alternate_identifier/identifier/registry_version</t>
  </si>
  <si>
    <t>dataset_alternate_identifier_registry_version</t>
  </si>
  <si>
    <t>What version of the registry/system was used or what date was the registry/system consulted?</t>
  </si>
  <si>
    <t>dataset_alternate_identifier_type</t>
  </si>
  <si>
    <t>To specify what type the alternate dataset identifier is.</t>
  </si>
  <si>
    <t>What is the dataset alternate identifier ID type?</t>
  </si>
  <si>
    <t>dmp/dataset/collection/</t>
  </si>
  <si>
    <t>collection</t>
  </si>
  <si>
    <t>Information on how the data is collected.</t>
  </si>
  <si>
    <t>dmp/dataset/collection/data_earliest_date</t>
  </si>
  <si>
    <t>dataset_data_earliest_date</t>
  </si>
  <si>
    <t>The earliest date in the case of time series data. Encoded using the ISO 8601 Date  &lt;a href="https://www.w3.org/TR/NOTE-datetime"&gt;compliant string&lt;/a&gt;</t>
  </si>
  <si>
    <t>In the case of time-series data, what is the earliest date of the data in the series?</t>
  </si>
  <si>
    <t>1973-01-01</t>
  </si>
  <si>
    <t>dmp/dataset/collection/data_latest_date</t>
  </si>
  <si>
    <t>dataset_data_latest_date</t>
  </si>
  <si>
    <t>For time series data, date of the latest data in the series. Encoded using the relevant ISO 8601 Date &lt;a href="https://www.w3.org/TR/NOTE-datetime"&gt;compliant string&lt;/a&gt;</t>
  </si>
  <si>
    <t>For time series data, what is the date of the latest data in the series?</t>
  </si>
  <si>
    <t>2022-12-31</t>
  </si>
  <si>
    <t>dmp/dataset/collection/dataset_last_updated</t>
  </si>
  <si>
    <t>dataset_last_updated</t>
  </si>
  <si>
    <t>Date when the dataset was last updated. Encoded using the relevant ISO 8601 Date &lt;a href="https://www.w3.org/TR/NOTE-datetime"&gt;compliant string&lt;/a&gt;</t>
  </si>
  <si>
    <t>When was dataset last updated?</t>
  </si>
  <si>
    <t>2023-07-20</t>
  </si>
  <si>
    <t>dmp/dataset/collection/dataset_size</t>
  </si>
  <si>
    <t>dataset_size</t>
  </si>
  <si>
    <t>Size of the dataset from which distributions are derived.</t>
  </si>
  <si>
    <t xml:space="preserve">What is the size of the dataset according to the specified units? </t>
  </si>
  <si>
    <t>dmp/dataset/collection/dataset_size_units</t>
  </si>
  <si>
    <t>dataset_size_units</t>
  </si>
  <si>
    <t>Dataset size units</t>
  </si>
  <si>
    <t>What units were used to measure the size of the dataset?</t>
  </si>
  <si>
    <t>TB - terabytes</t>
  </si>
  <si>
    <t>bytes, KB - kilobytes, MB - megabytes, GB - gigabytes, TB - terabytes, PB - petabytes, EB - exabyte, ZB - zettabyte, YB - yottabyte</t>
  </si>
  <si>
    <t>100</t>
  </si>
  <si>
    <t>dmp/dataset/collection/dataset_update_frequency</t>
  </si>
  <si>
    <t>dataset_update_frequency</t>
  </si>
  <si>
    <t>The update frequency of the data in the dataset</t>
  </si>
  <si>
    <t>How frequently are the data updated?</t>
  </si>
  <si>
    <t>7 days</t>
  </si>
  <si>
    <t>triennial, biennial, annual, semiannual, threeTimesAYear, quarterly, bimonthly, monthly, semimonthly, biweekly, threeTimesAMonth, weekly, semiweekly, threeTimesAWeek, daily, continuous, irregular</t>
  </si>
  <si>
    <t>dmp/dataset/collection/description</t>
  </si>
  <si>
    <t>dataset_collection_description</t>
  </si>
  <si>
    <t>To describe the data collection processes</t>
  </si>
  <si>
    <t>Describe how data is collected</t>
  </si>
  <si>
    <t>See sampling calendar and protocol in the project documentation and the data SOPs including field observations, lab results ingestion etc.</t>
  </si>
  <si>
    <t>dmp/dataset/collection/growth_annual_terabytes</t>
  </si>
  <si>
    <t>dataset_growth_annual_terabytes</t>
  </si>
  <si>
    <t>The dataset annual growth rate in terabytes per year. Important information needed when planning storage and associated budget</t>
  </si>
  <si>
    <t>What is the expected annual growth rate of the dataset (terabytes per year)?</t>
  </si>
  <si>
    <t>0,3</t>
  </si>
  <si>
    <t>dmp/dataset/collection/growth_end_date</t>
  </si>
  <si>
    <t>growth_end_date</t>
  </si>
  <si>
    <t>Date on which data collection for this dataset is expected to cease</t>
  </si>
  <si>
    <t>On what date is data collection anticipated to end?</t>
  </si>
  <si>
    <t>2030</t>
  </si>
  <si>
    <t>dmp/dataset/creator</t>
  </si>
  <si>
    <t>dataset_creator</t>
  </si>
  <si>
    <t>To specify the creators of the dataset</t>
  </si>
  <si>
    <t>dmp/dataset/creator/affiliation</t>
  </si>
  <si>
    <t>creator_affiliation</t>
  </si>
  <si>
    <t xml:space="preserve">Provide information about the organization the creator is affiliated with </t>
  </si>
  <si>
    <t>dmp/dataset/creator/affiliation/creator_affiliation_id</t>
  </si>
  <si>
    <t>creator_affiliation_id</t>
  </si>
  <si>
    <t>when the creator_affiliation nested structure exists</t>
  </si>
  <si>
    <t>dmp/dataset/creator/affiliation/creator_affiliation_id/identifier</t>
  </si>
  <si>
    <t>creator_affiliation_id_id</t>
  </si>
  <si>
    <t>when the creator_affiliation_id nested structure exists</t>
  </si>
  <si>
    <t>What is the identifier of the creatore's organization?</t>
  </si>
  <si>
    <t xml:space="preserve">1178788700                                                                                                                                                                                                                                                                                                                                                                                                                                                                                                                                                                                                                                                                                                                                                                                                                                                                                                                                                                                                                                                                                                                                                                                                                                                                                                                                                                                                                                                      </t>
  </si>
  <si>
    <t>dmp/dataset/creator/affiliation/creator_affiliation_id/registry_name</t>
  </si>
  <si>
    <t>creator_affiliation_id_registry_name</t>
  </si>
  <si>
    <t>if "Other" was selected for dmp/dataset/creator/affiliation/affiliation_id/type</t>
  </si>
  <si>
    <t>dmp/dataset/creator/affiliation/creator_affiliation_id/registry_url</t>
  </si>
  <si>
    <t>creator_affiliation_id_registry_url</t>
  </si>
  <si>
    <t>dmp/dataset/creator/affiliation/creator_affiliation_id/registry_version</t>
  </si>
  <si>
    <t>creator_affiliation_id_registry_version</t>
  </si>
  <si>
    <t>dmp/dataset/creator/affiliation/creator_affiliation_id/type</t>
  </si>
  <si>
    <t>creator_affiliation_id_type</t>
  </si>
  <si>
    <t>dmp/dataset/creator/affiliation/creator_affiliation_name</t>
  </si>
  <si>
    <t>creator_affiliation_name</t>
  </si>
  <si>
    <t>Name of the organization the creator is affiliated with</t>
  </si>
  <si>
    <t>What is the name of the organization the creator is affiliated with?</t>
  </si>
  <si>
    <t>dmp/dataset/creator/affiliation/creator_country/</t>
  </si>
  <si>
    <t>creator_country</t>
  </si>
  <si>
    <t>dmp/dataset/creator/affiliation/creator_country/code</t>
  </si>
  <si>
    <t>creator_country_code</t>
  </si>
  <si>
    <t>In which country is located the organization the creator is affiliated with? Provide the code</t>
  </si>
  <si>
    <t>dmp/dataset/creator/affiliation/creator_country/name</t>
  </si>
  <si>
    <t>creator_country_name</t>
  </si>
  <si>
    <t>In which country is located the organization the creator is affiliated with? Provide the name</t>
  </si>
  <si>
    <t>Use ISO 3166 Alpha-2 country name</t>
  </si>
  <si>
    <t>dmp/dataset/creator/affiliation/creator_province_state/</t>
  </si>
  <si>
    <t>creator_province_state</t>
  </si>
  <si>
    <t>dmp/dataset/creator/affiliation/creator_province_state/code</t>
  </si>
  <si>
    <t>creator_province_state_code</t>
  </si>
  <si>
    <t>If applicable, in which subdivision of the country is located the organization that creator is affiliated with? Provide the code</t>
  </si>
  <si>
    <t>dmp/dataset/creator/affiliation/creator_province_state/name</t>
  </si>
  <si>
    <t>creator_province_state_name</t>
  </si>
  <si>
    <t>If applicable, in which subdivision of the country is located the organization that creator is affiliated with? Provide the name</t>
  </si>
  <si>
    <t>dmp/dataset/creator/creator_id</t>
  </si>
  <si>
    <t>creator_id</t>
  </si>
  <si>
    <t>Identifier associated with the creator</t>
  </si>
  <si>
    <t>when the creator nested structure exists</t>
  </si>
  <si>
    <t>creator</t>
  </si>
  <si>
    <t>dmp/dataset/creator/creator_id/identifier</t>
  </si>
  <si>
    <t>creator_id_id</t>
  </si>
  <si>
    <t>To indicate the specific value of the creator's identifier</t>
  </si>
  <si>
    <t>when the project creator_id structure exists</t>
  </si>
  <si>
    <t>What is the creator's unique ID?</t>
  </si>
  <si>
    <t>dmp/dataset/creator/creator_id/registry_name</t>
  </si>
  <si>
    <t>creator_id_registry_name</t>
  </si>
  <si>
    <t>To indicate what reference is used to identify the creator when selecting "other" as id type.</t>
  </si>
  <si>
    <t>IF "other" was chosen in creator_id_type</t>
  </si>
  <si>
    <t>dmp/dataset/creator/creator_id/type</t>
  </si>
  <si>
    <t>What identifier system is  used to identify the creator?</t>
  </si>
  <si>
    <t>dmp/dataset/creator/creator_id/registry_url</t>
  </si>
  <si>
    <t>creator_id_registry_url</t>
  </si>
  <si>
    <t>Link to the reference used to identify the creator</t>
  </si>
  <si>
    <t>dmp/dataset/creator/creator_id/registry_version</t>
  </si>
  <si>
    <t>creator_id_registry_version</t>
  </si>
  <si>
    <t>creator_id_type</t>
  </si>
  <si>
    <t>To specify what type the creator’s identifier is. It is recommended to use ORCID identifiers for scientists and researchers.</t>
  </si>
  <si>
    <t>Which identifier type is used for the creator's unique ID (orcid, isni, openid, other)?</t>
  </si>
  <si>
    <t>dmp/dataset/creator/mbox</t>
  </si>
  <si>
    <t>creator_mbox</t>
  </si>
  <si>
    <t>To provide an E-mail address of the creator</t>
  </si>
  <si>
    <t>What is the creator's email address?</t>
  </si>
  <si>
    <t>john.doe@domain.com</t>
  </si>
  <si>
    <t>dmp/dataset/creator/name</t>
  </si>
  <si>
    <t>creator_name</t>
  </si>
  <si>
    <t>Name of the creator</t>
  </si>
  <si>
    <t>when the project creator_id nested structure exists</t>
  </si>
  <si>
    <t>What is the name of the creator?</t>
  </si>
  <si>
    <t>John Doe</t>
  </si>
  <si>
    <t>dmp/dataset/data_completeness</t>
  </si>
  <si>
    <t>dataset_completeness</t>
  </si>
  <si>
    <t xml:space="preserve">Dataset percentage completeness </t>
  </si>
  <si>
    <t>Describe the data completness.</t>
  </si>
  <si>
    <t>95% or greater</t>
  </si>
  <si>
    <t>95% or greater, 90% or greater, 85% or greater, 80% or greater, 75% or greater, 70% or greater, 65% or greater, 60% or greater, 55% or greater, 50% or greater, 45% or greater, 40% or greater, 35% or greater, 30% or greater, 25% or greater, 20% or greater, 15% or greater, 10% or greater, less than 10%</t>
  </si>
  <si>
    <t>dmp/dataset/data_criticality</t>
  </si>
  <si>
    <t>dataset_criticality</t>
  </si>
  <si>
    <t>To indicate how important the data are for the organization to achieve its goals. Example values: business function continuity and improvement, IM or IT modernization, intergovernmental agreement, minister/deputy minister priority, mission critical, policy compliance (departmental), policy compliance (federal), regulatory, risk mitigation, treasury board submission, vote netted revenue (VNR), other program priority (specify)</t>
  </si>
  <si>
    <t>What is the data criticality?</t>
  </si>
  <si>
    <t>business function continuity and improvement</t>
  </si>
  <si>
    <t>dmp/dataset/data_governance_description</t>
  </si>
  <si>
    <t>data_governance_description</t>
  </si>
  <si>
    <t>Indicate if there is a data governance framework like, for example, a specified departmental data governance framework, and/or if data governance is aligned with published principles such as the CARE Principles for Indigenous Data Governance, the First Nations principles of ownership, control, access and possession (OCAP), the Māori data governance model, or some other specified data governance model.</t>
  </si>
  <si>
    <t>Describe the data governance.</t>
  </si>
  <si>
    <t>Data governance is defined in the partneship agreement</t>
  </si>
  <si>
    <t>Y (Rights Management Information)</t>
  </si>
  <si>
    <t>dmp/dataset/data_quality_assurance</t>
  </si>
  <si>
    <t>dataset_quality_assurance</t>
  </si>
  <si>
    <t>To describe any quality assurance processes applied to a dataset, such as, to ensure its accuracy, reliability, consistency, and usability for its intended purposes. This includes systematic practices, procedures, and policies designed to maintain high data quality throughout its lifecycle. Note: Data quality control level is provided at the distribution level.</t>
  </si>
  <si>
    <t>Describe the data quality assurance.</t>
  </si>
  <si>
    <t>We calibrate measuring equipment daily, run repeat samples to monitor consistency in measurements and results, and cross-check collected data with at least two colleagues for accuracy. </t>
  </si>
  <si>
    <t>dmp/dataset/dataset_documentation/</t>
  </si>
  <si>
    <t>dataset_documentation</t>
  </si>
  <si>
    <t>Repeat as many times as needed to list all existing documentation, procedures for data processing, management, analysis and dissemination; for example: code book, contract, data dictionary, data production specification (ISO 19131 compliant), ELN (electronic lab notebook) protocol, QA/QC methods, SOP (standard operating procedure), workflows, etc.  If applicable, create an entry to indicate the classification plan code that applies to the dataset. In that case, enter "classification plan code" as the name and the actual code in the description. Make sure you also provide the related computing environment information in the dedicated section.</t>
  </si>
  <si>
    <t>dmp/dataset/dataset_documentation/access_url</t>
  </si>
  <si>
    <t>dataset_documentation_access_url</t>
  </si>
  <si>
    <t>A URL of that gives access to the dataset documentation. e.g., landing page, feed, SPARQL endpoint. The access URL should be used for the URL of a service or location that can provide access to dataset documentation, typically through a Web form, query or API call.</t>
  </si>
  <si>
    <t>Provide a link to the dataset documentation.</t>
  </si>
  <si>
    <t>some.intranet/.../project page.aspx</t>
  </si>
  <si>
    <t>dmp/dataset/dataset_documentation/description</t>
  </si>
  <si>
    <t>dataset_documentation_description</t>
  </si>
  <si>
    <t>To describe the documentation of the dataset</t>
  </si>
  <si>
    <t>Describe the dataset documentation.</t>
  </si>
  <si>
    <t>includes all code required for data ingestion</t>
  </si>
  <si>
    <t>dmp/dataset/dataset_documentation/download_url</t>
  </si>
  <si>
    <t>dataset_documentation_download_url</t>
  </si>
  <si>
    <t>Download URL to the dataset documentation</t>
  </si>
  <si>
    <t>Provide the download URL for the dataset documentation.</t>
  </si>
  <si>
    <t>http://some.repo.../download/...</t>
  </si>
  <si>
    <t>dmp/dataset/dataset_documentation/name</t>
  </si>
  <si>
    <t>dataset_documentation_name</t>
  </si>
  <si>
    <t>Document name</t>
  </si>
  <si>
    <t>What is the name of the dataset documentation?</t>
  </si>
  <si>
    <t>code book</t>
  </si>
  <si>
    <t>dmp/dataset/dataset_id/</t>
  </si>
  <si>
    <t>dataset_id</t>
  </si>
  <si>
    <t>Identifier associated with the dataset</t>
  </si>
  <si>
    <r>
      <rPr>
        <u/>
        <sz val="9"/>
        <color rgb="FF1155CC"/>
        <rFont val="Calibri"/>
      </rPr>
      <t>dmp/dataset/dataset_id/identifier</t>
    </r>
  </si>
  <si>
    <t>dataset_id_id</t>
  </si>
  <si>
    <t>To indicate the specific value of the dataset ID</t>
  </si>
  <si>
    <t>Provide the dataset identifier</t>
  </si>
  <si>
    <t>dmp/dataset/dataset_id/registry_name</t>
  </si>
  <si>
    <t>dataset_id_registry_name</t>
  </si>
  <si>
    <t>To indicate what registry or system is used to identify the dataset when selecting "other" as id type.</t>
  </si>
  <si>
    <t xml:space="preserve">if "Other" was selected for dataset_id_type </t>
  </si>
  <si>
    <t>dmp/dataset/dataset_id/registry_url</t>
  </si>
  <si>
    <t>dataset_id_registry_url</t>
  </si>
  <si>
    <t>Link to the registry or system used to identify the dataset</t>
  </si>
  <si>
    <t>dmp/dataset/dataset_id/registry_version</t>
  </si>
  <si>
    <t>dataset_id_registry_version</t>
  </si>
  <si>
    <t>To indicate the version number or date when the system or registry was consulted</t>
  </si>
  <si>
    <r>
      <rPr>
        <u/>
        <sz val="9"/>
        <color rgb="FF1155CC"/>
        <rFont val="Calibri"/>
      </rPr>
      <t>dmp/dataset/dataset_id/type</t>
    </r>
  </si>
  <si>
    <t>dataset_id_type</t>
  </si>
  <si>
    <t>To specify what type the dataset ID is.</t>
  </si>
  <si>
    <t>What type is the dataset identifier?</t>
  </si>
  <si>
    <t>dmp/dataset/description</t>
  </si>
  <si>
    <t>dataset_description</t>
  </si>
  <si>
    <t>Description is a property in both Dataset and Distribution, in compliance with W3C DCAT. In some cases these might be identical, but in most cases the Dataset represents a more abstract concept, while the distribution can point to a specific file.</t>
  </si>
  <si>
    <t>Describe the dataset.</t>
  </si>
  <si>
    <t>The dataset includes detailed measurements of temperature, humidity, and soil moisture levels collected at various time intervals (every 30 minutes) across multiple locations. The dataset will also include metadata such as GPS coordinates, sensor calibration data, and environmental conditions. The primary objective of this dataset is to analyze the correlation between these variables and their impact on plant growth patterns over a 6-month period.</t>
  </si>
  <si>
    <t>dmp/dataset/disclaimer</t>
  </si>
  <si>
    <t>dataset_disclaimer</t>
  </si>
  <si>
    <t>limitation affecting the fitness for use of the resource or metadata</t>
  </si>
  <si>
    <t xml:space="preserve">Indicate any limitation affecting the fitness for use of the dataset
</t>
  </si>
  <si>
    <t>not to be used for navigation</t>
  </si>
  <si>
    <t>dmp/dataset/disposition_action/</t>
  </si>
  <si>
    <t>disposition_action</t>
  </si>
  <si>
    <t>dataset_disposition_action</t>
  </si>
  <si>
    <t xml:space="preserve">Used to document disposition that has been effected in relation to a dataset. Note: when all data associated with a dataset has been disposed, also indicate this in “dmp/dataset/disposition_completed.” </t>
  </si>
  <si>
    <t>dmp/dataset/disposition_action/authorization</t>
  </si>
  <si>
    <t>dataset_disposition_action_authorization</t>
  </si>
  <si>
    <t>Indicate disposition authorization number and details when available. May also be used to document internal signoff.</t>
  </si>
  <si>
    <t xml:space="preserve">What legal instrument authorized the disposition? </t>
  </si>
  <si>
    <t>DA 2018/001, Application Guide for National Registration version 2.0. Signoff by CIO on 2020-03-13.</t>
  </si>
  <si>
    <t>dmp/dataset/disposition_action/date</t>
  </si>
  <si>
    <t>dataset_disposition_action_date</t>
  </si>
  <si>
    <t>Date on which disposition effected. Encoded using the ISO 8601 Date &lt;a href="https://www.w3.org/TR/NOTE-datetime"&gt;compliant string&lt;/a&gt;</t>
  </si>
  <si>
    <t>when the disposition_action nested structure exists</t>
  </si>
  <si>
    <t>On what date was disposition effected?</t>
  </si>
  <si>
    <t xml:space="preserve">2020-03-1
</t>
  </si>
  <si>
    <t>dmp/dataset/disposition_action/description</t>
  </si>
  <si>
    <t>dataset_disposition_action_description</t>
  </si>
  <si>
    <t>To document the scope of disposition action effected, as well as other details when required (e.g., means, issues).</t>
  </si>
  <si>
    <t>What was the scope of the disposition? What details are important for documented disposition?</t>
  </si>
  <si>
    <t>All non-disseminated datasets associated with the project NameMyTree were manually deleted from drive Z by project lead. Litigation and ATIP checks had been completed 2020-01-12. Backup tapes not addressed.</t>
  </si>
  <si>
    <t>dmp/dataset/disposition_action/type</t>
  </si>
  <si>
    <t>dataset_disposition_action_type</t>
  </si>
  <si>
    <t>Indicate the type of action taken to dispose of the data (scope of the data to be detailed in the description field)</t>
  </si>
  <si>
    <t>Was the dataset disposed by destruction, transfer to LAC, or alienation?</t>
  </si>
  <si>
    <t>alienated from government control</t>
  </si>
  <si>
    <t>alienated from government control, destroyed, transferred to national archives, transferred to another government institution</t>
  </si>
  <si>
    <t>dmp/dataset/disposition_completed</t>
  </si>
  <si>
    <t>dataset_disposition_completed</t>
  </si>
  <si>
    <t>Date when the last data associated with this dataset have been disposed (i.e., no data remains with the institution, and none is expected to accrue in the future). Encoded using the ISO 8601 Date &lt;a href="https://www.w3.org/TR/NOTE-datetime"&gt;compliant string&lt;/a&gt;</t>
  </si>
  <si>
    <t>Has ALL data associated with this dataset been disposed? (i.e., no data remains with the institution, and none is expected to accrue in the future)</t>
  </si>
  <si>
    <t xml:space="preserve">2019-06-0
</t>
  </si>
  <si>
    <t>dmp/dataset/disposition_planning/</t>
  </si>
  <si>
    <t>dataset_disposition_planning</t>
  </si>
  <si>
    <t>Used to document information in anticipation of a future disposition review. 
Note: does not document disposition actions actually effected.</t>
  </si>
  <si>
    <t>dmp/dataset/disposition_planning/archival_value</t>
  </si>
  <si>
    <t>dataset_archival_value</t>
  </si>
  <si>
    <t>Archival value according to the national archives. (Applies to records only.) 
For the Government of Canada, refer to definition of government records in the Library and Archives of Canada Act. Nevertheless, except in instances in which a distribution is considered a “publication” as defined in the Library and Archives of Canada Act, datasets under the control of a government institution likely meet the definition of a government record in the Act.</t>
  </si>
  <si>
    <t>when the disposition_planning nested structure exists</t>
  </si>
  <si>
    <t>disposition_planning</t>
  </si>
  <si>
    <t>Does the dataset have archival value?</t>
  </si>
  <si>
    <t>yes all</t>
  </si>
  <si>
    <t>yes all, yes part, no, not applicable, to be determined, unknown</t>
  </si>
  <si>
    <t>dmp/dataset/disposition_planning/archival_value_description</t>
  </si>
  <si>
    <t>dataset_archival_value_description</t>
  </si>
  <si>
    <t>Indicates nature and scope of the data with archival value according to national archives.</t>
  </si>
  <si>
    <t>What is the nature and scope of the data with archival value according to Library and Archives Canada instructions?</t>
  </si>
  <si>
    <t>dmp/dataset/disposition_planning/disposition_impediment</t>
  </si>
  <si>
    <t>disposition_impediment</t>
  </si>
  <si>
    <t>For noting time-limited impediments to effecting disposition at the end of the dataset's retention period. Note: use the retention specification nest to indicate an indefinite retention period or a perpetual use requirement.</t>
  </si>
  <si>
    <t>dmp/dataset/disposition_planning/disposition_impediment/description</t>
  </si>
  <si>
    <t>dataset_disposition_impediment_description</t>
  </si>
  <si>
    <t>Include the name of the litigation, software, etc. where applicable.
Note: if there is a known end date to the disposition impediment, consider entering it in “dmp/dataset/disposition_planning/disposition_review _next”</t>
  </si>
  <si>
    <t>What is preventing you from effecting disposition, once the retention period has elapsed?</t>
  </si>
  <si>
    <t>Thompson et al v. Canada</t>
  </si>
  <si>
    <t>dmp/dataset/disposition_planning/disposition_impediment/type</t>
  </si>
  <si>
    <t>dataset_disposition_impediment_type</t>
  </si>
  <si>
    <t>To indicate the type of impediment to disposition.</t>
  </si>
  <si>
    <t>when the disposition_impediment nested structure exists</t>
  </si>
  <si>
    <t>What type of impediment blocks you from effecting disposition?</t>
  </si>
  <si>
    <t>agreement</t>
  </si>
  <si>
    <t>agreement, ligation or legal issue, technical issue, no disposition authorization, organizational issue, other</t>
  </si>
  <si>
    <t>new</t>
  </si>
  <si>
    <t>dmp/dataset/disposition_planning/disposition_planning_last_reviewed</t>
  </si>
  <si>
    <t>dataset_disposition_planning_last_reviewed</t>
  </si>
  <si>
    <t>To record the most recent date on which the values entered in disposition planning properties were reviewed. Encoded using the relevant ISO 8601 Date &lt;a href="https://www.w3.org/TR/NOTE-datetime"&gt;compliant string&lt;/a&gt;. Indicate the type of action taken to dispose of the data (scope of the data to be detailed in the description field)</t>
  </si>
  <si>
    <t>When was the information in the disposition planning section last reviewed?</t>
  </si>
  <si>
    <t>2024-11-20</t>
  </si>
  <si>
    <t>dmp/dataset/disposition_planning/disposition_review_next</t>
  </si>
  <si>
    <t>dataset_disposition_review_next</t>
  </si>
  <si>
    <t>To record the next date(s) on which the dataset should be reviewed for disposition. (This may be the end of a retention period, the date on which a disposition impediment will be lifted, or some other date). Encoded using the relevant ISO 8601 Date &lt;a href="https://www.w3.org/TR/NOTE-datetime"&gt;compliant string&lt;/a&gt;.</t>
  </si>
  <si>
    <t>When should someone review whether disposition can be effected?</t>
  </si>
  <si>
    <t>2029-11-20</t>
  </si>
  <si>
    <t>dmp/dataset/disposition_planning/retention_schedule_url</t>
  </si>
  <si>
    <t>dataset_retention_schedule_url</t>
  </si>
  <si>
    <t>A URL that leads to the applicable retention schedule</t>
  </si>
  <si>
    <t>Where can you click to see the retention schedule?</t>
  </si>
  <si>
    <t>//intranet.server/.../retention_schedule</t>
  </si>
  <si>
    <t>dmp/dataset/disposition_planning/retention_specification</t>
  </si>
  <si>
    <t>retention_specification</t>
  </si>
  <si>
    <t>To provide the details about the retention specifications</t>
  </si>
  <si>
    <t>dmp/dataset/disposition_planning/retention_specification/description</t>
  </si>
  <si>
    <t>retention_specification_description</t>
  </si>
  <si>
    <t>Indicates how long a dataset should be retained, and why. In instances of determinate retention, a retention specification includes three elements: a retention period; a retention period initiator (trigger); a rationale that explains or justifies the retention period and trigger.</t>
  </si>
  <si>
    <t>when the retention_specification nested structure exists</t>
  </si>
  <si>
    <t>What are the retention specifications for the dataset?</t>
  </si>
  <si>
    <t>See the Directive on the Management of Microdata for all retention specifications.</t>
  </si>
  <si>
    <t>dmp/dataset/disposition_planning/retention_specification/required_destruction</t>
  </si>
  <si>
    <t>required_destruction</t>
  </si>
  <si>
    <t>To indicate that a dataset must be destroyed.
Note: context can be recorded in “retention_specifications/description.”</t>
  </si>
  <si>
    <t>Does this dataset need to be destroyed (e.g., according to consent forms), in whole or in part?</t>
  </si>
  <si>
    <t>dmp/dataset/disposition_planning/retention_specification/required_destruction_description</t>
  </si>
  <si>
    <t>required_destruction_date</t>
  </si>
  <si>
    <t>To record the date on which destruction was promised. Encoded using the relevant ISO 8601 Date &lt;a href="https://www.w3.org/TR/NOTE-datetime"&gt;compliant string&lt;/a&gt;.</t>
  </si>
  <si>
    <t>if "yes all", "yes part" was chosen in required_destruction</t>
  </si>
  <si>
    <t>On what date(s) was data destruction promised to occur? (e.g., according to consent forms)</t>
  </si>
  <si>
    <t xml:space="preserve">2042-01-01
</t>
  </si>
  <si>
    <t>dmp/dataset/disposition_planning/retention_specification/required_perpetual_use</t>
  </si>
  <si>
    <t>required_perpetual_use</t>
  </si>
  <si>
    <t>Examples where this may be required include the need to maintain scientific integrity, treaties, agreements, or compliance with UN Joinet-Orentlicher principles for the protection and promotion of human rights through action to combat impunity. 
Note: context can be recorded in “retention_specifications/description.”</t>
  </si>
  <si>
    <t>Do you need to keep this dataset indefinitely, for active use?</t>
  </si>
  <si>
    <t>dmp/dataset/disposition_planning/retention_specification/retention_period_duration</t>
  </si>
  <si>
    <t>retention_period_duration</t>
  </si>
  <si>
    <t>To record duration of retention period after trigger event. (At the end of its retention period, the dataset should be reviewed for disposition, and disposition effected if possible.) Encoded using the relevant ISO 8601 Duration compliant string.</t>
  </si>
  <si>
    <t>How long is the retention period?</t>
  </si>
  <si>
    <t>P7Y2M0DT0H0M0S</t>
  </si>
  <si>
    <t>ISO 8601 Duration compliant string.</t>
  </si>
  <si>
    <t>dmp/dataset/disposition_planning/retention_specification/retention_period_end_date</t>
  </si>
  <si>
    <t>retention_period_end_date</t>
  </si>
  <si>
    <t>To record a fixed date marking the end of a retention period. Note the end of its retention period, the dataset should be reviewed for disposition, and disposition effected if possible. Encoded using the relevant ISO 8601 Date &lt;a href="https://www.w3.org/TR/NOTE-datetime"&gt;compliant string&lt;/a&gt;</t>
  </si>
  <si>
    <t>On what date does the retention period end?</t>
  </si>
  <si>
    <t>dmp/dataset/disposition_planning/retention_specification/retention_rationale</t>
  </si>
  <si>
    <t>retention_rationale</t>
  </si>
  <si>
    <t>The reason (justification) for retaining a dataset for a particular period of time.</t>
  </si>
  <si>
    <t>Why is the dataset to be retained for the length of time indicated?</t>
  </si>
  <si>
    <t>Irreplicable observational data; 1962 ionosphere can no longer be replicated (space junk).</t>
  </si>
  <si>
    <t>dmp/dataset/disposition_planning/retention_specification/trigger_description</t>
  </si>
  <si>
    <t>trigger_description</t>
  </si>
  <si>
    <t>A trigger (retention period initiator) is an event in time that begins a retention period.</t>
  </si>
  <si>
    <t>What is the event that triggers a retention period?</t>
  </si>
  <si>
    <t>Data collection end date</t>
  </si>
  <si>
    <t>dmp/dataset/disposition_planning/retention_specification/trigger_occured</t>
  </si>
  <si>
    <t>trigger_occured</t>
  </si>
  <si>
    <t>The date on which the trigger was triggered, and the retention period began. Encoded using the relevant ISO 8601 Date &lt;a href="https://www.w3.org/TR/NOTE-datetime"&gt;compliant string&lt;/a&gt;.</t>
  </si>
  <si>
    <t>When did the retention period start?</t>
  </si>
  <si>
    <t>dmp/dataset/disposition_planning/retention_specification/trigger_type</t>
  </si>
  <si>
    <t>trigger_type</t>
  </si>
  <si>
    <t xml:space="preserve">To indicate the type of trigger </t>
  </si>
  <si>
    <t>What type of event triggers the retention period start?</t>
  </si>
  <si>
    <t>date (fixed)</t>
  </si>
  <si>
    <t>date (fixed), duration after date (fixed), duration after event, event, not applicable (indefinite retention), not applicable (transitory record), not set, range with maximum retention, range with minimum retention, range with min&amp;max retention</t>
  </si>
  <si>
    <t>dmp/dataset/distribution/</t>
  </si>
  <si>
    <t>distribution</t>
  </si>
  <si>
    <t>To provide technical information on a specific instance of data.</t>
  </si>
  <si>
    <t>dmp/dataset/distribution/access_url</t>
  </si>
  <si>
    <t>distribution_access_url</t>
  </si>
  <si>
    <t>A URL that gives access to the distribution. e.g., landing page, feed, SPARQL endpoint. The access URL should be used for the URL of a service or location that can provide access to the distribution, typically through a Web form, query or API call.</t>
  </si>
  <si>
    <t>What is the access URL to the dataset?</t>
  </si>
  <si>
    <t>some.data.catalogue/.../project_uuid</t>
  </si>
  <si>
    <r>
      <rPr>
        <u/>
        <sz val="9"/>
        <color rgb="FF1155CC"/>
        <rFont val="Calibri"/>
      </rPr>
      <t>dmp/dataset/distribution/available_until</t>
    </r>
  </si>
  <si>
    <t>distribution_available_until</t>
  </si>
  <si>
    <t>Indicates how long this distribution will be/should be available. Encoded using the relevant ISO 8601 Date &lt;a href="https://www.w3.org/TR/NOTE-datetime"&gt;compliant string&lt;/a&gt;</t>
  </si>
  <si>
    <t>When is the dataset available until?</t>
  </si>
  <si>
    <t>dmp/dataset/distribution/byte_size</t>
  </si>
  <si>
    <t>distribution_byte_size</t>
  </si>
  <si>
    <t>Size of the  distribution in bytes</t>
  </si>
  <si>
    <t>What  is the size of the distribution bytes?</t>
  </si>
  <si>
    <t>5,000,000,000,000</t>
  </si>
  <si>
    <t>dmp/dataset/distribution/character_encoding_standard</t>
  </si>
  <si>
    <t>character_encoding_standard</t>
  </si>
  <si>
    <t>Character encoding standard used in the distribution</t>
  </si>
  <si>
    <t>What character encoding standard is used for the data?</t>
  </si>
  <si>
    <t>UTF-16</t>
  </si>
  <si>
    <t>UTF-32, UTF-16, UTF-EBCDIC, UTF-8, UTF-7, UTF-1, ISO 8859-7, ISO 8859-6, ISO 8859-5, ISO 8859-4, ISO 8859-3, ISO 8859-2, ISO 8859-1, GB18030, ASCII</t>
  </si>
  <si>
    <t>dmp/dataset/distribution/character_unicode_block_code</t>
  </si>
  <si>
    <t>character_unicode_block_code</t>
  </si>
  <si>
    <t>Unicode block used in the distribution. Use the "code" from the Unicode Standard 15.1. https://en.wikipedia.org/wiki/Unicode_block#List_of_blocks</t>
  </si>
  <si>
    <t>What is the Unicode block code?</t>
  </si>
  <si>
    <t>U+18B0..U+18FF</t>
  </si>
  <si>
    <t>Use Unicode Standard 15.1</t>
  </si>
  <si>
    <t>dmp/dataset/distribution/character_unicode_block_name</t>
  </si>
  <si>
    <t>character_unicode_block_name</t>
  </si>
  <si>
    <r>
      <rPr>
        <sz val="9"/>
        <color rgb="FF000000"/>
        <rFont val="Calibri"/>
      </rPr>
      <t xml:space="preserve">Unicode block used in the distribution. Use the "name" from the Unicode Standard 15.1. </t>
    </r>
    <r>
      <rPr>
        <u/>
        <sz val="9"/>
        <color rgb="FF1155CC"/>
        <rFont val="Calibri"/>
      </rPr>
      <t>https://en.wikipedia.org/wiki/Unicode_block#List_of_blocks</t>
    </r>
  </si>
  <si>
    <t>What is the Unicode block name?</t>
  </si>
  <si>
    <t>Unified Canadian Aboriginal Syllabics Extended</t>
  </si>
  <si>
    <t>dmp/dataset/distribution/data_integrity</t>
  </si>
  <si>
    <t>data_integrity</t>
  </si>
  <si>
    <t xml:space="preserve">To provide the checksum or the hash (or a link to it) output and information about the method used to generate them </t>
  </si>
  <si>
    <t>dmp/dataset/distribution/data_integrity/value</t>
  </si>
  <si>
    <t>data_integrity_value</t>
  </si>
  <si>
    <t>To indicate the output (value) of the checksum or the hash function</t>
  </si>
  <si>
    <t>What is the  value of the checksum or hash function?</t>
  </si>
  <si>
    <t>dmp/dataset/distribution/data_integrity/download</t>
  </si>
  <si>
    <t>data_integrity_download</t>
  </si>
  <si>
    <t>To provide a link to download the checksum</t>
  </si>
  <si>
    <t>Where can the checksum be downloaded?</t>
  </si>
  <si>
    <t>dmp/dataset/distribution/data_integrity/algorithm</t>
  </si>
  <si>
    <t>data_integrity_algorithm</t>
  </si>
  <si>
    <t>To indicate the name of the algorithm used to generate a checksum or a hash</t>
  </si>
  <si>
    <t>What algorithm was used to generate the checksum or the hash?</t>
  </si>
  <si>
    <t>dmp/dataset/distribution/data_integrity/perfomed</t>
  </si>
  <si>
    <t>data_integrity_perfomed</t>
  </si>
  <si>
    <t>Date the checksum or hash was generated</t>
  </si>
  <si>
    <t>What date was the checksum generated?</t>
  </si>
  <si>
    <t>dmp/dataset/distribution/data_integrity/notes</t>
  </si>
  <si>
    <t>data_integrity_notes</t>
  </si>
  <si>
    <t>To indicate any information about automation or planning</t>
  </si>
  <si>
    <t>What additinal information can you provide about the automation or the planning of the checksum?</t>
  </si>
  <si>
    <t>dmp/dataset/distribution/created</t>
  </si>
  <si>
    <t>distribution_created</t>
  </si>
  <si>
    <t>Date of creation of the distribution. Encoded using the relevant ISO 8601 Date &lt;a href="https://www.w3.org/TR/NOTE-datetime"&gt;compliant string&lt;/a&gt;</t>
  </si>
  <si>
    <t>When was the distribution created?</t>
  </si>
  <si>
    <t>2009-11-02</t>
  </si>
  <si>
    <t>dmp/dataset/distribution/data_access</t>
  </si>
  <si>
    <t>distribution_data_access</t>
  </si>
  <si>
    <r>
      <rPr>
        <sz val="9"/>
        <color rgb="FF000000"/>
        <rFont val="Calibri"/>
      </rPr>
      <t xml:space="preserve">OPEN ACCESS: available to anyone based on an open license (e.g., CC0, CC-BY, Open Government License). SHARED ACCESS: Public access with a license that limits use, that is available to anyone under terms and conditions that are not ‘open' (e.g., CC-BY-NC), shared only with named people or organisations, or via authentication for specific groups that meet certain criteria. CLOSED ACCESS: Internal access only. https://theodi.org/insights/tools/the-data-spectrum/ ; </t>
    </r>
    <r>
      <rPr>
        <u/>
        <sz val="9"/>
        <color rgb="FF000000"/>
        <rFont val="Calibri"/>
      </rPr>
      <t>https://www.alerc.org.uk/uploads/7/6/3/3/7633190/an_introduction_to_open_shared_and_closed_data.pdf</t>
    </r>
  </si>
  <si>
    <t>when the distribution nested structure exists</t>
  </si>
  <si>
    <t>Is access to the data open, shared, or closed?</t>
  </si>
  <si>
    <t>dmp/dataset/distribution/data_security-privacy_measures</t>
  </si>
  <si>
    <t>distribution_data_security_privacy_measures</t>
  </si>
  <si>
    <t>To provide any free-form text information about security or privacy measures.</t>
  </si>
  <si>
    <t>What security measures are in places to ensure that security and privacy are not compromised?</t>
  </si>
  <si>
    <t>anonymisation, de-identification, encryption, hash function, pseudonymisation, statistical disclosure control, none</t>
  </si>
  <si>
    <t>dmp/dataset/distribution/data_size</t>
  </si>
  <si>
    <t>distribution_data_size</t>
  </si>
  <si>
    <t xml:space="preserve">The RDA standard requires describing size in bytes. However, byte_size does not provide a meaningful number for large files (e.g., a file that would typically be expressed in petabytes). Also, other systems (e.g., national archives) may require both data_size and data_size_units. </t>
  </si>
  <si>
    <t xml:space="preserve">What is the size of the distribution according to the specified units? </t>
  </si>
  <si>
    <t>dmp/dataset/distribution/data_size_units</t>
  </si>
  <si>
    <t>distribution_data_size_units</t>
  </si>
  <si>
    <t>What units were used to measure the size of the distribution?</t>
  </si>
  <si>
    <t>PB - petabytes</t>
  </si>
  <si>
    <t>dmp/dataset/distribution/description</t>
  </si>
  <si>
    <t>distribution_description</t>
  </si>
  <si>
    <t>Description is a property in both Dataset and Distribution, in compliance with W3C DCAT. In some cases these might be identical, but in most cases the Dataset represents a more abstract concept, while the distribution can point to a specific file. If required, indicate here the classification plan code that applies to the distribution.</t>
  </si>
  <si>
    <t>Describe the distribution of the dataset.</t>
  </si>
  <si>
    <t>This dataset contains measurements from a single research location at the University of California's Arboretum in Davis, California, collected every 30 minutes over a 6-month period from January 2024 until June 2024. Each file includes time-stamped data for temperature, humidity, and soil moisture, listed by date and time. The data is organized in CSV format, with each row representing a specific time point, including the location (UC Arboretum), timestamp, and the corresponding environmental variables.</t>
  </si>
  <si>
    <t>dmp/dataset/distribution/disposition_completed</t>
  </si>
  <si>
    <t>distribution_disposition_completed</t>
  </si>
  <si>
    <t>Indicates the date on which the distribution was disposed. (That is, the data lifecycle is complete, at the institution). 
In instances in which data was never created in relation to a planned distribution, indicates the date on which the creation of the distribution was abandoned. 
Encoded using the relevant ISO 8601 Date &lt;a href="https://www.w3.org/TR/NOTE-datetime"&gt;compliant string&lt;/a&gt;
Note: consider adding information to “dmp/dataset/distribution/description” regarding the nature of the disposition.</t>
  </si>
  <si>
    <t>Has ALL data associated with this distribution been disposed? If so, indicate date (i.e., no data remains with the institution, and none is expected to accrue in the future)</t>
  </si>
  <si>
    <t>2015-03-24</t>
  </si>
  <si>
    <t>dmp/dataset/distribution/distribution_id/</t>
  </si>
  <si>
    <t>distribution_id</t>
  </si>
  <si>
    <t>ID for the distribution</t>
  </si>
  <si>
    <t>dmp/dataset/distribution/distribution_id/identifier</t>
  </si>
  <si>
    <t>distribution_id_id</t>
  </si>
  <si>
    <t>Identifier for the dataset distribution</t>
  </si>
  <si>
    <t>Provide the distribution identifier ID.</t>
  </si>
  <si>
    <t>dmp/dataset/distribution/distribution_id/registry_name</t>
  </si>
  <si>
    <t>distribution_id_registry_name</t>
  </si>
  <si>
    <t>To indicate what reference is used to identify the distribution when selecting "other" as id type.</t>
  </si>
  <si>
    <t xml:space="preserve">if "Other" was selected for distributiion_id_type </t>
  </si>
  <si>
    <t>dmp/dataset/distribution/distribution_id/type</t>
  </si>
  <si>
    <t>What registry or system was used to identify the distribution?</t>
  </si>
  <si>
    <t>ECCC Data Catalogue</t>
  </si>
  <si>
    <t>dmp/dataset/distribution/distribution_id/registry_url</t>
  </si>
  <si>
    <t>distribution_id_registry_url</t>
  </si>
  <si>
    <t>Link to the reference used to identify the distribution</t>
  </si>
  <si>
    <t>https://data-donnees.az.ec.gc.ca/data</t>
  </si>
  <si>
    <t>dmp/dataset/distribution/distribution_id/registry_version</t>
  </si>
  <si>
    <t>distribution_id_registry_version</t>
  </si>
  <si>
    <t>What version of the registry/system or what date the registry/system was consulted?</t>
  </si>
  <si>
    <t>distribution_id_type</t>
  </si>
  <si>
    <t>What is the distribution identifier ID type?</t>
  </si>
  <si>
    <t>url</t>
  </si>
  <si>
    <t>dmp/dataset/distribution/download_url</t>
  </si>
  <si>
    <t>distribution_download_url</t>
  </si>
  <si>
    <t>The URL of the downloadable file in a given format. E.g. CSV file or RDF file.</t>
  </si>
  <si>
    <t>What is the download URL of the dataset.</t>
  </si>
  <si>
    <r>
      <rPr>
        <sz val="9"/>
        <color rgb="FF0000FF"/>
        <rFont val="Calibri"/>
      </rPr>
      <t>http://some.repo.../download/</t>
    </r>
    <r>
      <rPr>
        <sz val="9"/>
        <color rgb="FF0000FF"/>
        <rFont val="Calibri"/>
      </rPr>
      <t>...</t>
    </r>
  </si>
  <si>
    <t>dmp/dataset/distribution/end_date</t>
  </si>
  <si>
    <t>distribution_end_date</t>
  </si>
  <si>
    <t>Date of the most recent data in the distribution. Encoded using the relevant ISO 8601 Date &lt;a href="https://www.w3.org/TR/NOTE-datetime"&gt;compliant string&lt;/a&gt;</t>
  </si>
  <si>
    <t>When will the distribution end?
when did the distribution end?</t>
  </si>
  <si>
    <t>dmp/dataset/distribution/file_path</t>
  </si>
  <si>
    <t>distribution_file_path</t>
  </si>
  <si>
    <t>File path is for files that are available internally on shared drives but are not published on the internet. File paths using backslashes instead of forward slashes used for urls.</t>
  </si>
  <si>
    <t>What is the file path for this distribution?</t>
  </si>
  <si>
    <t>dmp/dataset/distribution/format</t>
  </si>
  <si>
    <t>distribution_format</t>
  </si>
  <si>
    <t xml:space="preserve">Format according to: https://www.iana.org/assignments/media-types/media-types.xhtml if appropriate, otherwise use the common name for this format.https://www.iana.org/assignments/media-types/media-types.xhtml </t>
  </si>
  <si>
    <t>What is this distribution’s file format?</t>
  </si>
  <si>
    <t>csv</t>
  </si>
  <si>
    <t>dmp/dataset/distribution/geographic_bounding_box/</t>
  </si>
  <si>
    <t>geographic_bounding_box</t>
  </si>
  <si>
    <t>Rectangular spatial extent that encompasses all the geographic locations represented in the data</t>
  </si>
  <si>
    <t>dmp/dataset/distribution/geographic_bounding_box/east</t>
  </si>
  <si>
    <t>geographic_bounding_box_east</t>
  </si>
  <si>
    <t>The easternmost point of the area covered by the dataset, expressed in degrees of latitude</t>
  </si>
  <si>
    <t>when dataset_geographic_bounding_box exists</t>
  </si>
  <si>
    <t>dataset_geographic_bounding_box</t>
  </si>
  <si>
    <t>Where is the easternmost point of the area covered by the dataset, expressed in degrees of latitude?</t>
  </si>
  <si>
    <t>dmp/dataset/distribution/geographic_bounding_box/north</t>
  </si>
  <si>
    <t>geographic_bounding_box_north</t>
  </si>
  <si>
    <t>The northernmost point of the area covered by the dataset, expressed in degrees of latitude</t>
  </si>
  <si>
    <t>Where is the northernmost point of the area covered by the dataset, expressed in degrees of latitude?</t>
  </si>
  <si>
    <t>dmp/dataset/distribution/geographic_bounding_box/south</t>
  </si>
  <si>
    <t>geographic_bounding_box_south</t>
  </si>
  <si>
    <t>The southernmost point of the area covered by the dataset, expressed in degrees of latitude</t>
  </si>
  <si>
    <t>Where is the southernmost point of the area covered by the dataset, expressed in degrees of latitude?</t>
  </si>
  <si>
    <t>dmp/dataset/distribution/geographic_bounding_box/west</t>
  </si>
  <si>
    <t>geographic_bounding_box_west</t>
  </si>
  <si>
    <t>The westernmost point of the area covered by the dataset, expressed in degrees of latitude</t>
  </si>
  <si>
    <t>Where is the westernmost point of the area covered by the dataset, expressed in degrees of latitude?</t>
  </si>
  <si>
    <t>dmp/dataset/distribution/host/</t>
  </si>
  <si>
    <t>host</t>
  </si>
  <si>
    <t>The host is the system where the data are stored and processed. Be sure to also fill in a physical data asset section to indicate in which the data are hosted especially in which country the server is located if they are hosted on a server or in the cloud.</t>
  </si>
  <si>
    <t>dmp/dataset/distribution/host/availability</t>
  </si>
  <si>
    <t>host_availability</t>
  </si>
  <si>
    <t>Defines whether the data host is operational 24/7 or has downtime periods. (preferably as a percentage)</t>
  </si>
  <si>
    <t>What is the availability of the distribution?</t>
  </si>
  <si>
    <t>scheduled downtimes</t>
  </si>
  <si>
    <t>dmp/dataset/distribution/host/backup_frequency</t>
  </si>
  <si>
    <t>host_backup_frequency</t>
  </si>
  <si>
    <t>Frequency of backups provided by a host</t>
  </si>
  <si>
    <t>How often is the distribution backed up to the host?</t>
  </si>
  <si>
    <t>weekly</t>
  </si>
  <si>
    <t>dmp/dataset/distribution/host/backup_type</t>
  </si>
  <si>
    <t>host_backup_type</t>
  </si>
  <si>
    <t>Type of backup of the host (e.g., incremental, full, differential, synthetic full) and/or backup location.</t>
  </si>
  <si>
    <t>What type of backup system is used for the host?</t>
  </si>
  <si>
    <t>dmp/dataset/distribution/host/certified_with</t>
  </si>
  <si>
    <t>host_certified_with</t>
  </si>
  <si>
    <t>To indicate host trustworthiness via a standard repository standard or certificate (e.g., ISO 27001, CoreTrustSeal, etc.)</t>
  </si>
  <si>
    <t>What is the host server certified with?</t>
  </si>
  <si>
    <t>coretrustseal</t>
  </si>
  <si>
    <t>dmp/dataset/distribution/host/content_type</t>
  </si>
  <si>
    <t>host_content_type</t>
  </si>
  <si>
    <t>Content type of the online service (e.g., Web Service, Dataset, API, Application, Supporting Document)</t>
  </si>
  <si>
    <t>What is the content type of the online service?</t>
  </si>
  <si>
    <t>Web Service</t>
  </si>
  <si>
    <t>dmp/dataset/distribution/host/data_priority</t>
  </si>
  <si>
    <t>host_data_priority</t>
  </si>
  <si>
    <t>Indicate if the data are active data, longterm storage, or transitory. For batch priority-based scheduling, declare relative priorities to determine the processing order of jobs and business processes: Low, Normal (default value), High, Critical, and Reserved capacity (highest priority).</t>
  </si>
  <si>
    <t>What is the priority of the data in the dataset?</t>
  </si>
  <si>
    <t>Longterm storage; batch processing priority low</t>
  </si>
  <si>
    <t>dmp/dataset/distribution/host/data_transfer_maximum_latency</t>
  </si>
  <si>
    <t>host_data_transfer_maximum_latency</t>
  </si>
  <si>
    <t xml:space="preserve">Maximum data transfer latency of the distribution en ms, i.e. the delay of data transfer </t>
  </si>
  <si>
    <t>What is the data transfer maximum latency of the distribution?</t>
  </si>
  <si>
    <t>dmp/dataset/distribution/host/data_transfer_minimum_throughput</t>
  </si>
  <si>
    <t>host_data_transfer_minimum_throughput</t>
  </si>
  <si>
    <t>Maximum throughput of the distribution in Mbps</t>
  </si>
  <si>
    <t>What is the maximum throughput of the distribution?</t>
  </si>
  <si>
    <t>dmp/dataset/distribution/host/description</t>
  </si>
  <si>
    <t>host_description</t>
  </si>
  <si>
    <t>To describe the host of the distribution</t>
  </si>
  <si>
    <t>Describe the host.</t>
  </si>
  <si>
    <t>Repository hosted by...</t>
  </si>
  <si>
    <t>dmp/dataset/distribution/host/format</t>
  </si>
  <si>
    <t>host_format</t>
  </si>
  <si>
    <t>What is the format of the online service?</t>
  </si>
  <si>
    <t>WMS</t>
  </si>
  <si>
    <t>AI. AMF,Application,ASCII Grid,BMP,CDED ASCII,CDR,CSV,DOC,dxf,E00,ECW,EDI,EMF,EPS,ESRI REST,EXE,FGDB / GDB,Flat raster binary,GeoPDF,GeoRSS,GeoTIF,GIF,GML,HDF,HTML,IATI,JPEG 2000,JPG,JSON,JSON Lines,KML / KMZ,NetCDF,ODP,ODS,ODT,PDF,PNG,PPT,RDF,RDFa,RSS,SAR / CCT,SAV,SEGY,SHP,SQL,SVG,TIFF,TXT,XLS,XLSM,XML,WFS,WMS,WMTS,Zip,Other</t>
  </si>
  <si>
    <t>dmp/dataset/distribution/host/geo_location</t>
  </si>
  <si>
    <t>host_geo_location</t>
  </si>
  <si>
    <t>Physical location of the data expressed using ISO 3166-1 country code.</t>
  </si>
  <si>
    <t>Where is the location of the host server?</t>
  </si>
  <si>
    <t>CA</t>
  </si>
  <si>
    <t>dmp/dataset/distribution/host/language</t>
  </si>
  <si>
    <t>host_language</t>
  </si>
  <si>
    <t>Display language of the host system</t>
  </si>
  <si>
    <t>What is the display language of the online service?</t>
  </si>
  <si>
    <t>eng</t>
  </si>
  <si>
    <t>dmp/dataset/distribution/host/pid_system</t>
  </si>
  <si>
    <t>host_pid_system</t>
  </si>
  <si>
    <t>Persistent identifier system used by the host</t>
  </si>
  <si>
    <t>What pid system is used for the host server?</t>
  </si>
  <si>
    <t>ark</t>
  </si>
  <si>
    <t>ark, arxiv, bibcode, doi, ean13, eissn, handle, igsn, isbn, issn, istc, lissn, lsid, pmid, purl, upc, url, urn, other</t>
  </si>
  <si>
    <t>dmp/dataset/distribution/host/protocol</t>
  </si>
  <si>
    <t>host_protocol</t>
  </si>
  <si>
    <t>The protocol used to interact with the host</t>
  </si>
  <si>
    <t>What is the protocol to interact with the host?</t>
  </si>
  <si>
    <t>WMS, TMS, XYZ, WFS, WCS, REST/HTTP APIs, WMTS</t>
  </si>
  <si>
    <t>dmp/dataset/distribution/host/storage_type</t>
  </si>
  <si>
    <t>host_storage_type</t>
  </si>
  <si>
    <t>The type of storage, including whether the host supports versioning of data distributions</t>
  </si>
  <si>
    <t>What storage type does the host server use?</t>
  </si>
  <si>
    <t>cloud</t>
  </si>
  <si>
    <t>dmp/dataset/distribution/host/support_checksum</t>
  </si>
  <si>
    <t>host_support_checksum</t>
  </si>
  <si>
    <t>To indicate if checksums can be performed to ensure integrity of the distribution</t>
  </si>
  <si>
    <t>Does the host support checksum?</t>
  </si>
  <si>
    <t>yes (with exportable checksum); yes (without confirmed ability to export); no; unknown</t>
  </si>
  <si>
    <t>dmp/dataset/distribution/host/title</t>
  </si>
  <si>
    <t>host_title</t>
  </si>
  <si>
    <t>The name of the system hosting the dataset for external access</t>
  </si>
  <si>
    <t>when the host nested structure exists</t>
  </si>
  <si>
    <t>What is the title for the host of the distribution?</t>
  </si>
  <si>
    <t>Super Repository</t>
  </si>
  <si>
    <t>dmp/dataset/distribution/host/type</t>
  </si>
  <si>
    <t>host_type</t>
  </si>
  <si>
    <t>The type of system hosting the distribution</t>
  </si>
  <si>
    <t>What type is the host?</t>
  </si>
  <si>
    <t>data portal</t>
  </si>
  <si>
    <t>repository, data portal, file server, cloud storage, HPC system, other</t>
  </si>
  <si>
    <t>dmp/dataset/distribution/host/url</t>
  </si>
  <si>
    <t>host_url</t>
  </si>
  <si>
    <t>The URL of the system hosting a distribution of a dataset</t>
  </si>
  <si>
    <t>What is the url to the host of the distribution?</t>
  </si>
  <si>
    <t>https://zenodo.org</t>
  </si>
  <si>
    <t>dmp/dataset/distribution/host/version</t>
  </si>
  <si>
    <t>host_version</t>
  </si>
  <si>
    <t>Version number of the host system, if applicable. This field is relevant for software-based hosts such as repositories (e.g., Zenodo 4.0, Dataverse 5.13) or storage systems (e.g., MinIO RELEASE.2024-03-11T17-12-34Z). For hardware-based hosts like generic file servers, this field may be left blank.</t>
  </si>
  <si>
    <t>What version of the host is used ?</t>
  </si>
  <si>
    <t>dmp/dataset/distribution/issued</t>
  </si>
  <si>
    <t>distribution_issued</t>
  </si>
  <si>
    <t>Date of the publication of the distribution. Encoded using the relevant ISO 8601 Date &lt;a href="https://www.w3.org/TR/NOTE-datetime"&gt;compliant string&lt;/a&gt;</t>
  </si>
  <si>
    <t>When was the distribution issued?</t>
  </si>
  <si>
    <t>dmp/dataset/distribution/license/</t>
  </si>
  <si>
    <t>license</t>
  </si>
  <si>
    <t>To list all licenses applied to a specific distribution of data.</t>
  </si>
  <si>
    <t>if data_access is open</t>
  </si>
  <si>
    <t>dmp/dataset/distribution/license/license_ref</t>
  </si>
  <si>
    <t>license_ref</t>
  </si>
  <si>
    <t xml:space="preserve">Link to license document. Examples: https://open.canada.ca/en/open-government-license-canada ; https://choosealicense.com/licenses/mit/ ; https://creativecommons.org/licenses/by-sa/4.0/legalcode ; https://opensource.org/licenses </t>
  </si>
  <si>
    <t>when distribution nested structure exists</t>
  </si>
  <si>
    <t>Provide a link to the license.</t>
  </si>
  <si>
    <t>https://open.canada.ca/en/open-government-license-canada</t>
  </si>
  <si>
    <r>
      <rPr>
        <u/>
        <sz val="9"/>
        <color rgb="FF1155CC"/>
        <rFont val="Calibri"/>
      </rPr>
      <t>dmp/dataset/distribution/license/start_date</t>
    </r>
  </si>
  <si>
    <t>license_start_date</t>
  </si>
  <si>
    <t>If date is set in the future, it indicates an embargo period. Embargo for data sharing means that data will be made available using a license, but not immediately after deposition of data in a repository. For each distribution, one can assign a license. If the license is assigned, then it means that a distribution at some point will become available. The start date set for the license indicates when it becomes binding - in other words, when the distribution becomes available under this license.Encoded using the relevant ISO 8601 Date &lt;a href="https://www.w3.org/TR/NOTE-datetime"&gt;compliant string&lt;/a&gt;</t>
  </si>
  <si>
    <t>What is the start date of the license?</t>
  </si>
  <si>
    <r>
      <rPr>
        <u/>
        <sz val="9"/>
        <color rgb="FF1155CC"/>
        <rFont val="Calibri"/>
      </rPr>
      <t>dmp/dataset/distribution/linked_data_star_rating</t>
    </r>
  </si>
  <si>
    <t>linked_data_star_rating</t>
  </si>
  <si>
    <t xml:space="preserve">To rate the level of openness of the dataset according to the Tim Berners-Lee (founder of the World Wide Web) 5-star rating system for open data. To score the maximum five stars, data must (1) be available on the Web under an open license, (2) be in the form of structured data, (3) be in a non-proprietary file format, (4) use URIs as its identifiers (see also RDF), (5) include links to other data sources (see linked data). To score 3 stars, it must satisfy all of (1)-(3), etc. For guidance see,   https://opendatahandbook.org/glossary/en/terms/five-stars-of-open-data/  ;  https://5stardata.info/en/  ;  https://open.canada.ca/en/openness-rating  </t>
  </si>
  <si>
    <t>How many stars does this dataset meet according to the Berners-Lee 5-star rating system for open data?</t>
  </si>
  <si>
    <t>1 star</t>
  </si>
  <si>
    <t>1 star, 2 stars, 3 stars, 4 stars, 5 stars</t>
  </si>
  <si>
    <t>dmp/dataset/distribution/online_service/</t>
  </si>
  <si>
    <t>online_service</t>
  </si>
  <si>
    <t>To list online services where the distribution can be accessed</t>
  </si>
  <si>
    <t>dmp/dataset/distribution/online_service/content_type</t>
  </si>
  <si>
    <t>online_service_content_type</t>
  </si>
  <si>
    <t>Content type of the online service</t>
  </si>
  <si>
    <t>dmp/dataset/distribution/online_service/format</t>
  </si>
  <si>
    <t>online_service_format</t>
  </si>
  <si>
    <t>Format of the online service</t>
  </si>
  <si>
    <t>dmp/dataset/distribution/online_service/language</t>
  </si>
  <si>
    <t>online_service_language</t>
  </si>
  <si>
    <t>Display language of the online service</t>
  </si>
  <si>
    <t>when the online_service nested structure exists</t>
  </si>
  <si>
    <t>dmp/dataset/distribution/online_service/name</t>
  </si>
  <si>
    <t>online_service_name</t>
  </si>
  <si>
    <t>Name of the online service</t>
  </si>
  <si>
    <t>What is the name of the online service?</t>
  </si>
  <si>
    <t>Emerald Ash Borer Regulated Areas</t>
  </si>
  <si>
    <t>dmp/dataset/distribution/online_service/protocol</t>
  </si>
  <si>
    <t>online_service_protocol</t>
  </si>
  <si>
    <t>Protocol of the online service</t>
  </si>
  <si>
    <t>What is the protocol type of online service?</t>
  </si>
  <si>
    <t>OGC</t>
  </si>
  <si>
    <t>dmp/dataset/distribution/online_service/service_language</t>
  </si>
  <si>
    <t>online_service_service_language</t>
  </si>
  <si>
    <t>Language used for the online service</t>
  </si>
  <si>
    <t>What is the language used in the online service?</t>
  </si>
  <si>
    <t>dmp/dataset/distribution/online_service/service_url</t>
  </si>
  <si>
    <t>online_service_url</t>
  </si>
  <si>
    <t>A url that leads to the online service page</t>
  </si>
  <si>
    <t>What is the url that links to online service page?</t>
  </si>
  <si>
    <t>dmp/dataset/distribution/openness_other_rating</t>
  </si>
  <si>
    <t>other_openness_rating</t>
  </si>
  <si>
    <t>To rate the level of openness of the dataset according to a system other than the Tim Berner-Lees system, described in dmp/dataset/openness_other_rating_system.</t>
  </si>
  <si>
    <t>What is the dataset openness rate according to the chosen framework?</t>
  </si>
  <si>
    <t>dmp/dataset/distribution/openness_other_rating_system</t>
  </si>
  <si>
    <t>other_openness_rating_system</t>
  </si>
  <si>
    <t>Describe which system is used to rate the dataset openness when it's not the Tim Berners-Lee 5-star rating system.</t>
  </si>
  <si>
    <t>if other_openness_rating &lt;&gt;NULL</t>
  </si>
  <si>
    <t>What framework are you using to rate the dataset openness?</t>
  </si>
  <si>
    <t>dmp/dataset/distribution/physical_data_asset/</t>
  </si>
  <si>
    <t>physical_data_asset</t>
  </si>
  <si>
    <t>Allows for recording of physical assets (e.g., external hard drives) and/or physical location of servers, data centers, etc.</t>
  </si>
  <si>
    <t>Is this about a physical copy of the data or a physical object that stores the data?</t>
  </si>
  <si>
    <t>dmp/dataset/distribution/physical_data_asset/building_city</t>
  </si>
  <si>
    <t>physical_data_asset_building_city</t>
  </si>
  <si>
    <t>City name where the physical asset(s) are located</t>
  </si>
  <si>
    <t>What city is the physical data asset in?</t>
  </si>
  <si>
    <t>dmp/dataset/distribution/physical_data_asset/building_name</t>
  </si>
  <si>
    <t>physical_data_asset_building_name</t>
  </si>
  <si>
    <t>Building name where the physical asset(s) are located</t>
  </si>
  <si>
    <t>What is the name of the building where the physical data asset is located?</t>
  </si>
  <si>
    <t>dmp/dataset/distribution/physical_data_asset/building_room_number</t>
  </si>
  <si>
    <t>physical_data_asset_building_room_number</t>
  </si>
  <si>
    <t>Room number where the physical asset(s) are located</t>
  </si>
  <si>
    <t>What room number is the physical data asset stored in?</t>
  </si>
  <si>
    <t>dmp/dataset/distribution/physical_data_asset/description</t>
  </si>
  <si>
    <t>physical_data_asset_description</t>
  </si>
  <si>
    <t>Description of the physical data asset's appearance, functionality, contents, notable features, etc.</t>
  </si>
  <si>
    <t>when the physical_data_asset nested structure exists and distribution nested structure exists</t>
  </si>
  <si>
    <t>distribution, physical_data_asset</t>
  </si>
  <si>
    <t>Describe the physical data asset.</t>
  </si>
  <si>
    <t>dmp/dataset/distribution/physical_data_asset/name</t>
  </si>
  <si>
    <t>physical_data_asset_name</t>
  </si>
  <si>
    <t>Full device name in System where the physical asset(s) are located</t>
  </si>
  <si>
    <t>What is the computer name that houses the physical data asset?</t>
  </si>
  <si>
    <t>dmp/dataset/distribution/physical_data_asset/type</t>
  </si>
  <si>
    <t>physical_data_asset_type</t>
  </si>
  <si>
    <t>Physical object type the data is stored on (e.g., blue-ray, clay tablet, compact disk, dvd, hard drive, solid state drive, paper, parchment, stone, quipu, tape, thumb drive)</t>
  </si>
  <si>
    <t>What type of physical object is the data stored on?</t>
  </si>
  <si>
    <t>USB key</t>
  </si>
  <si>
    <t>dmp/dataset/distribution/preservation_flag</t>
  </si>
  <si>
    <t>distribution_preservation_flag</t>
  </si>
  <si>
    <t>To flag distributions for digital preservation attention purposes.</t>
  </si>
  <si>
    <t>Does this distribution have a very long or perpetual retention period, or have archival value?</t>
  </si>
  <si>
    <t>None</t>
  </si>
  <si>
    <t xml:space="preserve">Retention --perpetual /indefinite, Retention -- long-term, Archival value, None, Unknown
</t>
  </si>
  <si>
    <t>dmp/dataset/distribution/protection_level</t>
  </si>
  <si>
    <t>distribution_protection_level</t>
  </si>
  <si>
    <t>Protected information is not classified. Information is "protected" when unauthorized disclosure could reasonably be expected to cause injury to a non-national interest (i.e., an individual interest such as a person or an organization). Protected information is any sensitive information that does not relate to national security and cannot be disclosed under access and privacy legislation because of the potential injury to particular public or private interests. Protection levels: Protected A (Injury to an individual, organization or government), Protected B (Serious injury to an individual, organization or government), Protected C (Extremely grave injury to an individual, organization or government).  https://www.canada.ca/en/public-services-procurement/services/industrial-security/security-requirements-contracting/safeguarding-equipment-sites-assets-information/levels-security.html#s2</t>
  </si>
  <si>
    <t>What is the protection level for these data?</t>
  </si>
  <si>
    <t>protected A</t>
  </si>
  <si>
    <t>unknown, not protected, protected A, protected B, protected C, other</t>
  </si>
  <si>
    <t>dmp/dataset/distribution/protection_level_other_level</t>
  </si>
  <si>
    <t>distribution_protection_level_other_level</t>
  </si>
  <si>
    <t>To indicate the protection level of the distribution as per nomenclature found in distribution_protection_level_other_nomenclature</t>
  </si>
  <si>
    <t>if "other" was chosen from distribution_protection_level</t>
  </si>
  <si>
    <t>What is the protection level of this distribution according to the nomenclature?</t>
  </si>
  <si>
    <t>dmp/dataset/distribution/protection_level_other_nomenclature</t>
  </si>
  <si>
    <t>distribution_protection_level_other_nomenclature</t>
  </si>
  <si>
    <t>To indicate which nomenclature is used to qualify the distribution protection level when "other" was chosen in distribution_protection_level</t>
  </si>
  <si>
    <t>What other nomenclature is used to indicate the protection level of the distribution?</t>
  </si>
  <si>
    <t>dmp/dataset/distribution/quality_control_level</t>
  </si>
  <si>
    <t>distribution_quality_control_level</t>
  </si>
  <si>
    <t>Data quality control level. LEVEL 0 (Raw data or minimally processed data. Contains all available measurement data. May contain quality control flags indicating missing or invalid data. LEVEL 1 (A complete dataset of specified quality. The dataset has been subjected to quality assurance and quality control checks and data management procedures. Compliance with documented data quality objectives, standard operating procedures (SOPs), and protocols has been evaluated and documented. If the data have been audited, level '0' status will remain in effect until all audits have been completed and the investigator’s response recorded). LEVEL 2 (A complete, externally consistent dataset of specified quality that has undergone interpretative and diagnostic analyses. A validation level and status discussion must be included in the metadata record associated with the dataset). LEVEL 3 (Data that have received intense scrutiny through analysis or use in modeling. As analysis of the data proceeds, analysts may raise questions about portions of the level '2' dataset. Additional checks and tests will be performed on such data and the Level 3 code will be affixed to data passing these tests. If this scrutiny reveals an inconsistency that appears to be caused by a measurement error, the entire chain of evidence for the measurement will be reviewed). MIXED (A package of datasets with varying levels of data quality). UNKNOWN (Data quality is unknown). Reference: NARTSO Standard.</t>
  </si>
  <si>
    <t>What is the quality control level of this distribution?</t>
  </si>
  <si>
    <t>level 0 - raw</t>
  </si>
  <si>
    <t>level 0 - raw, level 1, level 2, level 3, mixed, other, unknown</t>
  </si>
  <si>
    <t>dmp/dataset/distribution/security_classification_level</t>
  </si>
  <si>
    <t>distribution_security_classification_level</t>
  </si>
  <si>
    <t>Security classification that designates the level of protection against access the data or information requires when unauthorized disclosure could reasonably be expected to cause injury to the national interest – defence and maintenance of the social, political and economic stability of the nation. Classification levels: Unclassified, Restricted (disadvantageous to the interests of the nation), Confidential (injury to the national interest), Secret (serious injury to the national interest), Top Secret (exceptionally grave injury to the national interest). "Other" could include, for example: Clearance, Compartmented information, Critical nuclear weapon design information (CNDWI), No foreign dissemination (NOFORN), Official/For official use only, Official sensitive, Originator controlled dissemination (ORCON), Special intelligence, Sensitive but unclassified. https://www.canada.ca/en/public-services-procurement/services/industrial-security/security-requirements-contracting/safeguarding-equipment-sites-assets-information/levels-security.html#s2</t>
  </si>
  <si>
    <t>What is the security classification of this distribution?</t>
  </si>
  <si>
    <t>unclassified</t>
  </si>
  <si>
    <t>unclassified, restricted, confidential, secret, top secret, other, unkown</t>
  </si>
  <si>
    <t>unclassified, restricted, confidential, secret, top secret, other, unknown</t>
  </si>
  <si>
    <t>dmp/dataset/distribution/security_classification_level_other_level</t>
  </si>
  <si>
    <t>distribution_security_classification_level_other_nomenclature</t>
  </si>
  <si>
    <t>To indicate which nomenclature is used to qualify classified information</t>
  </si>
  <si>
    <t>if "other" was chosen from dmp/dataset/distribution/security_classification_level</t>
  </si>
  <si>
    <t>What other nomenclature is used to describe classified information?</t>
  </si>
  <si>
    <t>dmp/dataset/distribution/security_classification_level_other_nomenclature</t>
  </si>
  <si>
    <t>distribution_security_classification_level_other_level</t>
  </si>
  <si>
    <t>To indicate the level of the classified information held by the distribution according o the nomenclature found in distribution_security_classification_level_other_nomenclature</t>
  </si>
  <si>
    <t>Indicate the level of classified information of the dmp according to the nomenclature</t>
  </si>
  <si>
    <t>dmp/dataset/distribution/spatial_representation_type</t>
  </si>
  <si>
    <t>distribution_spatial_representation_type</t>
  </si>
  <si>
    <t>Spatial representation type of the data</t>
  </si>
  <si>
    <t xml:space="preserve">What is the type of digital representation of spatial information in the distribution?
</t>
  </si>
  <si>
    <t>vector, grid, textTable, tin, stereoModel, video</t>
  </si>
  <si>
    <t>dmp/dataset/distribution/start_date</t>
  </si>
  <si>
    <t>distribution_start_date</t>
  </si>
  <si>
    <t>Date of the oldest data in the distribution. Encoded using the relevant ISO 8601 Date &lt;a href="https://www.w3.org/TR/NOTE-datetime"&gt;compliant string&lt;/a&gt;</t>
  </si>
  <si>
    <t>When is the distribution first started?</t>
  </si>
  <si>
    <t>dmp/dataset/distribution/status</t>
  </si>
  <si>
    <t>distribution_status</t>
  </si>
  <si>
    <t>Completion status of the distribution</t>
  </si>
  <si>
    <t>What is the status of the data?</t>
  </si>
  <si>
    <t>finished</t>
  </si>
  <si>
    <t>finished, minor Issues, major risk encountered, on track, not started</t>
  </si>
  <si>
    <t>Status</t>
  </si>
  <si>
    <t>dmp/dataset/distribution/status_description</t>
  </si>
  <si>
    <t>distribution_status_description</t>
  </si>
  <si>
    <t xml:space="preserve">Description of the distribution completion status </t>
  </si>
  <si>
    <t>Describe the status.</t>
  </si>
  <si>
    <t>dmp/dataset/distribution/title</t>
  </si>
  <si>
    <t>distribution_title</t>
  </si>
  <si>
    <t>Title is a property in both Dataset and Distribution, in compliance with W3C DCAT. In some cases these might be identical, but in most cases the Dataset represents a more abstract concept, while the distribution can point to a specific file.</t>
  </si>
  <si>
    <t>when there is a distribution nested structure</t>
  </si>
  <si>
    <t>What is the title of the distribution of the dataset?</t>
  </si>
  <si>
    <t>Full resolution images</t>
  </si>
  <si>
    <t>dmp/dataset/distribution/update_frequency</t>
  </si>
  <si>
    <t>distribution_update_frequency</t>
  </si>
  <si>
    <t>The maintenance and update frequency of the distribution</t>
  </si>
  <si>
    <t>How frequently are the data updated and maintained?</t>
  </si>
  <si>
    <t>daily</t>
  </si>
  <si>
    <t xml:space="preserve">continual, daily, weekly, fortnightly, monthly, quarterly, biannually, annually, asNeeded, irregular, notPlanned, unknown, semimonthly
</t>
  </si>
  <si>
    <t>dmp/dataset/distribution/version_history/</t>
  </si>
  <si>
    <t>version_history</t>
  </si>
  <si>
    <t>Version history of the data distribution</t>
  </si>
  <si>
    <t>dmp/dataset/distribution/version_history/revision_date</t>
  </si>
  <si>
    <t>version_history_revision_date</t>
  </si>
  <si>
    <t>To indicate the date a revision of the data in the distribution was made. Encoded using the relevant ISO 8601 Date &lt;a href="https://www.w3.org/TR/NOTE-datetime"&gt;compliant string&lt;/a&gt;</t>
  </si>
  <si>
    <t>when the version_history nested structure exists</t>
  </si>
  <si>
    <t>When was the last revision made?</t>
  </si>
  <si>
    <t>2025-09-09</t>
  </si>
  <si>
    <t>dmp/dataset/distribution/version_history/revision_description</t>
  </si>
  <si>
    <t>version_history_revision_description</t>
  </si>
  <si>
    <t>Description about what changes this revision made</t>
  </si>
  <si>
    <t>Describe what the revision is and  its purpose.</t>
  </si>
  <si>
    <t>QC information was added</t>
  </si>
  <si>
    <t>dmp/dataset/distribution/version_history/revision_documentation</t>
  </si>
  <si>
    <t>version_history_revision_documentation</t>
  </si>
  <si>
    <t>Link to the revision documentation</t>
  </si>
  <si>
    <t>Provide the url link to the material documenting the revision</t>
  </si>
  <si>
    <t>dmp/dataset/general_data_format</t>
  </si>
  <si>
    <t>general_data_format</t>
  </si>
  <si>
    <t>Main format of the dataset according to DDI General_DATA_Format controlled vocabulary  https://rdf-vocabulary.ddialliance.org/ddi-cv/GeneralDataFormat/2.0.3/GeneralDataFormat.html.</t>
  </si>
  <si>
    <t>What is the main format of the dataset?</t>
  </si>
  <si>
    <t>stillimage</t>
  </si>
  <si>
    <t>numeric, text, stillImage, geospatial, audio, video, software, interactive resources, threeD, other</t>
  </si>
  <si>
    <t>dmp/dataset/geodetic_datum</t>
  </si>
  <si>
    <t>dataset_geodetic_datum</t>
  </si>
  <si>
    <t>If the dataset contains geospatial data, indicate the geodetic datum (coordinate reference system)</t>
  </si>
  <si>
    <t>Which geodetic datum is this distribution for?</t>
  </si>
  <si>
    <t>ED50 (older European)</t>
  </si>
  <si>
    <t>ED50 (older European), ETRS89 (European), GDA94 (Australian), JGD2011 (Japanese), KGD2002 Korean), NAD27 (older North American), NAD83 (North American), NATRF2022, OSGB36 (Ordnance Survey of Great Britain), Tokyo97 (Japanese), TWD97 (Taiwan), WGS 84 (World Geodetic System)</t>
  </si>
  <si>
    <t>dmp/dataset/geographic_coverage</t>
  </si>
  <si>
    <t>dataset_geographic_coverage</t>
  </si>
  <si>
    <t>The geographical area covered by a geospatial dataset</t>
  </si>
  <si>
    <t>In the case of a geospatial dataset, what is the geographic area is covered?</t>
  </si>
  <si>
    <t>dmp/dataset/intellectual_property/</t>
  </si>
  <si>
    <t>intellectual_property</t>
  </si>
  <si>
    <t>Description of the copyright associated with dataset</t>
  </si>
  <si>
    <t>dmp/dataset/intellectual_property/copyright_description</t>
  </si>
  <si>
    <t>intellectual_property_copyright_description</t>
  </si>
  <si>
    <t>Limitations of the copyright associated with the dataset (e.g., all of the dataset; part of the dataset; etc.)</t>
  </si>
  <si>
    <t>Describe the copyright associated with the dataset?</t>
  </si>
  <si>
    <t>Non-transferable copyright</t>
  </si>
  <si>
    <t>dmp/dataset/intellectual_property/copyright_extent</t>
  </si>
  <si>
    <t>intellectual_property_copyright_extent</t>
  </si>
  <si>
    <t>extent of the copyright</t>
  </si>
  <si>
    <t>when intellectual property exists</t>
  </si>
  <si>
    <t>Does the copyright apply to the entire dataset?</t>
  </si>
  <si>
    <t>Part of the dataset</t>
  </si>
  <si>
    <t>dmp/dataset/intellectual_property/copyright_holder</t>
  </si>
  <si>
    <t>intellectual_property_copyright_holder</t>
  </si>
  <si>
    <t xml:space="preserve">Main copyright holder </t>
  </si>
  <si>
    <t>Who owns the copyright associated with the dataset?</t>
  </si>
  <si>
    <t>crown copyright - Canada</t>
  </si>
  <si>
    <t>crown copyright - Canada, crown copyright - Australia, crown copyright - New Zealand, crown copyright - U.K., government copyright, government copyright - Public domain, unknown, public domain, other</t>
  </si>
  <si>
    <t>dmp/dataset/intellectual_property/other</t>
  </si>
  <si>
    <t>intellectual_property_other</t>
  </si>
  <si>
    <t>To allow for the recording of other rights than copyright.</t>
  </si>
  <si>
    <t xml:space="preserve">What intellectual property rights, other than copyright, are associated with this dataset? </t>
  </si>
  <si>
    <t>dmp/dataset/dataset_is_reused</t>
  </si>
  <si>
    <t>dataset_is_reused</t>
  </si>
  <si>
    <t>Indication if the dataset is reused, i.e., not produced in project(s) covered by this DMP.</t>
  </si>
  <si>
    <t>Was the dataset existing before and is being reused as part of the project related to this dmp?</t>
  </si>
  <si>
    <t>No</t>
  </si>
  <si>
    <t>boolean</t>
  </si>
  <si>
    <t>yes, no</t>
  </si>
  <si>
    <t>dmp/dataset/issued</t>
  </si>
  <si>
    <t>dataset_issued</t>
  </si>
  <si>
    <t>To indicate a date when a dataset was published or released. Encoded using the relevant ISO 8601 Date &lt;a href="https://www.w3.org/TR/NOTE-datetime"&gt;compliant string&lt;/a&gt;</t>
  </si>
  <si>
    <t>When was the dataset issued?</t>
  </si>
  <si>
    <r>
      <rPr>
        <u/>
        <sz val="9"/>
        <color rgb="FF1155CC"/>
        <rFont val="Calibri"/>
      </rPr>
      <t>dmp/dataset/keyword</t>
    </r>
  </si>
  <si>
    <t>dataset_keyword</t>
  </si>
  <si>
    <t>Keyword</t>
  </si>
  <si>
    <t>Provide some keywords related to this dataset.</t>
  </si>
  <si>
    <t>keyword 1, keyword 2</t>
  </si>
  <si>
    <t>dmp/dataset/language</t>
  </si>
  <si>
    <t>dataset_language</t>
  </si>
  <si>
    <t>Language of the dataset expressed using ISO 639-3</t>
  </si>
  <si>
    <t>What language is used in this dataset?</t>
  </si>
  <si>
    <t>mul</t>
  </si>
  <si>
    <t>Use ISO 639-3 language code</t>
  </si>
  <si>
    <t>dmp/dataset/metadata/</t>
  </si>
  <si>
    <t>metadata</t>
  </si>
  <si>
    <t>To describe metadata standards used.</t>
  </si>
  <si>
    <r>
      <rPr>
        <u/>
        <sz val="9"/>
        <color rgb="FF1155CC"/>
        <rFont val="Calibri"/>
      </rPr>
      <t>dmp/dataset/metadata/description</t>
    </r>
  </si>
  <si>
    <t>metadata_description</t>
  </si>
  <si>
    <t>To provide any details on the choice of the metadata standard</t>
  </si>
  <si>
    <t>Describe the dataset metadata.</t>
  </si>
  <si>
    <t xml:space="preserve">The ISO 19115 Metadata Standard is applied to describe each geospatial dataset. Metadata includes the satellite's sensor type (e.g. Landsat 8 OLI), acquisition date, spatial resolution (30m), and cloud cover percentage.
</t>
  </si>
  <si>
    <r>
      <rPr>
        <u/>
        <sz val="9"/>
        <color rgb="FF1155CC"/>
        <rFont val="Calibri"/>
      </rPr>
      <t>dmp/dataset/metadata/language</t>
    </r>
  </si>
  <si>
    <t>metadata_language</t>
  </si>
  <si>
    <t>Language of the metadata expressed using ISO 639-3 (three letter language code)</t>
  </si>
  <si>
    <t>when metadata nested structure exists</t>
  </si>
  <si>
    <t>What language is used for the dataset metadata?</t>
  </si>
  <si>
    <t>dmp/dataset/metadata/metadata_standard_id/</t>
  </si>
  <si>
    <t>metadata_standard_id</t>
  </si>
  <si>
    <t>Identifier associated with the metadata standard. Example: http://www.dublincore.org/specifications/dublin-core/dcmi-terms/</t>
  </si>
  <si>
    <r>
      <rPr>
        <u/>
        <sz val="9"/>
        <color rgb="FF1155CC"/>
        <rFont val="Calibri"/>
      </rPr>
      <t>dmp/dataset/metadata/metadata_standard_id/identifier</t>
    </r>
  </si>
  <si>
    <t>metadata_id_id</t>
  </si>
  <si>
    <t>To indicate the specific value of the metadata standard ID </t>
  </si>
  <si>
    <t>when metadata_standard_id nested structure exists</t>
  </si>
  <si>
    <t>What metadata standard is used?</t>
  </si>
  <si>
    <t>http://www.dublincore.org/specifications/dublin-core/dcmi-terms/</t>
  </si>
  <si>
    <t>dmp/dataset/metadata/metadata_standard_id/registry_name</t>
  </si>
  <si>
    <t>metadata_standard_id_registry_name</t>
  </si>
  <si>
    <t>To indicate what reference is used to identify the metadata standard when selecting "other" as id type.</t>
  </si>
  <si>
    <t xml:space="preserve">if "Other" was selected for metadata_standard_id_type </t>
  </si>
  <si>
    <t>What is registry or system was used to identify the metadata standard?</t>
  </si>
  <si>
    <t>RDA Metadata Standards Catalog</t>
  </si>
  <si>
    <t>dmp/dataset/metadata/metadata_standard_id/registry_url</t>
  </si>
  <si>
    <t>metadata_standard_id_registry_url</t>
  </si>
  <si>
    <t xml:space="preserve">Link to the reference used to identify the metadata standard </t>
  </si>
  <si>
    <t>Where can the registry or the system be found?</t>
  </si>
  <si>
    <t>https://rdamsc.bath.ac.uk/</t>
  </si>
  <si>
    <t>dmp/dataset/metadata/metadata_standard_id/registry_version</t>
  </si>
  <si>
    <t>metadata_standard_id_registry_version</t>
  </si>
  <si>
    <t>2024/10/10</t>
  </si>
  <si>
    <r>
      <rPr>
        <u/>
        <sz val="9"/>
        <color rgb="FF1155CC"/>
        <rFont val="Calibri"/>
      </rPr>
      <t>dmp/dataset/metadata/metadata_standard_id/type</t>
    </r>
  </si>
  <si>
    <t>metadata_id_type</t>
  </si>
  <si>
    <t>To specify what type the ID of the metadata standard is.</t>
  </si>
  <si>
    <t>What is the metadata standard identifier type?</t>
  </si>
  <si>
    <t>url, other</t>
  </si>
  <si>
    <t>dmp/dataset/multiple_language</t>
  </si>
  <si>
    <t>dataset_multiple_language</t>
  </si>
  <si>
    <t>Language of the dataset expressed using ISO 639-3. If the ISO code mul (multiple languages) is used, please also complete the multiple_language field to list the specific languages.</t>
  </si>
  <si>
    <t>What is one of the languages used in the dataset?</t>
  </si>
  <si>
    <t>fra</t>
  </si>
  <si>
    <t>dmp/dataset/personal_data</t>
  </si>
  <si>
    <t>dataset_personal_data</t>
  </si>
  <si>
    <t>To indicate whether a dataset contains personal data. Personal data refers to any data that can identify an individual (e.g. name, birthdate, address, voice recordings, etc.).</t>
  </si>
  <si>
    <t>Do these data include personal information?</t>
  </si>
  <si>
    <t>yes, no, unknown</t>
  </si>
  <si>
    <t>dmp/dataset/preservation_statement</t>
  </si>
  <si>
    <t>dataset_preservation</t>
  </si>
  <si>
    <t>Preservation Statement. Details concerning retention and disposition should be provided in dmp/dataset/disposition_planning/</t>
  </si>
  <si>
    <t>Provide a general statement regarding preservation of the dataset.</t>
  </si>
  <si>
    <t>dmp/dataset/related_identifier</t>
  </si>
  <si>
    <t>dataset_related_identifier</t>
  </si>
  <si>
    <t>To provide references to related resources, such as publications, datasets or software, that are associated with the dataset. This helps to establish connections between different research outputs and enhances the discoverability and context of the dataset.</t>
  </si>
  <si>
    <t>dmp/dataset/related_identifier/identifier</t>
  </si>
  <si>
    <t>related_identifier_identifier</t>
  </si>
  <si>
    <t>Value of the identifier</t>
  </si>
  <si>
    <t>https://example.com/</t>
  </si>
  <si>
    <t>when dataset_related_identifier nested structure exists</t>
  </si>
  <si>
    <t>What is the maDMP identifier?</t>
  </si>
  <si>
    <t>dmp/dataset/related_identifier/metadata_scheme</t>
  </si>
  <si>
    <t>related_identifier_metadata_scheme</t>
  </si>
  <si>
    <t>Name of the related metadata schema (if applicable)</t>
  </si>
  <si>
    <t>DDI-L</t>
  </si>
  <si>
    <t>What registry or sytem was used to identify the dmp?</t>
  </si>
  <si>
    <t>dmp/dataset/related_identifier/relation_type</t>
  </si>
  <si>
    <t>related_identifier_relation_type</t>
  </si>
  <si>
    <t>Type of relation between the resource and the related resource, suggested values from DataCite relationType</t>
  </si>
  <si>
    <t>HasMetadata</t>
  </si>
  <si>
    <t>dmp/dataset/related_identifier/metadata_scheme_version</t>
  </si>
  <si>
    <t>related_identifier_metadata_scheme_version</t>
  </si>
  <si>
    <t>To indicate the version number or date of the reference</t>
  </si>
  <si>
    <t>dmp/dataset/related_identifier/resource_type</t>
  </si>
  <si>
    <t>related_identifier_resource_type</t>
  </si>
  <si>
    <t>Type of the related resource, suggested values from DataCite resourceTypeGeneral</t>
  </si>
  <si>
    <t>Model</t>
  </si>
  <si>
    <t>dmp/dataset/related_identifier/scheme_type</t>
  </si>
  <si>
    <t>related_identifier_scheme_type</t>
  </si>
  <si>
    <t>Type of the related metadata scheme linked with scheme URI (if applicable)</t>
  </si>
  <si>
    <t>XSD</t>
  </si>
  <si>
    <t>dmp/dataset/related_identifier/scheme_uri</t>
  </si>
  <si>
    <t>related_identifier_scheme_uri</t>
  </si>
  <si>
    <t>Link to the scheme of the identifier (if applicable)</t>
  </si>
  <si>
    <t>http://www.ddialliance.org/Specification/DDI-Lifecycle/3.1/XMLSchema/instance.xsd</t>
  </si>
  <si>
    <t>dmp/dataset/related_identifier/type</t>
  </si>
  <si>
    <t>related_identifier_type</t>
  </si>
  <si>
    <t>Type of the identifier, suggested values from DataCite relatedIdentifierType</t>
  </si>
  <si>
    <t>What is the maDMP identifier type?</t>
  </si>
  <si>
    <t>dmp/dataset/rights</t>
  </si>
  <si>
    <t>dataset_rights</t>
  </si>
  <si>
    <t>To indicate if any right, not addressed with license, such as copyright statements applies. If yes, enter details in the dmp/dataset/intellectual_property section.</t>
  </si>
  <si>
    <t>Should information about the dataset rights other than the license be considered?</t>
  </si>
  <si>
    <t>dmp/dataset/security_and_privacy/</t>
  </si>
  <si>
    <t>security_and_privacy</t>
  </si>
  <si>
    <t>To list all security and privacy measures applied to a dataset to protect sensitive information, for example encryption, anonymization, data masking, and compliance with data protection regulations (e.g. GDPR or HIPAA). It can also be used to express any security measures required for handling the dataset, e.g. only physical access, etc. Create a new entry for each issue or requirement.</t>
  </si>
  <si>
    <r>
      <rPr>
        <u/>
        <sz val="9"/>
        <color rgb="FF1155CC"/>
        <rFont val="Calibri"/>
      </rPr>
      <t>dmp/dataset/security_and_privacy/description</t>
    </r>
  </si>
  <si>
    <t>sp_description</t>
  </si>
  <si>
    <t>Description of security or privacy controls</t>
  </si>
  <si>
    <t>Describe security and privacy controls considerations, or special measures.</t>
  </si>
  <si>
    <t>The dataset undergoes anonymization by applying data masking techniques. Names, addresses, and phone numbers are replaced with pseudonyms or randomly generated identifiers. Specific details, such as exact birthdates, are generalized into age ranges.</t>
  </si>
  <si>
    <t>dmp/dataset/security_and_privacy/privacy_impact_assessment/</t>
  </si>
  <si>
    <t>privacy_impact_assessment</t>
  </si>
  <si>
    <t xml:space="preserve">Privacy impact assessment related to the dataset. Government of Canada institutions should refer to https://www.tbs-sct.canada.ca/pol/doc-eng.aspx?id=18309 </t>
  </si>
  <si>
    <t>dmp/dataset/security_and_privacy/privacy_impact_assessment/approved</t>
  </si>
  <si>
    <t>privacy_impact_assessment_approved</t>
  </si>
  <si>
    <t xml:space="preserve">To indicate if the privacy impact assessment was approved. </t>
  </si>
  <si>
    <t>if "yes" was chosen from privacy_impact_assessment_required</t>
  </si>
  <si>
    <t>dmp/dataset/security_and_privacy/privacy_impact_assessment/required</t>
  </si>
  <si>
    <t>Was the privacy impact assessment approved?</t>
  </si>
  <si>
    <t>dmp/dataset/security_and_privacy/privacy_impact_assessment/approved_by</t>
  </si>
  <si>
    <t>privacy_impact_assessment_approved_by</t>
  </si>
  <si>
    <t>Name of the person who approved the privacy impact assessment.</t>
  </si>
  <si>
    <t>Who approved the privacy impact assessment?</t>
  </si>
  <si>
    <t>dmp/dataset/security_and_privacy/privacy_impact_assessment/download_url</t>
  </si>
  <si>
    <t>privacy_impact_assessment_download_url</t>
  </si>
  <si>
    <t>A URL that gives access to the privacy impact assessment. The access URL should be used for the URL of a service or location that can provide access to privacy impact assessment, typically through a Web form, query or API call.</t>
  </si>
  <si>
    <t>Provide the URL to download the privacy impact assessment.</t>
  </si>
  <si>
    <t>dmp/dataset/security_and_privacy/privacy_impact_assessment/registered</t>
  </si>
  <si>
    <t>privacy_impact_assessment_registered</t>
  </si>
  <si>
    <t>To indicate if the privacy impact assessment was registered (e.g., yes, no, ID#, etc.). https://www.tbs-sct.gc.ca/pol/doc-eng.aspx?id=18308</t>
  </si>
  <si>
    <t>If a privacy impact assessment (PIA) was performed was it registered or does it have an ID number?</t>
  </si>
  <si>
    <t>ID xxxx-45576</t>
  </si>
  <si>
    <t>privacy_impact_assessment_required</t>
  </si>
  <si>
    <t>To indicate if a privacy impact assessment is required.</t>
  </si>
  <si>
    <t>when privacy impact assessment exists</t>
  </si>
  <si>
    <t>Is a privacy impact assessment required?</t>
  </si>
  <si>
    <t>yes, no, not applicable, unknown</t>
  </si>
  <si>
    <r>
      <rPr>
        <u/>
        <sz val="9"/>
        <color rgb="FF1155CC"/>
        <rFont val="Calibri"/>
      </rPr>
      <t>dmp/dataset/security_and_privacy/title</t>
    </r>
  </si>
  <si>
    <t>sp_title</t>
  </si>
  <si>
    <t>Provide a title for each requirement or issue listed in the security and privacy section. Titles need to be specific enough to differentiate issues or requirements between them.</t>
  </si>
  <si>
    <t>when security_and_privacy exists</t>
  </si>
  <si>
    <t>Provide a title for this specific security or privacy control or measure</t>
  </si>
  <si>
    <t>Anonymization of Personally Identifiable Data</t>
  </si>
  <si>
    <t>dmp/dataset/sensitive_data</t>
  </si>
  <si>
    <t>dataset_sensitive_data</t>
  </si>
  <si>
    <t>Sensitive data are data for which injury that could reasonably be expected as a result of a loss of confidentiality (resulting from unauthorized disclosure), loss of integrity (resulting from unauthorized modification or destruction), or loss of availability (resulting from unauthorized removal or other disruption). See, for example, Treasury Board of Canada, Policy on government security.</t>
  </si>
  <si>
    <t>Does the dataset contain sensitive data?</t>
  </si>
  <si>
    <t>dmp/dataset/subject/</t>
  </si>
  <si>
    <t>subject</t>
  </si>
  <si>
    <t>Topic to which a dataset pertains.</t>
  </si>
  <si>
    <t>dmp/dataset/subject/heading_name</t>
  </si>
  <si>
    <t>subject_heading_name</t>
  </si>
  <si>
    <t>Subject, classification code, or keyword describing the dataset. Privilege subject headings from controlled vocabularies (subject schemes).</t>
  </si>
  <si>
    <t>when subject nested stucture exists</t>
  </si>
  <si>
    <t>What is one of the subjects of the dataset?</t>
  </si>
  <si>
    <t>Astronautics and state</t>
  </si>
  <si>
    <t>dmp/dataset/subject/heading_uri</t>
  </si>
  <si>
    <t>subject_heading_uri</t>
  </si>
  <si>
    <t>The URI of the subject heading value.</t>
  </si>
  <si>
    <t>Does the subject heading have a URI? If so, paste it here.</t>
  </si>
  <si>
    <t>https://id.loc.gov/authorities/subjects/sh85008973.html</t>
  </si>
  <si>
    <t>dmp/dataset/subject/scheme_name</t>
  </si>
  <si>
    <t>subject_scheme_name</t>
  </si>
  <si>
    <t>To indicate the name of the subject scheme or classification system from which the subject heading or classification code is drawn (e.g., Government of Canada Core Subject Thesaurus Government of Canada Core Subject Thesaurus https://open.canada.ca/data/en/dataset/d4a0e406-eea9-41a7-bcae-28c31f3b9c65, Canadian Subject Headings https://library-archives.canada.ca/eng/services/services-libraries/cataloguing/Pages/canadian-subject-headings.aspx, Répertoire de vedettes-matière https://www.bibl.ulaval.ca/la-bibliotheque/repertoire-de-vedettes-matiere-rvm, Library of Congress Subject Headings https://www.loc.gov/aba/publications/FreeLCSH/freelcsh.html#Introduction, etc.)</t>
  </si>
  <si>
    <t>What was the name of the subject scheme used in assigning a subject?</t>
  </si>
  <si>
    <t>X̱wi7x̱wa Classification Scheme</t>
  </si>
  <si>
    <t>dmp/dataset/subject/scheme_uri</t>
  </si>
  <si>
    <t>subject_scheme_uri</t>
  </si>
  <si>
    <r>
      <rPr>
        <sz val="9"/>
        <color rgb="FF000000"/>
        <rFont val="Calibri"/>
      </rPr>
      <t xml:space="preserve">The URI of the subject scheme. Consider URIs available at </t>
    </r>
    <r>
      <rPr>
        <u/>
        <sz val="9"/>
        <color rgb="FF000000"/>
        <rFont val="Calibri"/>
      </rPr>
      <t>https://id.loc.gov/vocabulary/subjectSchemes.html</t>
    </r>
  </si>
  <si>
    <t xml:space="preserve">Is there a URI for the subject scheme used to ? If so, paste it here.
</t>
  </si>
  <si>
    <t>https://xwi7xwa-library-10nov2016.sites.olt.ubc.ca/files/2021/06/2018-MODIFIED-DEER-Public-version.pdf</t>
  </si>
  <si>
    <t>dmp/dataset/subject/scheme_version</t>
  </si>
  <si>
    <t>subject_scheme_version</t>
  </si>
  <si>
    <t>Specify the language and/or iteration number of the subject scheme that was used to assign the subject heading.</t>
  </si>
  <si>
    <t xml:space="preserve">What version of the subject scheme were you looking at when assigning the subject heading?
</t>
  </si>
  <si>
    <t>Updated 28 March 2018</t>
  </si>
  <si>
    <t>dmp/dataset/technical_resource/</t>
  </si>
  <si>
    <t>technical_resource</t>
  </si>
  <si>
    <t>List all technical resources (e.g. tools or software) and computing environments required for any stage of a dataset lifecycle (e.g. microscopes, sensors, Jupyter Notebook, Galaxy workflows, measuring devices), and for which documentation is required.</t>
  </si>
  <si>
    <r>
      <rPr>
        <sz val="9"/>
        <color theme="1"/>
        <rFont val="Calibri"/>
      </rPr>
      <t>dmp/dataset/technical_resource/</t>
    </r>
    <r>
      <rPr>
        <b/>
        <sz val="9"/>
        <color rgb="FFFF0000"/>
        <rFont val="Calibri"/>
      </rPr>
      <t>data_management_system</t>
    </r>
    <r>
      <rPr>
        <sz val="9"/>
        <color theme="1"/>
        <rFont val="Calibri"/>
      </rPr>
      <t>/</t>
    </r>
  </si>
  <si>
    <t>data_management_system</t>
  </si>
  <si>
    <t>To describe the database management system or other computerized data system used to store or manage active data. Every other systems used to access the data should be described as distributions.</t>
  </si>
  <si>
    <t>dmp/dataset/technical_resource/data_management_system/access_url</t>
  </si>
  <si>
    <t>data_management_system_access_url</t>
  </si>
  <si>
    <t>Web or network-accessible URL for accessing the system</t>
  </si>
  <si>
    <t>What url provides access to the data management system?</t>
  </si>
  <si>
    <t>https://dmssystem.org</t>
  </si>
  <si>
    <t>dmp/dataset/technical_resource/data_management_system/authentication</t>
  </si>
  <si>
    <t>data_management_system_authentication</t>
  </si>
  <si>
    <t xml:space="preserve">User access and authentication mechanisms. </t>
  </si>
  <si>
    <t>What mechanism is used for authentication and access control?</t>
  </si>
  <si>
    <t>OAuth</t>
  </si>
  <si>
    <t>OAuth, LDAP, API key, role-based access, other</t>
  </si>
  <si>
    <t>dmp/dataset/technical_resource/data_management_system/availability</t>
  </si>
  <si>
    <t>data_management_system_availability</t>
  </si>
  <si>
    <t>Defines whether the system is operational 24/7 or has downtime periods (e.g., 24/7, scheduled downtime)</t>
  </si>
  <si>
    <t>scheduled down time</t>
  </si>
  <si>
    <t>dmp/dataset/technical_resource/data_management_system/backup_frequency</t>
  </si>
  <si>
    <t>data_management_system_backup_frequency</t>
  </si>
  <si>
    <t>Backup frequency of the system</t>
  </si>
  <si>
    <t>dmp/dataset/technical_resource/data_management_system/backup_type</t>
  </si>
  <si>
    <t>data_management_system_backup_type</t>
  </si>
  <si>
    <t>Type of backup performed on the data (e.g., incremental, full, differential, synthetic full)</t>
  </si>
  <si>
    <t>incremental, full, differential, synthetic full, other</t>
  </si>
  <si>
    <t>dmp/dataset/technical_resource/data_management_system/certified_with</t>
  </si>
  <si>
    <t>data_management_system_certified_with</t>
  </si>
  <si>
    <t>Certifications relevant to the system (e.g., CoreTrustSeal, ISO 16363).</t>
  </si>
  <si>
    <t>dmp/dataset/technical_resource/data_management_system/compliance_standards</t>
  </si>
  <si>
    <t>data_management_system_compliance_standards</t>
  </si>
  <si>
    <t>Standards the system follows for security, data management, and governance (e.g., GDPR, HIPAA, SOC 2 compliance)</t>
  </si>
  <si>
    <t>What standard is the data management system compliant to regarding data security, data management or data governance?</t>
  </si>
  <si>
    <t>GDPR</t>
  </si>
  <si>
    <t>dmp/dataset/technical_resource/data_management_system/data_transfer_maximum_latency</t>
  </si>
  <si>
    <t>data_management_system_data_transfer_maximum_latency</t>
  </si>
  <si>
    <t xml:space="preserve">Maximum data transfer latency of the data en ms, i.e. the delay of data transfer </t>
  </si>
  <si>
    <t>dmp/dataset/technical_resource/data_management_system/data_transfer_minimum_throughput</t>
  </si>
  <si>
    <t>data_management_system_data_transfer_minimum_throughput</t>
  </si>
  <si>
    <t>Maximum throughput of the dataset in Mbps</t>
  </si>
  <si>
    <t>dmp/dataset/technical_resource/data_management_system/description</t>
  </si>
  <si>
    <t>data_management_system_description</t>
  </si>
  <si>
    <t>Brief explanation of the system’s purpose and functionality in relation to this dataset. If relevant, indicate the data types managed by the system.</t>
  </si>
  <si>
    <t>What purpose does the system serve in relation to the dataset?</t>
  </si>
  <si>
    <t>During the active phase of the research project, active and transitory data are managed (versioned and tracked) within DBMSX.</t>
  </si>
  <si>
    <t>dmp/dataset/technical_resource/data_management_system/geo_location</t>
  </si>
  <si>
    <t>data_management_system_geo_location</t>
  </si>
  <si>
    <t>The geographical location of the server hosting the system expressed using ISO 3166-1 country code.</t>
  </si>
  <si>
    <t>dmp/dataset/technical_resource/data_management_system/pid_system</t>
  </si>
  <si>
    <t>data_management_system_pid_system</t>
  </si>
  <si>
    <t>Persistent identifier system used by the system.</t>
  </si>
  <si>
    <t>dmp/dataset/technical_resource/data_management_system/protocol</t>
  </si>
  <si>
    <t>data_management_system_protocol</t>
  </si>
  <si>
    <t xml:space="preserve">The protocol used to interact with the system </t>
  </si>
  <si>
    <t>What type of protocol is used to interact with the data management system?</t>
  </si>
  <si>
    <t>OAI-PMH</t>
  </si>
  <si>
    <t>HTTP, FTP, SFTP, OAI-PMH, API, other</t>
  </si>
  <si>
    <t>dmp/dataset/technical_resource/data_management_system/support_checksum</t>
  </si>
  <si>
    <t>data_management_system_support_checksum</t>
  </si>
  <si>
    <t>Indicates whether checksum verification is supported</t>
  </si>
  <si>
    <t>Does the data management system support checksum?</t>
  </si>
  <si>
    <t>dmp/dataset/technical_resource/data_management_system/support_versioning</t>
  </si>
  <si>
    <t>data_management_system_support_versioning</t>
  </si>
  <si>
    <t>To indicate if the data management system supports versioning, meaning changes to datasets are tracked internally</t>
  </si>
  <si>
    <t>Does the data management system support versioning?</t>
  </si>
  <si>
    <t>dmp/dataset/technical_resource/data_management_system/storage_type</t>
  </si>
  <si>
    <t>data_management_system_storage_type</t>
  </si>
  <si>
    <t>Type or types of storage used by the data management system</t>
  </si>
  <si>
    <t>What type of storage the data management system relies on?</t>
  </si>
  <si>
    <t>tape storage</t>
  </si>
  <si>
    <t>SSD, HDD, cloud, tape storage, other</t>
  </si>
  <si>
    <t>dmp/dataset/technical_resource/data_management_system/title</t>
  </si>
  <si>
    <t>data_management_system_title</t>
  </si>
  <si>
    <t>Name of the active data management system used to store/process data (e.g., PostgreSQL, MySQL, Dataverse, iRODS, etc.)</t>
  </si>
  <si>
    <t>when data_management_system nested structure exists</t>
  </si>
  <si>
    <t>How is the data management system called?</t>
  </si>
  <si>
    <t>NAQUA</t>
  </si>
  <si>
    <t>dmp/dataset/technical_resource/data_management_system/type</t>
  </si>
  <si>
    <t>data_management_system_type</t>
  </si>
  <si>
    <t>The type of system used to store and manage active data. Note that a time-series database like TimescaleDB is actually a relational database, but because it's optimized for time-series data, it gets its own distinct category</t>
  </si>
  <si>
    <t>What type is the data management system?</t>
  </si>
  <si>
    <t>Relational Database Management System (RDBMS)</t>
  </si>
  <si>
    <t>flat file, RDBMS, graph database, NoSQL database, object-oriented database, columnar database, key-value store, time-series database, unknown, other</t>
  </si>
  <si>
    <t>dmp/dataset/technical_resource/data_management_system/version</t>
  </si>
  <si>
    <t>data_management_system_version</t>
  </si>
  <si>
    <t>Version of the data management system</t>
  </si>
  <si>
    <t>If applicable, what is the version of the data management system?</t>
  </si>
  <si>
    <t>3.2.1</t>
  </si>
  <si>
    <t>dmp/dataset/technical_resource/data_management_system/visibility</t>
  </si>
  <si>
    <t>data_management_system_visibility</t>
  </si>
  <si>
    <t>Defines whether the data management system is accessible internally within an organization or externally to broader audiences. Allowed values: Internal (accessible only within a specific organization or project), External (accessible to users outside the organization via public or controlled access)</t>
  </si>
  <si>
    <t>Is the data management system accessible only internally or also externally?</t>
  </si>
  <si>
    <t>Internal</t>
  </si>
  <si>
    <t>internal, external</t>
  </si>
  <si>
    <r>
      <rPr>
        <u/>
        <sz val="9"/>
        <color rgb="FF1155CC"/>
        <rFont val="Calibri"/>
      </rPr>
      <t>dmp/dataset/technical_resource/description</t>
    </r>
  </si>
  <si>
    <t>technical_resource_description</t>
  </si>
  <si>
    <t>Describe the required technical resource.</t>
  </si>
  <si>
    <r>
      <rPr>
        <sz val="9"/>
        <color theme="1"/>
        <rFont val="Calibri"/>
      </rPr>
      <t>dmp/dataset/technical_resource/</t>
    </r>
    <r>
      <rPr>
        <b/>
        <sz val="9"/>
        <color rgb="FFFF0000"/>
        <rFont val="Calibri"/>
      </rPr>
      <t>hardware_requirements</t>
    </r>
    <r>
      <rPr>
        <sz val="9"/>
        <color theme="1"/>
        <rFont val="Calibri"/>
      </rPr>
      <t>/</t>
    </r>
  </si>
  <si>
    <t>hardware_requirements</t>
  </si>
  <si>
    <t>Minimum requirements for processing data for a specific purpose</t>
  </si>
  <si>
    <t>dmp/dataset/technical_resource/hardware_requirements/title</t>
  </si>
  <si>
    <t>hardware_requirements_title</t>
  </si>
  <si>
    <t>Identify the purpose requiring specific hardware</t>
  </si>
  <si>
    <t>when hardware_requirements nested structure exists</t>
  </si>
  <si>
    <t>hardware_requirement</t>
  </si>
  <si>
    <t>What process requires specific hardware?</t>
  </si>
  <si>
    <t>Mapping historical data</t>
  </si>
  <si>
    <t>dmp/dataset/technical_resource/hardware_requirements/description</t>
  </si>
  <si>
    <t>hardware_requirements_description</t>
  </si>
  <si>
    <t>Describe the hardware requirement</t>
  </si>
  <si>
    <t>Describe the process requiring specific hardware</t>
  </si>
  <si>
    <t>dmp/dataset/technical_resource/hardware_requirements/minimum_cpu_cores</t>
  </si>
  <si>
    <t>minimum_cpu_cores</t>
  </si>
  <si>
    <t>Minimum CPU cores needed to process the data</t>
  </si>
  <si>
    <t>What is the minimum number of cpu cores required to process the data?</t>
  </si>
  <si>
    <t>dmp/dataset/technical_resource/hardware_requirements/minimum_cpu_speed</t>
  </si>
  <si>
    <t>minimum_cpu_speed</t>
  </si>
  <si>
    <t>Minimum clock speed needed to process the data in GHz</t>
  </si>
  <si>
    <t>What is the minimum speed, in GHz, required to process the dataset?</t>
  </si>
  <si>
    <t>2.5 GHz</t>
  </si>
  <si>
    <t>dmp/dataset/technical_resource/hardware_requirements/machine_type</t>
  </si>
  <si>
    <t>machine_type</t>
  </si>
  <si>
    <t>Minimum computing type needed to process the data (e.g., desktop workstation, laptop, server, HPC, super computer)</t>
  </si>
  <si>
    <t>What is the minimum machine type required process the dataset? (I'm not a fan of this at all, doesn't make sense)</t>
  </si>
  <si>
    <t>HPC</t>
  </si>
  <si>
    <t>dmp/dataset/technical_resource/hardware_requirements/data_processing_minimum_RAM_Gb</t>
  </si>
  <si>
    <t>minimum_RAM</t>
  </si>
  <si>
    <t>Minimum RAM needed to process the data in GB</t>
  </si>
  <si>
    <t>What is the minimum RAM, in GB, required to process this dataset?</t>
  </si>
  <si>
    <t>dmp/dataset/technical_resource/hardware_requirements/storage_capacity</t>
  </si>
  <si>
    <t>storage_capacity</t>
  </si>
  <si>
    <t>Minimum storage space required</t>
  </si>
  <si>
    <t>What is the minimum storage capacity required to process this dataset?</t>
  </si>
  <si>
    <t>dmp/dataset/technical_resource/hardware_requirements/storage_capacity_unit</t>
  </si>
  <si>
    <t>storage_capacity_unit</t>
  </si>
  <si>
    <t>Unit in which the storage capacity requirement is expressed</t>
  </si>
  <si>
    <t>If there is a value in storage_capacity</t>
  </si>
  <si>
    <t>What unit is the minimum storage expressed in?</t>
  </si>
  <si>
    <t>TB</t>
  </si>
  <si>
    <t>MB, GB, TB, PB</t>
  </si>
  <si>
    <t>dmp/dataset/technical_resource/hardware_requirements/processing_unit_requirements</t>
  </si>
  <si>
    <t>processing_unit_requirements</t>
  </si>
  <si>
    <t>Need for specialized hardware like GPUs/TPUs for computation</t>
  </si>
  <si>
    <t>What processing units are required?</t>
  </si>
  <si>
    <t>NVIDIA Tesla V100</t>
  </si>
  <si>
    <t>dmp/dataset/technical_resource/hardware_requirements/network_requirements</t>
  </si>
  <si>
    <t>network_requirements</t>
  </si>
  <si>
    <t>Minimum bandwidth or network speed required in Mbps</t>
  </si>
  <si>
    <t>What is the minimum bandwidth or netowrk speed required (Mbps)?</t>
  </si>
  <si>
    <t>dmp/dataset/technical_resource/name</t>
  </si>
  <si>
    <t>technical_resource_name</t>
  </si>
  <si>
    <t>Name of the technical resource</t>
  </si>
  <si>
    <t>when the technical resource nested structure exists</t>
  </si>
  <si>
    <t>Name the required technical resource.</t>
  </si>
  <si>
    <t>123/45/43/AT</t>
  </si>
  <si>
    <r>
      <rPr>
        <sz val="9"/>
        <color theme="1"/>
        <rFont val="Calibri"/>
      </rPr>
      <t>dmp/dataset/technical_resource</t>
    </r>
    <r>
      <rPr>
        <b/>
        <sz val="9"/>
        <color rgb="FFFF0000"/>
        <rFont val="Calibri"/>
      </rPr>
      <t>/software/</t>
    </r>
  </si>
  <si>
    <t>software</t>
  </si>
  <si>
    <t>Repeat as many times as needed to describe all software and code used for data collection, data processing, data analysis, data dissemination. Fill in the computer code or the software section. If applicable, fill also the proprietary software section and the software management plan section. You may also want to provide information about the workflow documentation in the dedicated section.</t>
  </si>
  <si>
    <t>dmp/dataset/technical_resource/software/name</t>
  </si>
  <si>
    <t>software_name</t>
  </si>
  <si>
    <t xml:space="preserve">Name of the software or code </t>
  </si>
  <si>
    <t>if proprietary_software is answered as yes</t>
  </si>
  <si>
    <t>What is the name of the software or code in use?</t>
  </si>
  <si>
    <t>MATLAB</t>
  </si>
  <si>
    <t>dmp/dataset/technical_resource/software/description</t>
  </si>
  <si>
    <t>software_description</t>
  </si>
  <si>
    <t>To provide any free-form text information on the computer code used</t>
  </si>
  <si>
    <t>Describe the computer code being used.</t>
  </si>
  <si>
    <t>Tool for spatial data analysis</t>
  </si>
  <si>
    <t>dmp/dataset/technical_resource/software/download_url</t>
  </si>
  <si>
    <t>software_download_url</t>
  </si>
  <si>
    <t>the URL to download the computer code or the software</t>
  </si>
  <si>
    <t>What is the URL to download the computer code?</t>
  </si>
  <si>
    <t>dmp/dataset/technical_resource/software/code_repository</t>
  </si>
  <si>
    <t>code_repository</t>
  </si>
  <si>
    <t>Link to a version control repository if applicable</t>
  </si>
  <si>
    <t>What version control repository  the code is available at (url)?</t>
  </si>
  <si>
    <t>https://github.com/FAIRERdata/maDMP-Standard</t>
  </si>
  <si>
    <t>dmp/dataset/technical_resource/software/license</t>
  </si>
  <si>
    <t>software_license</t>
  </si>
  <si>
    <t>The licensing terms under which the software/code is released. Use of a license is highly recommended (e.g., CC BY-SA 4.0, MIT, open government license, etc.)</t>
  </si>
  <si>
    <t>What license applies to this work?</t>
  </si>
  <si>
    <t>CC BY-SA 4.0</t>
  </si>
  <si>
    <t>dmp/dataset/technical_resource/software/programming_language</t>
  </si>
  <si>
    <t>programming_language</t>
  </si>
  <si>
    <t>Computer programming language used (e.g., Python, R, SAS)</t>
  </si>
  <si>
    <t>What language is the computer code in?</t>
  </si>
  <si>
    <t>Python</t>
  </si>
  <si>
    <t>dmp/dataset/technical_resource/software/dependencies</t>
  </si>
  <si>
    <t>dependencies</t>
  </si>
  <si>
    <t>Any additional libraries required for execution (e.g., NumPy, TensorFlow, Pandas, etc.)</t>
  </si>
  <si>
    <t>What libraries or modules is the code dependent on?</t>
  </si>
  <si>
    <t>pandas</t>
  </si>
  <si>
    <t>dmp/dataset/technical_resource/software/operating_system_description</t>
  </si>
  <si>
    <t>operating_system_description</t>
  </si>
  <si>
    <t>If OS dependent, to provide any free-form text information on the operating system used</t>
  </si>
  <si>
    <t>Describe the operating system in use?</t>
  </si>
  <si>
    <t>dmp/dataset/technical_resource/software/operating_system_name</t>
  </si>
  <si>
    <t>operating_system_name</t>
  </si>
  <si>
    <t xml:space="preserve">If OS dependent, operating system used </t>
  </si>
  <si>
    <t>What operating system is in use?</t>
  </si>
  <si>
    <t>linux</t>
  </si>
  <si>
    <t>android os, dos, iOS, linux, mac os, windows, unix</t>
  </si>
  <si>
    <t>dmp/dataset/technical_resource/software/execution_environment</t>
  </si>
  <si>
    <t>execution_environment</t>
  </si>
  <si>
    <t>Specify where the software runs (e.g., Local Machine, Cloud, Docker, Kubernetes, etc.)</t>
  </si>
  <si>
    <t>Where does the software or code run?</t>
  </si>
  <si>
    <t>laptop</t>
  </si>
  <si>
    <t>dmp/dataset/technical_resource/software/proprietary_software</t>
  </si>
  <si>
    <t>proprietary_software</t>
  </si>
  <si>
    <t>To indicate if proprietary software was used</t>
  </si>
  <si>
    <t>when the software nested structure exists</t>
  </si>
  <si>
    <t>Is there proprietary software in use?</t>
  </si>
  <si>
    <t>dmp/dataset/technical_resource/software/proprietary_software_justification</t>
  </si>
  <si>
    <t>proprietary_software_justification</t>
  </si>
  <si>
    <t>To indicate if proprietary software justification was provided</t>
  </si>
  <si>
    <t>is the propietry software justified in use?</t>
  </si>
  <si>
    <t>dmp/dataset/technical_resource/software/proprietary_software_migration_plan</t>
  </si>
  <si>
    <t>proprietary_software_migration_plan</t>
  </si>
  <si>
    <t>To indicate if there is a migration plan for the proprietary software</t>
  </si>
  <si>
    <t>Is there a migration plan for the proprietary software?</t>
  </si>
  <si>
    <t>dmp/dataset/technical_resource/software/proprietary_software_migration_plan_description</t>
  </si>
  <si>
    <t>proprietary_software_migration_plan_description</t>
  </si>
  <si>
    <t xml:space="preserve">To provide any free-form text information on the migration plan for the proprietary software </t>
  </si>
  <si>
    <t>Describe the migration plan for the propietary software.</t>
  </si>
  <si>
    <t>dmp/dataset/technical_resource/software/software_management_plan/</t>
  </si>
  <si>
    <t>software_management_plan</t>
  </si>
  <si>
    <t>To reference an external software management plan</t>
  </si>
  <si>
    <t>dmp/dataset/technical_resource/software/software_management_plan/smp_access_url</t>
  </si>
  <si>
    <t>smp_access_url</t>
  </si>
  <si>
    <t>A URL of that gives access to the Software Management Plan (SMP), e.g., landing page, feed, SPARQL endpoint. The access URL should be used for the URL of a service or location that can provide access to the SMP, typically through a Web form, query or API call.</t>
  </si>
  <si>
    <t>What is the access url to the SMP</t>
  </si>
  <si>
    <t>dmp/dataset/technical_resource/software/software_management_plan/smp_download_url</t>
  </si>
  <si>
    <t>smp_download_url</t>
  </si>
  <si>
    <t>What is the dowload url of the SMP</t>
  </si>
  <si>
    <t>dmp/dataset/technical_resource/software/software_management_plan/smp_name</t>
  </si>
  <si>
    <t>smp_name</t>
  </si>
  <si>
    <t>The name or title of the software management plan</t>
  </si>
  <si>
    <t>when the software_management_plan nested structure exists</t>
  </si>
  <si>
    <t>What is the name or title of the SMP</t>
  </si>
  <si>
    <t>dmp/dataset/title</t>
  </si>
  <si>
    <t>dataset_title</t>
  </si>
  <si>
    <t>What is the title of this dataset?</t>
  </si>
  <si>
    <t>fast sun images</t>
  </si>
  <si>
    <t>dmp/dataset/type</t>
  </si>
  <si>
    <t>dataset_type</t>
  </si>
  <si>
    <r>
      <rPr>
        <sz val="9"/>
        <color rgb="FF000000"/>
        <rFont val="Calibri"/>
      </rPr>
      <t xml:space="preserve">If appropriate, type according to: DataCite and/or COAR dictionary. Otherwise use the common name for the type, e.g. raw data, software, survey, etc. https://schema.datacite.org/meta/kernel-4.1/doc/DataCite-MetadataKernel_v4.1.pdf </t>
    </r>
    <r>
      <rPr>
        <u/>
        <sz val="9"/>
        <color rgb="FF1155CC"/>
        <rFont val="Calibri"/>
      </rPr>
      <t>http://vocabularies.coar-repositories.org/resource_type.html</t>
    </r>
  </si>
  <si>
    <t>What type of dataset is this?</t>
  </si>
  <si>
    <t>image</t>
  </si>
  <si>
    <r>
      <rPr>
        <u/>
        <sz val="9"/>
        <color rgb="FF1155CC"/>
        <rFont val="Calibri"/>
      </rPr>
      <t>dmp/description</t>
    </r>
  </si>
  <si>
    <t>dmp_description</t>
  </si>
  <si>
    <t xml:space="preserve">To provide any free-form text information on the Data Management Plan (maDMP). It can be a formal statement describing how research data will be managed and documented throughout a research project and the terms regarding the subsequent deposit of the data with a data repository for long-term management and preservation (Library and Archives Canada). DMP's are living documents that outline a project’s plans for research data management. The content, format and length of DMPs depend on the nature of the given research project. DMPs can be developed to guide a single research project or span a multiproject research initiative or longer-term program of research. The DMP submitted at the application stage could, depending on the complexity and duration of the project, be presented as a more high-level outline and then be expanded on throughout the life of the project enabling automatic exchange, integration, and validation of information provided in DMPs. Machine-actonable DMP's (maDMP) are designed to support the exchange of information between systems, to provide basic interoperability between systems producing or consuming maDMPs, acting on behalf of stakeholders involved in the research life cycle (researchers, funders, repository managers, ICT providers, librarians, etc.) and the information represented over the whole DMP lifecycle (Research Data Alliance).
</t>
  </si>
  <si>
    <t>Describe the data management plan.</t>
  </si>
  <si>
    <t>We're finally get our data under control.</t>
  </si>
  <si>
    <t>dmp/dmp_id/</t>
  </si>
  <si>
    <t>dmp_id</t>
  </si>
  <si>
    <t>Identifier for the DMP itself</t>
  </si>
  <si>
    <t>dmp/dmp_id/identifier</t>
  </si>
  <si>
    <t>dmp_id_id</t>
  </si>
  <si>
    <t>To indicate the specific value of the DMP ID</t>
  </si>
  <si>
    <t>dmp/dmp_id/registry_name</t>
  </si>
  <si>
    <t>dmp_id_registry_name</t>
  </si>
  <si>
    <t>To indicate what registry or system is used to identify the dmp when selecting "other" as id type.</t>
  </si>
  <si>
    <t xml:space="preserve">if "Other" was selected for dmp_id_type </t>
  </si>
  <si>
    <t>dmp/dmp_id/registry_uri</t>
  </si>
  <si>
    <t>dmp_id_registry_uri</t>
  </si>
  <si>
    <t>Link to the registry or system used to identify the dmp</t>
  </si>
  <si>
    <t>dmp/dmp_id/registry_version</t>
  </si>
  <si>
    <t>dmp_id_registry_version</t>
  </si>
  <si>
    <t>What version of the registry or system or what date was the registry or system consulted?</t>
  </si>
  <si>
    <r>
      <rPr>
        <u/>
        <sz val="9"/>
        <color rgb="FF1155CC"/>
        <rFont val="Calibri"/>
      </rPr>
      <t>dmp/dmp_id/type</t>
    </r>
  </si>
  <si>
    <t>dmp_id_type</t>
  </si>
  <si>
    <t>To specify what type the DMP ID is.</t>
  </si>
  <si>
    <t>handle, doi, ark, url, uri, other</t>
  </si>
  <si>
    <r>
      <rPr>
        <u/>
        <sz val="9"/>
        <color rgb="FF1155CC"/>
        <rFont val="Calibri"/>
      </rPr>
      <t>dmp/ethical_issues_description</t>
    </r>
  </si>
  <si>
    <t>ethical_issues_description</t>
  </si>
  <si>
    <t>To describe any existing or potential ethical issues that are not captured in the following related fields: dmp/protection_level, dmp/security_classification_level, dmp/dataset/disposition_planning/legal_issues_description, dmp/dataset/distribution/data_security-privacy_measures, dmp/dataset/distribution/disposition_planning/legal_issues, dmp/dataset/distribution/protection_level, dmp/dataset/distribution/security_classification_level, dmp/dataset/distribution/license/, dmp/dataset/intellectual_property/, dmp/dataset/security_and_privacy/, dmp/indigenous_considerations/. Examples include, but are not limited to: Bias or lacking representation of certain populations; data collected without informed consent; lack of transparency due to absence of clear documentation about data processing, cleaning, or manipulation; the potential impact of the dataset on marginalized groups; potential dual use of the data that could be detrimental to society or specific groups; data that include cultural artifacts or practices that could be used in ways that disrespect cultural values or traditions; failure to recognize the contributions of all parties involved in collecting the data; failure to identify who is accountable for the data.</t>
  </si>
  <si>
    <t>Describe any existing or potential ethical issues.</t>
  </si>
  <si>
    <t>There are ethical issues because...</t>
  </si>
  <si>
    <r>
      <rPr>
        <u/>
        <sz val="9"/>
        <color rgb="FF1155CC"/>
        <rFont val="Calibri"/>
      </rPr>
      <t>dmp/ethical_issues_exist</t>
    </r>
  </si>
  <si>
    <t>ethical_issues_exist</t>
  </si>
  <si>
    <t>To indicate whether there are ethical issues related to these data. It is the responsibility of the researcher or data steward to be aware of any ethical issues related to the data. Ethical issues vary widely depending on the context.</t>
  </si>
  <si>
    <t>Do ethical issues exist?</t>
  </si>
  <si>
    <r>
      <rPr>
        <u/>
        <sz val="9"/>
        <color rgb="FF1155CC"/>
        <rFont val="Calibri"/>
      </rPr>
      <t>dmp/ethical_issues_report</t>
    </r>
  </si>
  <si>
    <t>ethical_issues_report</t>
  </si>
  <si>
    <t>To indicate, for example, where a protocol from a meeting with an ethical committee can be found, or an IRB (Institutional Review Board) report.</t>
  </si>
  <si>
    <t>Provide a link to an ethical issues report such as, for examplem and IRB (Institutional Review Board) report.</t>
  </si>
  <si>
    <t>http://report.location</t>
  </si>
  <si>
    <t>dmp/indigenous_considerations/</t>
  </si>
  <si>
    <t>indigenous_considerations</t>
  </si>
  <si>
    <t>Indigenous considerations related to the maDMP or the data.</t>
  </si>
  <si>
    <t>dmp/indigenous_considerations/characters</t>
  </si>
  <si>
    <t>indigenous_characters</t>
  </si>
  <si>
    <t>To indicate if Indigenous characters are used in the data. If the answer is "yes," then 'Unified Canadian Aboriginal Syllabics Extended' is identified under distribution/character_unicode_block</t>
  </si>
  <si>
    <t>Are Indigenous characters used in the data?</t>
  </si>
  <si>
    <t>dmp/indigenous_considerations/community_approval/</t>
  </si>
  <si>
    <t>community_approval</t>
  </si>
  <si>
    <t>to describe approvals by indigenous communities</t>
  </si>
  <si>
    <t>dmp/indigenous_considerations/community_approval/description</t>
  </si>
  <si>
    <t>community_approval_status</t>
  </si>
  <si>
    <t>To indicate whether the project has approval from an Indigenous community.</t>
  </si>
  <si>
    <t>if indigenous_considerations_exist is "yes"</t>
  </si>
  <si>
    <t>dmp/indigenous_considerations/exist</t>
  </si>
  <si>
    <t>Has an Indigenous community aproved this project?</t>
  </si>
  <si>
    <t>not applicable</t>
  </si>
  <si>
    <t>dmp/indigenous_considerations/community_approval/status</t>
  </si>
  <si>
    <t>community_approval_description</t>
  </si>
  <si>
    <t>To provide any free-form text information on the project approval from the Indigenous communities.</t>
  </si>
  <si>
    <t>Describe the Indigenous community approval.</t>
  </si>
  <si>
    <t>dmp/indigenous_considerations/description</t>
  </si>
  <si>
    <t>indigenous_considerations_description</t>
  </si>
  <si>
    <t>General description of Indigenous considerations.</t>
  </si>
  <si>
    <t>Describe the Indigenous considerations related to this project.</t>
  </si>
  <si>
    <t>Community-based indicators of Indigenous health ...</t>
  </si>
  <si>
    <t>dmp/indigenous_considerations/dmp_discussion</t>
  </si>
  <si>
    <t>indigenous_dmp_discussion</t>
  </si>
  <si>
    <t>To indicate whether the DMP has been discussed with an Indigenous group</t>
  </si>
  <si>
    <t>Has the maDMP been discussed with the Indigenous community?</t>
  </si>
  <si>
    <t>unknown</t>
  </si>
  <si>
    <t>indigenous_considerations_exist</t>
  </si>
  <si>
    <t>To indicate if Indigenous consideration exist.</t>
  </si>
  <si>
    <t>required when</t>
  </si>
  <si>
    <t>when indigenous considerations nested structure exists</t>
  </si>
  <si>
    <t>Are there Indigenous considerations related to this project?</t>
  </si>
  <si>
    <t>dmp/indigenous_considerations/government_name</t>
  </si>
  <si>
    <t>indigenous_government_name</t>
  </si>
  <si>
    <t>Indigenous government group affiliated with the contributor</t>
  </si>
  <si>
    <t>What Indigenous government group does the contributor belong to?</t>
  </si>
  <si>
    <t>dmp/indigenous_considerations/group_identification</t>
  </si>
  <si>
    <t>indigenous_group_identification</t>
  </si>
  <si>
    <t xml:space="preserve">To indicate which Indigenous group(s) this dataset is related to. For example, in Canada (Indian Band, Inuit, Metis), in Europe (Sami), in New Zealand (Maori), or self-identification. </t>
  </si>
  <si>
    <t>Which Indigenous group is this dataset related to?</t>
  </si>
  <si>
    <t>First Nations</t>
  </si>
  <si>
    <t>dmp/indigenous_considerations/indian_band_name</t>
  </si>
  <si>
    <t>indigenous_indian_band_name</t>
  </si>
  <si>
    <t>First Nations Indian Band name corresponding to the First Nations code associated with the dataset. https://fnp-ppn.aadnc-aandc.gc.ca/fnp/Main/Search/SearchFN.aspx?lang=eng ; 
https://open.canada.ca/data/en/dataset/b6567c5c-8339-4055-99fa-63f92114d9e4</t>
  </si>
  <si>
    <t>What First Nations Indian Band name is associated with these data?</t>
  </si>
  <si>
    <t>Campbell River</t>
  </si>
  <si>
    <r>
      <rPr>
        <sz val="9"/>
        <color rgb="FF000000"/>
        <rFont val="Calibri"/>
      </rPr>
      <t xml:space="preserve">Use First Nations name corresponding to the First Nations code.  </t>
    </r>
    <r>
      <rPr>
        <u/>
        <sz val="9"/>
        <color rgb="FF1155CC"/>
        <rFont val="Calibri"/>
      </rPr>
      <t>https://fnp-ppn.aadnc-aandc.gc.ca/fnp/Main/Search/SearchFN.aspx?lang=eng</t>
    </r>
  </si>
  <si>
    <t>dmp/indigenous_considerations/indian_band_number</t>
  </si>
  <si>
    <t>indigenous_indian_band_number</t>
  </si>
  <si>
    <r>
      <rPr>
        <sz val="9"/>
        <color rgb="FF000000"/>
        <rFont val="Calibri"/>
      </rPr>
      <t xml:space="preserve">First Nations Indian band number associated with the dataset. https://fnp-ppn.aadnc-aandc.gc.ca/fnp/Main/Search/SearchFN.aspx?lang=eng ; 
</t>
    </r>
    <r>
      <rPr>
        <u/>
        <sz val="9"/>
        <color rgb="FF000000"/>
        <rFont val="Calibri"/>
      </rPr>
      <t>https://open.canada.ca/data/en/dataset/b6567c5c-8339-4055-99fa-63f92114d9e4</t>
    </r>
  </si>
  <si>
    <t>What First Nations Indian Band number is associated with these data?</t>
  </si>
  <si>
    <t>622</t>
  </si>
  <si>
    <r>
      <rPr>
        <sz val="9"/>
        <color rgb="FF000000"/>
        <rFont val="Calibri"/>
      </rPr>
      <t xml:space="preserve">Use First Nations number code.  </t>
    </r>
    <r>
      <rPr>
        <u/>
        <sz val="9"/>
        <color rgb="FF1155CC"/>
        <rFont val="Calibri"/>
      </rPr>
      <t>https://fnp-ppn.aadnc-aandc.gc.ca/fnp/Main/Search/SearchFN.aspx?lang=eng</t>
    </r>
  </si>
  <si>
    <t>dmp/indigenous_considerations/indigenous_control_over_data</t>
  </si>
  <si>
    <t>indigenous_control_over_data</t>
  </si>
  <si>
    <t>To indicate if Indigenous communities control the data. Description of salient elements of data governance should be noted at the dataset level in the property “data_governance_description”. Indigenous data sharing agreement would be identified under partner organization agreement type. Indigenous traditional knowledge keeper would be identified under Contributor role. See, also: UNDRIP; Canada Tri-Agency requirements.</t>
  </si>
  <si>
    <t>Is there Indigenous control over data?</t>
  </si>
  <si>
    <t>no</t>
  </si>
  <si>
    <t>dmp/indigenous_considerations/language</t>
  </si>
  <si>
    <t>indigenous_language</t>
  </si>
  <si>
    <t>To indicate if Indigenous language is used. If the answer is "yes," then it is identified under maDMP language and/or Dataset language and/or Distribution language.</t>
  </si>
  <si>
    <t>Is an Indigenous language used in the maDMP, dataset, or distribution?</t>
  </si>
  <si>
    <t>dmp/indigenous_considerations/research_method</t>
  </si>
  <si>
    <t>indigenous_research_method</t>
  </si>
  <si>
    <t>To record research methods that have particular significance to an Indigenous community, or that are considered by the researchers to be Indigenous research methods. Examples might include dadirri (australia), pathway (australia), sharing circle, sikolohiyang pilipino, storytelling, talanoa (samoa), talking circle, two-eyed seeing, whakawhiti kōrero (māori), yarning.</t>
  </si>
  <si>
    <t xml:space="preserve">What was the research method used, that was specific to the indigenous context? </t>
  </si>
  <si>
    <t>sharing circle</t>
  </si>
  <si>
    <t>dmp/indigenous_considerations/traditional_knowledge</t>
  </si>
  <si>
    <t>indigenous_traditional_knowledge</t>
  </si>
  <si>
    <t>To indicate if traditional Indigenous knowledge is used in the dataset</t>
  </si>
  <si>
    <t>Is Indigenous traditional knowledge used in this project?</t>
  </si>
  <si>
    <t>dmp/indigenous_considerations/traditional_knowledge_description</t>
  </si>
  <si>
    <t>traditional_knowledge_description</t>
  </si>
  <si>
    <t>To describe the traditional knowledge used in this dataset</t>
  </si>
  <si>
    <t>if indigenous_traditional_knowledge is "yes"</t>
  </si>
  <si>
    <t>What Indigenous traditional knowledge applies to these data?</t>
  </si>
  <si>
    <t>dmp/language</t>
  </si>
  <si>
    <t>dmp_language</t>
  </si>
  <si>
    <t>Language of the DMP expressed using ISO 639-3</t>
  </si>
  <si>
    <t>What language is the maDMP written in?</t>
  </si>
  <si>
    <t>Use ISO 639-3 codes</t>
  </si>
  <si>
    <t>dmp/linked_dmp/</t>
  </si>
  <si>
    <t>linked_dmp</t>
  </si>
  <si>
    <t>to link related dmps , for example official-language-equivalent dmps</t>
  </si>
  <si>
    <t>dmp/linked_dmp/linked_dmp_id/</t>
  </si>
  <si>
    <t>linked_dmp_id</t>
  </si>
  <si>
    <t>identifier of the related dmp</t>
  </si>
  <si>
    <t>when the linked dmp nested structure exists</t>
  </si>
  <si>
    <t>dmp/linked_dmp/linked_dmp_id/identifier</t>
  </si>
  <si>
    <t>linked_dmp_id_identifier</t>
  </si>
  <si>
    <t>dmp/linked_dmp/linked_dmp_id/registry_name</t>
  </si>
  <si>
    <t>linked_dmp_id_registry_name</t>
  </si>
  <si>
    <t>To indicate what reference is used to identify the linked dmp when selecting "other" as id type.</t>
  </si>
  <si>
    <t xml:space="preserve">if "Other" was selected for linked_dmp_id_type </t>
  </si>
  <si>
    <t>dmp/linked_dmp/linked_dmp_id/type</t>
  </si>
  <si>
    <t>What registry or sytem was used to identify the linked_dmp?</t>
  </si>
  <si>
    <t>dmp/linked_dmp/linked_dmp_id/registry_uri</t>
  </si>
  <si>
    <t>linked_dmp_id_registry_uri</t>
  </si>
  <si>
    <t>Link to the reference used to identify the linked dmp</t>
  </si>
  <si>
    <t>dmp/linked_dmp/linked_dmp_id/registry_version</t>
  </si>
  <si>
    <t>linked_dmp_id_registry_version</t>
  </si>
  <si>
    <t>linked_dmp_id_type</t>
  </si>
  <si>
    <t>dmp/linked_dmp/relationship</t>
  </si>
  <si>
    <t>linked_dmp_relationship</t>
  </si>
  <si>
    <t>Explain the relationship of the linked dmp with respect to this dmp. Specify which version is authoritative, if applicable. Example: the linked dmp is the working French version of this authoritative dmp</t>
  </si>
  <si>
    <t>What is the relationship between the linked dmp and this dmp?</t>
  </si>
  <si>
    <t>The linked dmp is the French version of this dmp</t>
  </si>
  <si>
    <t>dmp/linked_dmp/access_url</t>
  </si>
  <si>
    <t>linked_dmp_access_url</t>
  </si>
  <si>
    <t>URL where the linked dmp can be accessed</t>
  </si>
  <si>
    <t>Where can the linked dmp be accessed</t>
  </si>
  <si>
    <t>dmp/linked_dmp/download_url</t>
  </si>
  <si>
    <t>linked_dmp_download_url</t>
  </si>
  <si>
    <t>URL where the linked dmp can be downloaded</t>
  </si>
  <si>
    <t>Where can the linked dmp be downloaded</t>
  </si>
  <si>
    <r>
      <rPr>
        <u/>
        <sz val="9"/>
        <color rgb="FF1155CC"/>
        <rFont val="Calibri"/>
      </rPr>
      <t>dmp/modified</t>
    </r>
  </si>
  <si>
    <t>dmp_modified</t>
  </si>
  <si>
    <t>Indicates maDMP version, so must be set each time the maDMP is modified.  Dates can be used to indicate past and planned actions. Dataset contains issue date that indicates whether the actions are planned or already performed. If the dataset issue date is set in the future (compared to the maDMP modification date), then the actions are planned. If the issue date is set in the past (compared to the maDMP modification date), the actions were performed in the past. Encoded using the relevant ISO 8601 Date and Time &lt;a href="https://www.w3.org/TR/NOTE-datetime"&gt;compliant string&lt;/a&gt;</t>
  </si>
  <si>
    <t>When was the maDMP last modified?</t>
  </si>
  <si>
    <t>dmp/project/</t>
  </si>
  <si>
    <t>project</t>
  </si>
  <si>
    <t>Project(s) related to the DMP</t>
  </si>
  <si>
    <t>dmp/project/algorithmic_impact_assessment_conducted</t>
  </si>
  <si>
    <t>algorithmic_impact_assessment_conducted</t>
  </si>
  <si>
    <t>To indicate if an algorithmic impact assessment has been conducted related to these data. For example using this &lt;a href="https://www.canada.ca/en/government/system/digital-government/digital-government-innovations/responsible-use-ai/algorithmic-impact-assessment.html"&gt;tool&lt;/a &gt;</t>
  </si>
  <si>
    <t>Has an algorithmic impact assessment been conducted related to these data?</t>
  </si>
  <si>
    <t>dmp/project/algorithmic_impact_assessment_conducted_url</t>
  </si>
  <si>
    <t>algorithmic_impact_assessment_url</t>
  </si>
  <si>
    <t>Link to the algorithmic impact assessment</t>
  </si>
  <si>
    <t>Provide a link to the algorithmic impact assessment, if applicable.</t>
  </si>
  <si>
    <t>dmp/project/classification_plan_code</t>
  </si>
  <si>
    <t>project_classification_plan_code</t>
  </si>
  <si>
    <t>To indicate the code that applies to the project documents in the organization's classification plan or file plan (recordkeeping).</t>
  </si>
  <si>
    <t>What code from the file plan applies to the documents of the project?</t>
  </si>
  <si>
    <t>EC-01-014-160-010</t>
  </si>
  <si>
    <r>
      <rPr>
        <u/>
        <sz val="9"/>
        <color rgb="FF1155CC"/>
        <rFont val="Calibri"/>
      </rPr>
      <t>dmp/project/description</t>
    </r>
  </si>
  <si>
    <t>project_description</t>
  </si>
  <si>
    <t>Project abstract providing an overview of the project's goals and scope</t>
  </si>
  <si>
    <t>Describe the project.</t>
  </si>
  <si>
    <t>This project aims to analyze the impact of urbanization on local biodiversity by collecting and assessing environmental data from multiple urban centers. Using remote sensing, field observations, and statistical modeling, the study will identify key factors influencing species diversity and habitat loss. The findings will support sustainable urban planning initiatives and inform conservation strategies.</t>
  </si>
  <si>
    <r>
      <rPr>
        <u/>
        <sz val="9"/>
        <color rgb="FF1155CC"/>
        <rFont val="Calibri"/>
      </rPr>
      <t>dmp/project/end</t>
    </r>
  </si>
  <si>
    <t>project_end</t>
  </si>
  <si>
    <t>Project end date. Encoded using the relevant ISO 8601 Date &lt;a href="https://www.w3.org/TR/NOTE-datetime"&gt;compliant string&lt;/a&gt;</t>
  </si>
  <si>
    <t>When is the planned end date of the project, or when did the project end?</t>
  </si>
  <si>
    <t>2025-12-31</t>
  </si>
  <si>
    <r>
      <rPr>
        <u/>
        <sz val="9"/>
        <color rgb="FF1155CC"/>
        <rFont val="Calibri"/>
      </rPr>
      <t>dmp/project/funding/</t>
    </r>
  </si>
  <si>
    <t>funding</t>
  </si>
  <si>
    <t>Funding related with a project</t>
  </si>
  <si>
    <t>dmp/project/funding/funder_id/</t>
  </si>
  <si>
    <t>funder_id</t>
  </si>
  <si>
    <t>Identifier associated with the project funder</t>
  </si>
  <si>
    <t>when the funding nested structure exists</t>
  </si>
  <si>
    <t>funder</t>
  </si>
  <si>
    <r>
      <rPr>
        <u/>
        <sz val="9"/>
        <color rgb="FF1155CC"/>
        <rFont val="Calibri"/>
      </rPr>
      <t>dmp/project/funding/funder_id/identifier</t>
    </r>
  </si>
  <si>
    <t>funder_id_id</t>
  </si>
  <si>
    <t>To indicate the specific value of the funder’s identifier. It is recommended to use &lt;a href="https://www.crossref.org/services/funder-registry/" target="_blank"&gt;CrossRef Funder Registry&lt;/a&gt;.</t>
  </si>
  <si>
    <t>when the funder nested structure exists</t>
  </si>
  <si>
    <t>Provide the value of the funder identifier.</t>
  </si>
  <si>
    <t>dmp/project/funding/funder_id/registry_name</t>
  </si>
  <si>
    <t>funder_id_registry_name</t>
  </si>
  <si>
    <t>To indicate what registry or system is used to identify the funder when selecting "other" as id type.</t>
  </si>
  <si>
    <t xml:space="preserve">if "Other" was selected for funder_id_type </t>
  </si>
  <si>
    <t>dmp/project/funding/funder_id/type</t>
  </si>
  <si>
    <t>What registry or system was used to identify the funder?</t>
  </si>
  <si>
    <t>dmp/project/funding/funder_id/registry_uri</t>
  </si>
  <si>
    <t>funder_id_registry_uri</t>
  </si>
  <si>
    <t>Link to the registry or system used to identify the funder</t>
  </si>
  <si>
    <r>
      <rPr>
        <u/>
        <sz val="9"/>
        <color rgb="FF1155CC"/>
        <rFont val="&quot;Aptos Narrow&quot;, sans-serif"/>
      </rPr>
      <t>https://www.registreentreprises.gouv.qc.ca/reqna/gr/gr03/gr03a71.rechercheregistre.mvc/gr03a71?choixdomaine=RegistreEntreprisesQuebec</t>
    </r>
  </si>
  <si>
    <t>dmp/project/funding/funder_id/registry_version</t>
  </si>
  <si>
    <t>funder_id_registry_version</t>
  </si>
  <si>
    <t>To indicate the version number or date when the registry or reference was consulted</t>
  </si>
  <si>
    <r>
      <rPr>
        <u/>
        <sz val="9"/>
        <color rgb="FF1155CC"/>
        <rFont val="Calibri"/>
      </rPr>
      <t>dmp/project/funding/funder_id/type</t>
    </r>
  </si>
  <si>
    <t>funder_id_type</t>
  </si>
  <si>
    <t>To specify what type the funder identifier is.</t>
  </si>
  <si>
    <t>What type is the funder identifier?</t>
  </si>
  <si>
    <r>
      <rPr>
        <u/>
        <sz val="9"/>
        <color rgb="FF1155CC"/>
        <rFont val="Calibri"/>
      </rPr>
      <t>dmp/project/funding/funding_status</t>
    </r>
  </si>
  <si>
    <t>funding_status</t>
  </si>
  <si>
    <t>To express different phases of project lifecycle.</t>
  </si>
  <si>
    <t>What is the funding status?</t>
  </si>
  <si>
    <t>planned</t>
  </si>
  <si>
    <t>planned, applied, granted, rejected, not applicable</t>
  </si>
  <si>
    <t>dmp/project/funding/grant_id/</t>
  </si>
  <si>
    <t>grant_id</t>
  </si>
  <si>
    <t>Identifier associated with the grant</t>
  </si>
  <si>
    <r>
      <rPr>
        <u/>
        <sz val="9"/>
        <color rgb="FF1155CC"/>
        <rFont val="Calibri"/>
      </rPr>
      <t>dmp/project/funding/grant_id/identifier</t>
    </r>
  </si>
  <si>
    <t>grant_id_id</t>
  </si>
  <si>
    <t>To indicate the specific value of the grant ID.</t>
  </si>
  <si>
    <t>the grant_id structure exists</t>
  </si>
  <si>
    <t>Provide the grant ID.</t>
  </si>
  <si>
    <t>STB-231</t>
  </si>
  <si>
    <t>dmp/project/funding/grant_id/registry_name</t>
  </si>
  <si>
    <t>grant_id_registry_name</t>
  </si>
  <si>
    <t>To indicate what reference is used to identify the grant when selecting "other" as id type.</t>
  </si>
  <si>
    <t xml:space="preserve">if "Other" was selected for grant_id_type </t>
  </si>
  <si>
    <t>dmp/project/funding/grant_id/type</t>
  </si>
  <si>
    <t>What is registry or system was used to identify the grant?</t>
  </si>
  <si>
    <t>organization's grant database</t>
  </si>
  <si>
    <t>dmp/project/funding/grant_id/registry_uri</t>
  </si>
  <si>
    <t>grant_id_registry_uri</t>
  </si>
  <si>
    <t>Link to the reference used to identify the grant</t>
  </si>
  <si>
    <t>Where can the the registry or system be found?</t>
  </si>
  <si>
    <t>https://007myorg.sharepoint.com/sites/G&amp;C/Lists/GrantsDB/AllItems.aspx</t>
  </si>
  <si>
    <t>dmp/project/funding/grant_id/registry_version</t>
  </si>
  <si>
    <t>grant_id_registry_version</t>
  </si>
  <si>
    <r>
      <rPr>
        <u/>
        <sz val="9"/>
        <color rgb="FF1155CC"/>
        <rFont val="Calibri"/>
      </rPr>
      <t>dmp/project/funding/grant_id/type</t>
    </r>
  </si>
  <si>
    <t>grant_id_type</t>
  </si>
  <si>
    <t>To specify what type the grant ID is.</t>
  </si>
  <si>
    <t>What type is the grant identifier?</t>
  </si>
  <si>
    <t>dmp/project/funding/source/</t>
  </si>
  <si>
    <t>source</t>
  </si>
  <si>
    <t>Project funding source</t>
  </si>
  <si>
    <t>dmp/project/funding/source/description</t>
  </si>
  <si>
    <t>source_description</t>
  </si>
  <si>
    <t>To provide any free-form text information on the funding source for the project</t>
  </si>
  <si>
    <t>Provide details on project funding.</t>
  </si>
  <si>
    <t>dmp/project/funding/source/type</t>
  </si>
  <si>
    <t>source_type</t>
  </si>
  <si>
    <t>Funding source type for the project (e.g., OCIO A-base, OCIO B-base, program A-base, program B-base, Treasury Board submission, vote-net revenue (VNR), no funding)</t>
  </si>
  <si>
    <t>when the project nested structure exists</t>
  </si>
  <si>
    <t>How is the project funded?</t>
  </si>
  <si>
    <t>program A-base</t>
  </si>
  <si>
    <t>dmp/project/project_id/</t>
  </si>
  <si>
    <t>project_id</t>
  </si>
  <si>
    <t>Identifier associated with the project</t>
  </si>
  <si>
    <t>dmp/project/project_id/id</t>
  </si>
  <si>
    <t>project_id_id</t>
  </si>
  <si>
    <t>To indicate the specific value of the project ID</t>
  </si>
  <si>
    <t>when the project id nested structure exists</t>
  </si>
  <si>
    <t>What is the project ID?</t>
  </si>
  <si>
    <t>dmp/project/project_id/registry_name</t>
  </si>
  <si>
    <t>project_id_registry_name</t>
  </si>
  <si>
    <t>To indicate what reference is used to identify the project when selecting "other" as id type.</t>
  </si>
  <si>
    <t xml:space="preserve">if "Other" was selected for project_id_type </t>
  </si>
  <si>
    <t>What registry or system was used to identify the project?</t>
  </si>
  <si>
    <t>departmental project database</t>
  </si>
  <si>
    <t>dmp/project/project_id/registry_uri</t>
  </si>
  <si>
    <t>project_id_registry_uri</t>
  </si>
  <si>
    <t>Link to the reference used to identify the project</t>
  </si>
  <si>
    <t>https://007mydep.sharepoint.com/sites/PMAD/Lists/ProjectDB/AllItems.aspx</t>
  </si>
  <si>
    <t>dmp/project/project_id/registry_version</t>
  </si>
  <si>
    <t>project_id_registry_version</t>
  </si>
  <si>
    <t>dmp/project/project_id/type</t>
  </si>
  <si>
    <t>project_id_type</t>
  </si>
  <si>
    <t>To specify what type the project identifier is.</t>
  </si>
  <si>
    <t>What type is the project identifier?</t>
  </si>
  <si>
    <t>dmp/project/partner_organization/</t>
  </si>
  <si>
    <t>partner_organization</t>
  </si>
  <si>
    <t>Partner organization</t>
  </si>
  <si>
    <t>dmp/project/partner_organization/agreement/</t>
  </si>
  <si>
    <t>Partner organization agreement</t>
  </si>
  <si>
    <t>dmp/project/partner_organization/agreement/agreement_download_url</t>
  </si>
  <si>
    <t>agreement_download_url</t>
  </si>
  <si>
    <t xml:space="preserve">Download link to the partner organization agreement document </t>
  </si>
  <si>
    <t>Provide a link to the partner organization agreement.</t>
  </si>
  <si>
    <t>dmp/project/partner_organization/agreement/description</t>
  </si>
  <si>
    <t>agreement_description</t>
  </si>
  <si>
    <t>To provide any free-form text information description on the agreement made with the partner organization</t>
  </si>
  <si>
    <t>Describe the project agreement with the partner organization.</t>
  </si>
  <si>
    <t>Agrees to gaze at the stars</t>
  </si>
  <si>
    <t>dmp/project/partner_organization/agreement/type</t>
  </si>
  <si>
    <t>agreement_type</t>
  </si>
  <si>
    <t>Partner organization agreement type (e.g., MOA - Memorandum of Agreement; MOU - Memorandum of Understanding; Indigenous data sharing agreement; BCR-band council resolution; Treaty; collaborative agreement; cooperative agreement; contract; cost-sharing agreement; contractual material; funding collaboration agreement; grant agreement; service level agreement)</t>
  </si>
  <si>
    <t>when the partner organization agreement nested structure exists</t>
  </si>
  <si>
    <t>What type of partner organization agreement exists?</t>
  </si>
  <si>
    <t>cooperative agreement</t>
  </si>
  <si>
    <t>dmp/project/partner_organization/name</t>
  </si>
  <si>
    <t>partner_organization_name</t>
  </si>
  <si>
    <t>Name of partner organization.</t>
  </si>
  <si>
    <t xml:space="preserve">What is the partner organization's name? </t>
  </si>
  <si>
    <t>Stargazers</t>
  </si>
  <si>
    <t>dmp/project/partner_organization/partner_organization_id/</t>
  </si>
  <si>
    <t>partner_organization_id</t>
  </si>
  <si>
    <t>Unique identifier assigned to represent partner organization.</t>
  </si>
  <si>
    <t>dmp/project/partner_organization/partner_organization_id/identifier</t>
  </si>
  <si>
    <t>partner_organization_id_identifier</t>
  </si>
  <si>
    <t>Partner organization identifier</t>
  </si>
  <si>
    <t>What is the partner organization's ID?</t>
  </si>
  <si>
    <t>dmp/project/partner_organization/partner_organization_id/registry_name</t>
  </si>
  <si>
    <t>partner_organization_id_registry_name</t>
  </si>
  <si>
    <t>To indicate what reference is used to identify the partner organization when selecting "other" as id type.</t>
  </si>
  <si>
    <t xml:space="preserve">if "Other" was selected for partner_organization_id_type </t>
  </si>
  <si>
    <t>dmp/project/partner_organization/partner_organization_id/type</t>
  </si>
  <si>
    <t>What registry or system was used to identify the partner organization?</t>
  </si>
  <si>
    <t>dmp/project/partner_organization/partner_organization_id/registry_uri</t>
  </si>
  <si>
    <t>partner_organization_id_registry_uri</t>
  </si>
  <si>
    <t>Link to the reference used to identify the partner organization</t>
  </si>
  <si>
    <r>
      <rPr>
        <u/>
        <sz val="9"/>
        <color rgb="FF1155CC"/>
        <rFont val="&quot;Aptos Narrow&quot;, sans-serif"/>
      </rPr>
      <t>https://www.registreentreprises.gouv.qc.ca/reqna/gr/gr03/gr03a71.rechercheregistre.mvc/gr03a71?choixdomaine=RegistreEntreprisesQuebec</t>
    </r>
  </si>
  <si>
    <t>dmp/project/partner_organization/partner_organization_id/registry_version</t>
  </si>
  <si>
    <t>partner_organization_id_registry_version</t>
  </si>
  <si>
    <t>partner_organization_id_type</t>
  </si>
  <si>
    <t>What type of ID is used to identify the partner organization?</t>
  </si>
  <si>
    <t>dmp/project/safeguarding_science_measures/</t>
  </si>
  <si>
    <t>safeguarding_science_measures</t>
  </si>
  <si>
    <t xml:space="preserve">Some elements of safeguarding science are recorded elsewhere in the maDMP (e.g., checksum, data access, data security-privacy measures, ethical issues, intellectual property, partner agreement, protection level, retention/disposition planning, security classification, versioning). This section should be used for additional information (e.g., description and link to a risk assessment and mitigation plan, link to a succession plan, etc.). </t>
  </si>
  <si>
    <t>dmp/project/safeguarding_science_measures/documentation/</t>
  </si>
  <si>
    <t>safeguarding_science_measures_documentation</t>
  </si>
  <si>
    <t>Create one entry for each reference related to the project science safeguarding .</t>
  </si>
  <si>
    <t>if "yes" was selected for safeguarding_science_measures_exist</t>
  </si>
  <si>
    <t>dmp/project/safeguarding_science_measures/exist</t>
  </si>
  <si>
    <t>dmp/project/safeguarding_science_measures/documentation/access_url</t>
  </si>
  <si>
    <t>safeguarding_science_measures_access_url</t>
  </si>
  <si>
    <t>Access url of the reference related to science safeguarding</t>
  </si>
  <si>
    <t>What is the url to access the reference related to science safeguarding?</t>
  </si>
  <si>
    <t>http://some.repo/.../...</t>
  </si>
  <si>
    <t>dmp/project/safeguarding_science_measures/documentation/description</t>
  </si>
  <si>
    <t>safeguarding_science_measures_description</t>
  </si>
  <si>
    <t>Description of the reference related to science safeguarding</t>
  </si>
  <si>
    <t>Describe the reference related to science safeguarding.</t>
  </si>
  <si>
    <t>Identifies critical roles, ensures knowledge transfer, builds a succession pipeline, to protect the project from the disruptions caused by personnel changes and ensure successful project outcomes.</t>
  </si>
  <si>
    <t>dmp/project/safeguarding_science_measures/documentation/download_url</t>
  </si>
  <si>
    <t>safeguarding_science_measures_download_url</t>
  </si>
  <si>
    <t>Download url of the reference related to science safeguarding</t>
  </si>
  <si>
    <t>What is the url to download the reference related to science safeguarding?</t>
  </si>
  <si>
    <t>http://some.repo/.../download/...</t>
  </si>
  <si>
    <t>dmp/project/safeguarding_science_measures/documentation/name</t>
  </si>
  <si>
    <t>safeguarding_science_measures_name</t>
  </si>
  <si>
    <t>Name of the reference related to science safeguarding</t>
  </si>
  <si>
    <t>when the safeguarding_science_measures_documentation structure exist</t>
  </si>
  <si>
    <t>What is the name of the reference related to science safeguarging?</t>
  </si>
  <si>
    <t>Project succession plan</t>
  </si>
  <si>
    <t>safeguarding_science_measures_exist</t>
  </si>
  <si>
    <t>To indicate if any measure has been taken to safeguard the project</t>
  </si>
  <si>
    <t>when the safeguarding_science_measures structure exist</t>
  </si>
  <si>
    <t>Have any measures been taken related to science safeguarding?</t>
  </si>
  <si>
    <t>dmp/project/safeguarding_science_measures/redundant_backups/</t>
  </si>
  <si>
    <t>redundant_backups</t>
  </si>
  <si>
    <t>To describe how data used in the project have been saved to guarantee their security, integrity and long term access</t>
  </si>
  <si>
    <t xml:space="preserve">0..n </t>
  </si>
  <si>
    <t>if "yes" was selected for redundant_backups_exist</t>
  </si>
  <si>
    <t>redundant_backups_exist</t>
  </si>
  <si>
    <t>dmp/project/safeguarding_science_measures/redundant_backups/description</t>
  </si>
  <si>
    <t>redundant_backups_description</t>
  </si>
  <si>
    <t>To describe the backup: scope, date backup was saved in a repository, version (or date) of the data at the time of the backup, etc.</t>
  </si>
  <si>
    <t>Describe scope</t>
  </si>
  <si>
    <t>This backup includes the table XXX  of the 2023 survey</t>
  </si>
  <si>
    <t>dmp/project/safeguarding_science_measures/redundant_backups/download_url</t>
  </si>
  <si>
    <t>redundant_backups_download</t>
  </si>
  <si>
    <t>To indicate the url where the backup can be retrieved</t>
  </si>
  <si>
    <t>Where can the backup be downloaded from?</t>
  </si>
  <si>
    <t>dmp/project/safeguarding_science_measures/redundant_backups_exist</t>
  </si>
  <si>
    <t>To indicate if any redundant backup of the source data exists</t>
  </si>
  <si>
    <t>Does any back up of the source data exist?</t>
  </si>
  <si>
    <r>
      <rPr>
        <u/>
        <sz val="9"/>
        <color rgb="FF1155CC"/>
        <rFont val="Calibri"/>
      </rPr>
      <t>dmp/project/start</t>
    </r>
  </si>
  <si>
    <t>project_start</t>
  </si>
  <si>
    <t>Project start date. Encoded using the relevant ISO 8601 Date &lt;a href="https://www.w3.org/TR/NOTE-datetime"&gt;compliant string&lt;/a&gt;</t>
  </si>
  <si>
    <t>What is the project start date?</t>
  </si>
  <si>
    <r>
      <rPr>
        <u/>
        <sz val="9"/>
        <color rgb="FF1155CC"/>
        <rFont val="Calibri"/>
      </rPr>
      <t>dmp/project/title</t>
    </r>
  </si>
  <si>
    <t>project_title</t>
  </si>
  <si>
    <t>Project title</t>
  </si>
  <si>
    <t>What is the project title?</t>
  </si>
  <si>
    <t>Mission to the sun.</t>
  </si>
  <si>
    <t>dmp/protection_level</t>
  </si>
  <si>
    <t>dmp_protection_level</t>
  </si>
  <si>
    <t>What is the protection level for the maDMP?</t>
  </si>
  <si>
    <t>unknown, not protected, Protected A, Protected B, Protected C, other</t>
  </si>
  <si>
    <t>dmp/protection_level_other_level</t>
  </si>
  <si>
    <t>dmp_protection_other_nomenclature</t>
  </si>
  <si>
    <t>To indicate which nomenclature is used to qualify the dmp protection level when "other" was chosen in dmp_protection_level</t>
  </si>
  <si>
    <t>What other nomenclature is used to indicate the distribution protection level?</t>
  </si>
  <si>
    <t>MyOrg security</t>
  </si>
  <si>
    <t>dmp/protection_level_other_nomenclature</t>
  </si>
  <si>
    <t>dmp_protection_other_level</t>
  </si>
  <si>
    <t>To indicate the protection level of the dmp according to the nomenclature found in dmp_protection_level_other_nomenclature</t>
  </si>
  <si>
    <t>What protection level applies to the distribution according to the nomenclature?</t>
  </si>
  <si>
    <t>level 2</t>
  </si>
  <si>
    <t>dmp/schema_version</t>
  </si>
  <si>
    <t>dmp_schema_version</t>
  </si>
  <si>
    <t xml:space="preserve">DMP schema version </t>
  </si>
  <si>
    <t>Which maDMP metadata schema version was used when creating this maDMP?</t>
  </si>
  <si>
    <t>v2.6</t>
  </si>
  <si>
    <t>dmp/schema_version_uri</t>
  </si>
  <si>
    <t>dmp_schema_version_uri</t>
  </si>
  <si>
    <t xml:space="preserve">DMP schema URI </t>
  </si>
  <si>
    <t>What is the URI to the metadata schema version used when creating this maDMP?</t>
  </si>
  <si>
    <t>https://github.com/FAIRERdata/maDMP-Standard/blob/Master/examples/JSON/PublishedSchemas/GCWG-RDA-maDMP-schema_v2.6.json</t>
  </si>
  <si>
    <t>dmp/security_classification_level</t>
  </si>
  <si>
    <t>dmp_security_classification_level</t>
  </si>
  <si>
    <t>Security classification that designates the level of protection against access the DMP requires when unauthorized disclosure could reasonably be expected to cause injury to the national interest – defence and maintenance of the social, political and economic stability of the nation. Classification levels: Unclassified, Restricted (disadvantageous to the interests of the nation), Confidential (injury to the national interest), Secret (serious injury to the national interest), Top Secret (exceptionally grave injury to the national interest). "Other" could include, for example: Clearance, Compartmented information, Critical nuclear weapon design information (CNDWI), No foreign dissemination (NOFORN), Official/For official use only, Official sensitive, Originator controlled dissemination (ORCON), Special intelligence, Sensitive but unclassified. https://www.canada.ca/en/public-services-procurement/services/industrial-security/security-requirements-contracting/safeguarding-equipment-sites-assets-information/levels-security.html#s2</t>
  </si>
  <si>
    <t>What is the security classification of the maDMP?</t>
  </si>
  <si>
    <t>dmp/security_classification_level_other_level</t>
  </si>
  <si>
    <t>dmp_security_other_nomenclature</t>
  </si>
  <si>
    <t>dmp/security_classification_level_other_nomenclature</t>
  </si>
  <si>
    <t>dmp_security_other_level</t>
  </si>
  <si>
    <t>To indicate the level of the classified information held by the dmp according to the nomenclature found in dmp_security_classification_level_other_nomenclature</t>
  </si>
  <si>
    <r>
      <rPr>
        <u/>
        <sz val="9"/>
        <color rgb="FF1155CC"/>
        <rFont val="Calibri"/>
      </rPr>
      <t>dmp/title</t>
    </r>
  </si>
  <si>
    <t>dmp_title</t>
  </si>
  <si>
    <t>Title of the DMP</t>
  </si>
  <si>
    <t>What is the title of this maDMP?</t>
  </si>
  <si>
    <t>Data Management Plan of the most exciting project ever</t>
  </si>
  <si>
    <t>dmp/contributor/contributor_id/identifier</t>
  </si>
  <si>
    <t>dmp/project/funding/</t>
  </si>
  <si>
    <t>dmp/project/funding/funder_id/identifier</t>
  </si>
  <si>
    <t>dmp/project/funding/grant_id/identifier</t>
  </si>
  <si>
    <t>Country</t>
  </si>
  <si>
    <t>missing</t>
  </si>
  <si>
    <t>dmp/contributor/affiliation/educational_institution/</t>
  </si>
  <si>
    <t>dmp/contributor/affiliation/educational_institution/department</t>
  </si>
  <si>
    <t>dmp/contributor/affiliation/educational_institution/educational_institution_id/</t>
  </si>
  <si>
    <t>dmp/contributor/affiliation/educational_institution/educational_institution_id/identifier</t>
  </si>
  <si>
    <t>dmp/contributor/affiliation/educational_institution/educational_institution_id/type</t>
  </si>
  <si>
    <t>dmp/contributor/affiliation/educational_institution/name</t>
  </si>
  <si>
    <t>dmp/contributor/affiliation/non_profit/</t>
  </si>
  <si>
    <t>dmp/contributor/affiliation/non_profit/name</t>
  </si>
  <si>
    <t>dmp/contributor/affiliation/non_profit/non_profit_id/</t>
  </si>
  <si>
    <t>dmp/contributor/affiliation/non_profit/non_profit_id/identifier</t>
  </si>
  <si>
    <t>dmp/contributor/affiliation/non_profit/non_profit_id/type</t>
  </si>
  <si>
    <t>dmp/contributor/affiliation/business/</t>
  </si>
  <si>
    <t>dmp/contributor/affiliation/business/business_id/</t>
  </si>
  <si>
    <t>dmp/contributor/affiliation/business/business_id/identifier</t>
  </si>
  <si>
    <t>dmp/contributor/affiliation/business/business_id/type</t>
  </si>
  <si>
    <t>dmp/dataset/computing_environment/</t>
  </si>
  <si>
    <t xml:space="preserve"> </t>
  </si>
  <si>
    <t>Nom de domaine simple</t>
  </si>
  <si>
    <t>Simple fieldname</t>
  </si>
  <si>
    <t>dmp/classification_level</t>
  </si>
  <si>
    <t>dmp/created</t>
  </si>
  <si>
    <t>Row</t>
  </si>
  <si>
    <r>
      <rPr>
        <b/>
        <sz val="10"/>
        <color rgb="FF000000"/>
        <rFont val="Calibri"/>
      </rPr>
      <t>Common standard fieldname of row
(click on hyperlinks for RDA core maDMP field descriptions)
(</t>
    </r>
    <r>
      <rPr>
        <b/>
        <sz val="10"/>
        <color rgb="FFFF0000"/>
        <rFont val="Calibri"/>
      </rPr>
      <t>see GC maDMP structure</t>
    </r>
    <r>
      <rPr>
        <b/>
        <sz val="10"/>
        <color rgb="FF000000"/>
        <rFont val="Calibri"/>
      </rPr>
      <t>,</t>
    </r>
    <r>
      <rPr>
        <b/>
        <sz val="10"/>
        <color rgb="FF000000"/>
        <rFont val="Calibri"/>
      </rPr>
      <t xml:space="preserve"> </t>
    </r>
    <r>
      <rPr>
        <b/>
        <u/>
        <sz val="10"/>
        <color rgb="FF1155CC"/>
        <rFont val="Calibri"/>
      </rPr>
      <t>here</t>
    </r>
    <r>
      <rPr>
        <b/>
        <sz val="10"/>
        <color rgb="FF000000"/>
        <rFont val="Calibri"/>
      </rPr>
      <t>)</t>
    </r>
  </si>
  <si>
    <t>Change Made</t>
  </si>
  <si>
    <t>Why it was made</t>
  </si>
  <si>
    <t>Additional notes</t>
  </si>
  <si>
    <t>NOTE: I will follow the RDA's lead in cardinality formating, if something is required within an optional nested data structure, it will have cardinality of 1 or 1..n. Listed as REQUIRED IF. However, if there is a REQUIRED IF outside of a nested data structure or is dependent on something in the same nested data structure will be 0..1 or 0..n.</t>
  </si>
  <si>
    <t>What are some examples of types of business itendifiers? The data type of this is string, but should it be more restrictive and be a controlled variable? I know of the BR, but do scientists have access to this.</t>
  </si>
  <si>
    <t>21 to 127</t>
  </si>
  <si>
    <t>dmp/indigenous_dmp_negotiation</t>
  </si>
  <si>
    <t>Moved down to indigenous considerations section</t>
  </si>
  <si>
    <t>Moving all content to do with Indigenous peoples to Indigenous Considerations</t>
  </si>
  <si>
    <t>68 to 128</t>
  </si>
  <si>
    <t>dmp/contributor/affiliation/indigenous_government_name</t>
  </si>
  <si>
    <t>69 to 129</t>
  </si>
  <si>
    <t>dmp/contributor/affiliation/indigenous_ngo_name</t>
  </si>
  <si>
    <t>158 to 137</t>
  </si>
  <si>
    <t>dmp/dataset/distribution/intellectual_property/indigenous_traditional_knowledge</t>
  </si>
  <si>
    <t>168 to 138</t>
  </si>
  <si>
    <t>dmp/dataset/distribution/indigenous_information_sharing_agreement_description</t>
  </si>
  <si>
    <t>169 to 139</t>
  </si>
  <si>
    <t>dmp/dataset/distribution/indigenous_information_sharing_agreement</t>
  </si>
  <si>
    <t>186 to 140</t>
  </si>
  <si>
    <t>dmp/dataset/dataset_documentation/indigenous_research_method</t>
  </si>
  <si>
    <t>207 to 141</t>
  </si>
  <si>
    <t>dmp/dataset/subject/indigenous_knowledge_classification</t>
  </si>
  <si>
    <t>249 to 142</t>
  </si>
  <si>
    <t>dmp/dataset/distribution/indian_band_number</t>
  </si>
  <si>
    <t>250 to 143</t>
  </si>
  <si>
    <t>dmp/dataset/distribution/indigenous_data</t>
  </si>
  <si>
    <t>251 to 144</t>
  </si>
  <si>
    <t>dmp/dataset/distribution/indigenous_data_identification_method</t>
  </si>
  <si>
    <t>Made it optional and a nested data structure</t>
  </si>
  <si>
    <t>Doesn't make sense to have this required, also wasn't listed at all nested data structure as it is one</t>
  </si>
  <si>
    <t>Should we organize this like projects where the nested data structure is 0..n and the things inside are 0..1 instead of the way it currently is?</t>
  </si>
  <si>
    <t>dmp/approval/approval_by_name</t>
  </si>
  <si>
    <t>Made them required if a dmp/approval/ exists and changed GC cardinality to 0..n s such</t>
  </si>
  <si>
    <t>Was previously required, doesn't make sense if dmp/approval/ is optional</t>
  </si>
  <si>
    <t>dmp/approval/approval_by_position</t>
  </si>
  <si>
    <t>dmp/approval/approval_date</t>
  </si>
  <si>
    <t>dmp/approval/approval_status</t>
  </si>
  <si>
    <t>dmp/access_url</t>
  </si>
  <si>
    <t>added the required if condition that dmp/access must be open or shared</t>
  </si>
  <si>
    <t>doesn't make sense to ask for this if it is closed</t>
  </si>
  <si>
    <t>dmp/dmp_id/type_other</t>
  </si>
  <si>
    <t>Being removed</t>
  </si>
  <si>
    <t>What is the reason for this? All information is to the right.</t>
  </si>
  <si>
    <t>What is this for?</t>
  </si>
  <si>
    <t>dmp_id_type_other</t>
  </si>
  <si>
    <t>pgd_id_autre</t>
  </si>
  <si>
    <t>done</t>
  </si>
  <si>
    <t>dmp/download_url</t>
  </si>
  <si>
    <t>I'm not sure if this what should be required if condition, however I can't think of anything else</t>
  </si>
  <si>
    <t>made this a nested data structure and optional</t>
  </si>
  <si>
    <t>Was empty before, needed to be a nested data structure</t>
  </si>
  <si>
    <t>changed cardinality to 1</t>
  </si>
  <si>
    <t>can't be 1..n as only one classifcation level I assume</t>
  </si>
  <si>
    <t>chnaged cardinality to 1</t>
  </si>
  <si>
    <t>That is the RDA standard, it was incorrect before</t>
  </si>
  <si>
    <t>dmp/project/partner_organization/agreement/agreement_download</t>
  </si>
  <si>
    <t>This was changed due to NOTE at top.</t>
  </si>
  <si>
    <t>dmp/project/partner_organization/agreement_type</t>
  </si>
  <si>
    <t>Made this a nested data structure and optional</t>
  </si>
  <si>
    <t>Made this a nested data structure and optional, changed the required if condition to make more sense for the contributir being a person and not a business</t>
  </si>
  <si>
    <t>changed cardinality to 1 and changed required if condition</t>
  </si>
  <si>
    <t>Due to NOTE at top and also so required if makes more sense for an individual</t>
  </si>
  <si>
    <t>dmp/contributor/affiliation/country/country_code</t>
  </si>
  <si>
    <t>dmp/contributor/affiliation/country/country_name</t>
  </si>
  <si>
    <t>dmp/contributor/affiliation/country/</t>
  </si>
  <si>
    <t>made this a nested data structure</t>
  </si>
  <si>
    <t>dmp/contributor/affiliation/federal_department_or_agency/</t>
  </si>
  <si>
    <t>Currently a controlled variable, but we don't have a list to choose from. Do we want this to be a controlled variable or should this be a string?</t>
  </si>
  <si>
    <t>dmp/contributor/affiliation/federal_department_or_agency/code</t>
  </si>
  <si>
    <t>changed cardinality to 1 and changed required if condition. Currently a controlled variable, but we don't have a list to choose from. Do we want this to be a controlled variable or should this be a string?</t>
  </si>
  <si>
    <t>dmp/contributor/affiliation/federal_department_or_agency/name</t>
  </si>
  <si>
    <t>dmp/contributor/affiliation/province_state/code</t>
  </si>
  <si>
    <t>dmp/contributor/affiliation/province_state/name</t>
  </si>
  <si>
    <t>dmp/contributor/contributor_id/</t>
  </si>
  <si>
    <t>Add required if condition if contributor exists</t>
  </si>
  <si>
    <t>Needed that information</t>
  </si>
  <si>
    <t>dmp/contributor/affiliation/province_state/</t>
  </si>
  <si>
    <t>Changed to required if and added condition</t>
  </si>
  <si>
    <t>Due to NOTE at the top</t>
  </si>
  <si>
    <t>dmp/contributor/succession_plan</t>
  </si>
  <si>
    <t>Changed the whole structure to match the likes of project or contributor whre previousy it was one dmp/approval/ object with many thins underneath</t>
  </si>
  <si>
    <r>
      <rPr>
        <sz val="10"/>
        <color theme="1"/>
        <rFont val="Calibri"/>
      </rPr>
      <t>dmp/dataset/</t>
    </r>
    <r>
      <rPr>
        <sz val="10"/>
        <color theme="5"/>
        <rFont val="Calibri"/>
      </rPr>
      <t>technical_resource/</t>
    </r>
    <r>
      <rPr>
        <sz val="10"/>
        <color theme="1"/>
        <rFont val="Calibri"/>
      </rPr>
      <t>inventory_label</t>
    </r>
  </si>
  <si>
    <t>changed to optional, was empty, what data type is this</t>
  </si>
  <si>
    <t>dmp/dataset/resource_type</t>
  </si>
  <si>
    <t>88-103</t>
  </si>
  <si>
    <t>dmp/dataset/distrbution/computing_environment/</t>
  </si>
  <si>
    <t>Making this whole section a part of the distribution sub nested data structure instead of just being in the dataset nested data structure</t>
  </si>
  <si>
    <t>See the comments on cell B88</t>
  </si>
  <si>
    <t>There needs to be a project for there to be funding, so requirement condition on if there is a project</t>
  </si>
  <si>
    <t>added a condition for required IF</t>
  </si>
  <si>
    <t>needed a condition</t>
  </si>
  <si>
    <t>dmp/project/funding/funding_status</t>
  </si>
  <si>
    <t>changed to required IF and added condition</t>
  </si>
  <si>
    <t>There needs to be funding to get funding status</t>
  </si>
  <si>
    <t>made this optional</t>
  </si>
  <si>
    <t>was empty before</t>
  </si>
  <si>
    <t>changed to required IF, added a condition, made it a nested data structure</t>
  </si>
  <si>
    <t>All of this was necessary, was now required if because of larger changes to funding</t>
  </si>
  <si>
    <t>dmp/project/funding/source/exists</t>
  </si>
  <si>
    <t>because of changes higher up in funding</t>
  </si>
  <si>
    <t>changed to required IF</t>
  </si>
  <si>
    <t>error in sheet</t>
  </si>
  <si>
    <t>added that it is optional and a nested data structure</t>
  </si>
  <si>
    <t>Should we include other indigenous data objects into this section? There's a couple required IFs that talk about Indigenous considerations but nit in the nested data structure</t>
  </si>
  <si>
    <t>changed to required if, can't be required if the higher level isn't</t>
  </si>
  <si>
    <t>dmp/indigenous_considerations/indigenous_data_governance_exists</t>
  </si>
  <si>
    <t>removed as it was redundant</t>
  </si>
  <si>
    <t>distribution_indigenous_data</t>
  </si>
  <si>
    <t>distribution_données_autochtones</t>
  </si>
  <si>
    <t>if there is a distribution</t>
  </si>
  <si>
    <t>redundant</t>
  </si>
  <si>
    <t>dct:type</t>
  </si>
  <si>
    <t>Tri-Agency</t>
  </si>
  <si>
    <t>pgd/données/distribution/données_autochtones</t>
  </si>
  <si>
    <t>KT yes</t>
  </si>
  <si>
    <t>162-165</t>
  </si>
  <si>
    <t>removed due to reduandance or due to not existing anywhere else in documentation</t>
  </si>
  <si>
    <t>dmp/dataset/distribution/intellectual_property/copyright_holder_other_specify</t>
  </si>
  <si>
    <t>Specify any other copyright holders of the distribution of the dataset.</t>
  </si>
  <si>
    <t>distribution_copyright_holder_other</t>
  </si>
  <si>
    <t>Joe Doe</t>
  </si>
  <si>
    <t>not needed</t>
  </si>
  <si>
    <t>LAC</t>
  </si>
  <si>
    <t>dmp/dataset/distribution/intellectual_property/publication_date</t>
  </si>
  <si>
    <t>What is the publication date of the distribution of the dataset?</t>
  </si>
  <si>
    <t>distributio_publication_date</t>
  </si>
  <si>
    <t>same as "issued"</t>
  </si>
  <si>
    <r>
      <rPr>
        <b/>
        <sz val="10"/>
        <color rgb="FF000000"/>
        <rFont val="Calibri"/>
      </rPr>
      <t>License and/or other arrangement</t>
    </r>
    <r>
      <rPr>
        <sz val="10"/>
        <color rgb="FF000000"/>
        <rFont val="Calibri"/>
      </rPr>
      <t xml:space="preserve">
Used to indicate the license under which data (each specific Distribution of the data) will be made available. It also allows for modelling embargoes. See FAQ for more details.</t>
    </r>
  </si>
  <si>
    <t>dmp/dataset/distribution/date_use_constraints_description</t>
  </si>
  <si>
    <t>Describe the constraints of using the data from the dataset.</t>
  </si>
  <si>
    <t>distribution_date_use_constraints_description</t>
  </si>
  <si>
    <t>distribution_usage_données_restrictions_description</t>
  </si>
  <si>
    <t>distribution license</t>
  </si>
  <si>
    <r>
      <rPr>
        <b/>
        <sz val="10"/>
        <color rgb="FF000000"/>
        <rFont val="Calibri"/>
      </rPr>
      <t>License and/or other arrangement</t>
    </r>
    <r>
      <rPr>
        <sz val="10"/>
        <color rgb="FF000000"/>
        <rFont val="Calibri"/>
      </rPr>
      <t xml:space="preserve">
Used to indicate the license under which data (each specific Distribution of the data) will be made available. It also allows for modelling embargoes. See FAQ for more details.</t>
    </r>
  </si>
  <si>
    <t>data_sharing_agreeement</t>
  </si>
  <si>
    <t>I'M NOT SURE WHAT THIS MEANS.</t>
  </si>
  <si>
    <t>Link to dataset</t>
  </si>
  <si>
    <t>dmp/dataset/distribution/license/other_specify</t>
  </si>
  <si>
    <t>removed due to notes</t>
  </si>
  <si>
    <t>license_other_specify</t>
  </si>
  <si>
    <t>should be removed</t>
  </si>
  <si>
    <t>dmp/dataset/metadata/language</t>
  </si>
  <si>
    <t>added required if condition</t>
  </si>
  <si>
    <t>The condition section was empty</t>
  </si>
  <si>
    <t>added dmp/dataset/ and filled in required info</t>
  </si>
  <si>
    <t>Needed as there was no row for this nested data structure</t>
  </si>
  <si>
    <t>dmp/dataset/industry/</t>
  </si>
  <si>
    <t>added that it isoptional and a nested data structure</t>
  </si>
  <si>
    <t>Both needed</t>
  </si>
  <si>
    <t>added nested data structure</t>
  </si>
  <si>
    <t>was missing</t>
  </si>
  <si>
    <t>dmp/dataset/subject/classification</t>
  </si>
  <si>
    <t>made optional and added string as data type</t>
  </si>
  <si>
    <t>both were missing</t>
  </si>
  <si>
    <t>dmp/dataset/supported_works/</t>
  </si>
  <si>
    <t>made optional and added nested data structure as data type</t>
  </si>
  <si>
    <t>dmp/dataset/supported_works/author</t>
  </si>
  <si>
    <t>dmp/dataset/supported_works/type</t>
  </si>
  <si>
    <t>dmp/dataset/supported_works/url</t>
  </si>
  <si>
    <t>213-220</t>
  </si>
  <si>
    <t>dmp/dataset/distribution/data_aggregation</t>
  </si>
  <si>
    <t>moving this to the dmp/dataset section</t>
  </si>
  <si>
    <t>based on notes on B213</t>
  </si>
  <si>
    <t>dmp/dataset/distribution/data_aggregation_description</t>
  </si>
  <si>
    <t>dmp/dataset/distribution/data_class</t>
  </si>
  <si>
    <t>dmp/dataset/distribution/data_completeness</t>
  </si>
  <si>
    <t>dmp/dataset/distribution/data_criticality</t>
  </si>
  <si>
    <t>dmp/dataset/distribution/data_integration</t>
  </si>
  <si>
    <t>dmp/dataset/distribution/data_integration_description</t>
  </si>
  <si>
    <t>dmp/dataset/distribution/data_integration_sources</t>
  </si>
  <si>
    <t>234-237</t>
  </si>
  <si>
    <t>dmp/dataset/distribution/data_source</t>
  </si>
  <si>
    <t>Based on the logic model comments</t>
  </si>
  <si>
    <t>dmp/dataset/distribution/data_source_description</t>
  </si>
  <si>
    <t>dmp/dataset/distribution/data_source_external</t>
  </si>
  <si>
    <t>dmp/dataset/distribution/data_source_external_description</t>
  </si>
  <si>
    <t>dmp/dataset/distribution/data_update_frequency</t>
  </si>
  <si>
    <t>287-297</t>
  </si>
  <si>
    <t>chnaged all requireds to required IFs</t>
  </si>
  <si>
    <t>based on Note</t>
  </si>
  <si>
    <t>221-273</t>
  </si>
  <si>
    <t>dmp/dataset/distribution/disposition_planning/</t>
  </si>
  <si>
    <t>made it a nested data structure</t>
  </si>
  <si>
    <t>field was empty and needed to be filled</t>
  </si>
  <si>
    <t>dmp/dataset/distribution/disposition_action_completed/</t>
  </si>
  <si>
    <t>made it required if and a nested data structure</t>
  </si>
  <si>
    <t>dmp/approvals/</t>
  </si>
  <si>
    <t>made this its own section outside general info</t>
  </si>
  <si>
    <t>dmp/dataset/metadata/metadata_standard_id/identifier</t>
  </si>
  <si>
    <t xml:space="preserve">Chnaged to string from controlled variable </t>
  </si>
  <si>
    <t>Changed to Date instead of DateTime</t>
  </si>
  <si>
    <t>dmp/contact/contact_id/orcid_identifier</t>
  </si>
  <si>
    <t>added</t>
  </si>
  <si>
    <t>dmp/contributor/contributor_id/orcid_identifier</t>
  </si>
  <si>
    <t>changed cardinality to 0..1 from 0..n</t>
  </si>
  <si>
    <t>could have multiple partner organizations</t>
  </si>
  <si>
    <t>all Data 8601 data type entries</t>
  </si>
  <si>
    <t>Changed example to 2023-07-20, previously was YYYY-MM-DD"T" the second is not the standard</t>
  </si>
  <si>
    <t>Could have multiple affiliations</t>
  </si>
  <si>
    <t>removing due to redundancy</t>
  </si>
  <si>
    <t>NOT PUTTING IN</t>
  </si>
  <si>
    <t>How large is the dataset?</t>
  </si>
  <si>
    <t>distribution_donées_taille</t>
  </si>
  <si>
    <t>Unit select.</t>
  </si>
  <si>
    <t>distribution_donées_taille_unités</t>
  </si>
  <si>
    <t>if there is a data_size</t>
  </si>
  <si>
    <t>bits</t>
  </si>
  <si>
    <t>redundatnt</t>
  </si>
  <si>
    <t>quality_control_level</t>
  </si>
  <si>
    <t>CAD</t>
  </si>
  <si>
    <t>EUR</t>
  </si>
  <si>
    <t>Ahom</t>
  </si>
  <si>
    <t>GBP</t>
  </si>
  <si>
    <t>AED</t>
  </si>
  <si>
    <t>AFN</t>
  </si>
  <si>
    <t>ALL</t>
  </si>
  <si>
    <t>AMD</t>
  </si>
  <si>
    <t>ANG</t>
  </si>
  <si>
    <t>AOA</t>
  </si>
  <si>
    <t>aac</t>
  </si>
  <si>
    <t>ARS</t>
  </si>
  <si>
    <t>tape</t>
  </si>
  <si>
    <t>AUD</t>
  </si>
  <si>
    <t>aae</t>
  </si>
  <si>
    <t>AWG</t>
  </si>
  <si>
    <t>AZN</t>
  </si>
  <si>
    <t>BAM</t>
  </si>
  <si>
    <t>BBD</t>
  </si>
  <si>
    <t>BDT</t>
  </si>
  <si>
    <t>BGN</t>
  </si>
  <si>
    <t>BHD</t>
  </si>
  <si>
    <t>aan</t>
  </si>
  <si>
    <t>BIF</t>
  </si>
  <si>
    <t>BMD</t>
  </si>
  <si>
    <t>aap</t>
  </si>
  <si>
    <t>BND</t>
  </si>
  <si>
    <t>aaq</t>
  </si>
  <si>
    <t>BOB</t>
  </si>
  <si>
    <t>Batak</t>
  </si>
  <si>
    <t>BOV</t>
  </si>
  <si>
    <t>aas</t>
  </si>
  <si>
    <t>BRL</t>
  </si>
  <si>
    <t>aat</t>
  </si>
  <si>
    <t>BSD</t>
  </si>
  <si>
    <t>BTN</t>
  </si>
  <si>
    <t>BWP</t>
  </si>
  <si>
    <t>BYN</t>
  </si>
  <si>
    <t>BZD</t>
  </si>
  <si>
    <t>CDF</t>
  </si>
  <si>
    <t>CHE</t>
  </si>
  <si>
    <t>CHF</t>
  </si>
  <si>
    <t>abd</t>
  </si>
  <si>
    <t>CHW</t>
  </si>
  <si>
    <t>abe</t>
  </si>
  <si>
    <t>CLF</t>
  </si>
  <si>
    <t>abf</t>
  </si>
  <si>
    <t>CLP</t>
  </si>
  <si>
    <t>abg</t>
  </si>
  <si>
    <t>CNY</t>
  </si>
  <si>
    <t>COP</t>
  </si>
  <si>
    <t>COU</t>
  </si>
  <si>
    <t>CRC</t>
  </si>
  <si>
    <t>abk</t>
  </si>
  <si>
    <t>CUC</t>
  </si>
  <si>
    <t>CUP</t>
  </si>
  <si>
    <t>CVE</t>
  </si>
  <si>
    <t>CZK</t>
  </si>
  <si>
    <t>DJF</t>
  </si>
  <si>
    <t>Germany</t>
  </si>
  <si>
    <t>DKK</t>
  </si>
  <si>
    <t>abq</t>
  </si>
  <si>
    <t>DOP</t>
  </si>
  <si>
    <t>Greece</t>
  </si>
  <si>
    <t>DZD</t>
  </si>
  <si>
    <t>EGP</t>
  </si>
  <si>
    <t>ERN</t>
  </si>
  <si>
    <t>ETB</t>
  </si>
  <si>
    <t>FJD</t>
  </si>
  <si>
    <t>FKP</t>
  </si>
  <si>
    <t>GEL</t>
  </si>
  <si>
    <t>GHS</t>
  </si>
  <si>
    <t>Switzerland</t>
  </si>
  <si>
    <t>GIP</t>
  </si>
  <si>
    <t>aca</t>
  </si>
  <si>
    <t>GMD</t>
  </si>
  <si>
    <t>GNF</t>
  </si>
  <si>
    <t>GTQ</t>
  </si>
  <si>
    <t>GYD</t>
  </si>
  <si>
    <t>HKD</t>
  </si>
  <si>
    <t>HNL</t>
  </si>
  <si>
    <t>HRK</t>
  </si>
  <si>
    <t>HTG</t>
  </si>
  <si>
    <t>HUF</t>
  </si>
  <si>
    <t>Coptic</t>
  </si>
  <si>
    <t>IDR</t>
  </si>
  <si>
    <t>ILS</t>
  </si>
  <si>
    <t>INR</t>
  </si>
  <si>
    <t>IQD</t>
  </si>
  <si>
    <t>acr</t>
  </si>
  <si>
    <t>IRR</t>
  </si>
  <si>
    <t>ISK</t>
  </si>
  <si>
    <t>JMD</t>
  </si>
  <si>
    <t>acu</t>
  </si>
  <si>
    <t>JOD</t>
  </si>
  <si>
    <t>acv</t>
  </si>
  <si>
    <t>JPY</t>
  </si>
  <si>
    <t>KES</t>
  </si>
  <si>
    <t>KGS</t>
  </si>
  <si>
    <t>acy</t>
  </si>
  <si>
    <t>KHR</t>
  </si>
  <si>
    <t>acz</t>
  </si>
  <si>
    <t>KMF</t>
  </si>
  <si>
    <t>KPW</t>
  </si>
  <si>
    <t>adb</t>
  </si>
  <si>
    <t>KRW</t>
  </si>
  <si>
    <t>KWD</t>
  </si>
  <si>
    <t>KYD</t>
  </si>
  <si>
    <t>KZT</t>
  </si>
  <si>
    <t>LAK</t>
  </si>
  <si>
    <t>LBP</t>
  </si>
  <si>
    <t>adi</t>
  </si>
  <si>
    <t>LKR</t>
  </si>
  <si>
    <t>LRD</t>
  </si>
  <si>
    <t>adl</t>
  </si>
  <si>
    <t>LSL</t>
  </si>
  <si>
    <t>LYD</t>
  </si>
  <si>
    <t>MAD</t>
  </si>
  <si>
    <t>MDL</t>
  </si>
  <si>
    <t>MGA</t>
  </si>
  <si>
    <t>MKD</t>
  </si>
  <si>
    <t>adt</t>
  </si>
  <si>
    <t>MMK</t>
  </si>
  <si>
    <t>MNT</t>
  </si>
  <si>
    <t>MOP</t>
  </si>
  <si>
    <t>MUR</t>
  </si>
  <si>
    <t>ady</t>
  </si>
  <si>
    <t>MVR</t>
  </si>
  <si>
    <t>MWK</t>
  </si>
  <si>
    <t>MXN</t>
  </si>
  <si>
    <t>MXV</t>
  </si>
  <si>
    <t>MYR</t>
  </si>
  <si>
    <t>MZN</t>
  </si>
  <si>
    <t>NAD</t>
  </si>
  <si>
    <t>NGN</t>
  </si>
  <si>
    <t>NIO</t>
  </si>
  <si>
    <t>aem</t>
  </si>
  <si>
    <t>NOK</t>
  </si>
  <si>
    <t>ID</t>
  </si>
  <si>
    <t>Gothic</t>
  </si>
  <si>
    <t>NPR</t>
  </si>
  <si>
    <t>NZD</t>
  </si>
  <si>
    <t>OMR</t>
  </si>
  <si>
    <t>aeu</t>
  </si>
  <si>
    <t>PAB</t>
  </si>
  <si>
    <t>PEN</t>
  </si>
  <si>
    <t>PGK</t>
  </si>
  <si>
    <t>PHP</t>
  </si>
  <si>
    <t>PKR</t>
  </si>
  <si>
    <t>PLN</t>
  </si>
  <si>
    <t>PYG</t>
  </si>
  <si>
    <t>QAR</t>
  </si>
  <si>
    <t>RON</t>
  </si>
  <si>
    <t>RSD</t>
  </si>
  <si>
    <t>afn</t>
  </si>
  <si>
    <t>RUB</t>
  </si>
  <si>
    <t>RWF</t>
  </si>
  <si>
    <t>SAR</t>
  </si>
  <si>
    <t>SBD</t>
  </si>
  <si>
    <t>SCR</t>
  </si>
  <si>
    <t>aft</t>
  </si>
  <si>
    <t>SDG</t>
  </si>
  <si>
    <t>SEK</t>
  </si>
  <si>
    <t>afz</t>
  </si>
  <si>
    <t>SGD</t>
  </si>
  <si>
    <t>SHP</t>
  </si>
  <si>
    <t>SLL</t>
  </si>
  <si>
    <t>SOS</t>
  </si>
  <si>
    <t>SRD</t>
  </si>
  <si>
    <t>SSP</t>
  </si>
  <si>
    <t>agf</t>
  </si>
  <si>
    <t>SVC</t>
  </si>
  <si>
    <t>SYP</t>
  </si>
  <si>
    <t>SZL</t>
  </si>
  <si>
    <t>THB</t>
  </si>
  <si>
    <t>agj</t>
  </si>
  <si>
    <t>TJS</t>
  </si>
  <si>
    <t>agk</t>
  </si>
  <si>
    <t>TMT</t>
  </si>
  <si>
    <t>TND</t>
  </si>
  <si>
    <t>TOP</t>
  </si>
  <si>
    <t>TRY</t>
  </si>
  <si>
    <t>TTD</t>
  </si>
  <si>
    <t>TWD</t>
  </si>
  <si>
    <t>agr</t>
  </si>
  <si>
    <t>TZS</t>
  </si>
  <si>
    <t>UAH</t>
  </si>
  <si>
    <t>agt</t>
  </si>
  <si>
    <t>UGX</t>
  </si>
  <si>
    <t>USN</t>
  </si>
  <si>
    <t>Khojki</t>
  </si>
  <si>
    <t>UYI</t>
  </si>
  <si>
    <t>UYU</t>
  </si>
  <si>
    <t>agx</t>
  </si>
  <si>
    <t>UYW</t>
  </si>
  <si>
    <t>UZS</t>
  </si>
  <si>
    <t>VES</t>
  </si>
  <si>
    <t>VND</t>
  </si>
  <si>
    <t>VUV</t>
  </si>
  <si>
    <t>ahg</t>
  </si>
  <si>
    <t>WST</t>
  </si>
  <si>
    <t>XAF</t>
  </si>
  <si>
    <t>XAG</t>
  </si>
  <si>
    <t>Lepcha</t>
  </si>
  <si>
    <t>XAU</t>
  </si>
  <si>
    <t>XBA</t>
  </si>
  <si>
    <t>Limbu</t>
  </si>
  <si>
    <t>XBB</t>
  </si>
  <si>
    <t>XBC</t>
  </si>
  <si>
    <t>aho</t>
  </si>
  <si>
    <t>XBD</t>
  </si>
  <si>
    <t>XCD</t>
  </si>
  <si>
    <t>XDR</t>
  </si>
  <si>
    <t>XOF</t>
  </si>
  <si>
    <t>aht</t>
  </si>
  <si>
    <t>XPD</t>
  </si>
  <si>
    <t>XPF</t>
  </si>
  <si>
    <t>XPT</t>
  </si>
  <si>
    <t>aic</t>
  </si>
  <si>
    <t>XSU</t>
  </si>
  <si>
    <t>XTS</t>
  </si>
  <si>
    <t>XUA</t>
  </si>
  <si>
    <t>XXX</t>
  </si>
  <si>
    <t>Mandaic</t>
  </si>
  <si>
    <t>YER</t>
  </si>
  <si>
    <t>ZAR</t>
  </si>
  <si>
    <t>ZMW</t>
  </si>
  <si>
    <t>aij</t>
  </si>
  <si>
    <t>ZWL</t>
  </si>
  <si>
    <t>aim</t>
  </si>
  <si>
    <t>ain</t>
  </si>
  <si>
    <t>aio</t>
  </si>
  <si>
    <t>aja</t>
  </si>
  <si>
    <t>ajt</t>
  </si>
  <si>
    <t>Heiltsuk</t>
  </si>
  <si>
    <t>aju</t>
  </si>
  <si>
    <t>aka</t>
  </si>
  <si>
    <t>Myanmar</t>
  </si>
  <si>
    <t>ake</t>
  </si>
  <si>
    <t>akj</t>
  </si>
  <si>
    <t>ako</t>
  </si>
  <si>
    <t>akq</t>
  </si>
  <si>
    <t>akr</t>
  </si>
  <si>
    <t>aku</t>
  </si>
  <si>
    <t>akv</t>
  </si>
  <si>
    <t>akz</t>
  </si>
  <si>
    <t>alc</t>
  </si>
  <si>
    <t>Osage</t>
  </si>
  <si>
    <t>ale</t>
  </si>
  <si>
    <t>U</t>
  </si>
  <si>
    <t>alh</t>
  </si>
  <si>
    <t>alm</t>
  </si>
  <si>
    <t>alp</t>
  </si>
  <si>
    <t>alq</t>
  </si>
  <si>
    <t>alr</t>
  </si>
  <si>
    <t>alt</t>
  </si>
  <si>
    <t>ama</t>
  </si>
  <si>
    <t>amc</t>
  </si>
  <si>
    <t>ame</t>
  </si>
  <si>
    <t>ami</t>
  </si>
  <si>
    <t>amq</t>
  </si>
  <si>
    <t>amw</t>
  </si>
  <si>
    <t>anb</t>
  </si>
  <si>
    <t>anf</t>
  </si>
  <si>
    <t>ani</t>
  </si>
  <si>
    <t>anm</t>
  </si>
  <si>
    <t>ano</t>
  </si>
  <si>
    <t>anp</t>
  </si>
  <si>
    <t>ant</t>
  </si>
  <si>
    <t>aoc</t>
  </si>
  <si>
    <t>Wancho</t>
  </si>
  <si>
    <t>aoi</t>
  </si>
  <si>
    <t>aok</t>
  </si>
  <si>
    <t>aon</t>
  </si>
  <si>
    <t>aor</t>
  </si>
  <si>
    <t>aos</t>
  </si>
  <si>
    <t>aot</t>
  </si>
  <si>
    <t>ape</t>
  </si>
  <si>
    <t>aph</t>
  </si>
  <si>
    <t>api</t>
  </si>
  <si>
    <t>apj</t>
  </si>
  <si>
    <t>apk</t>
  </si>
  <si>
    <t>apl</t>
  </si>
  <si>
    <t>apm</t>
  </si>
  <si>
    <t>apn</t>
  </si>
  <si>
    <t>apt</t>
  </si>
  <si>
    <t>apu</t>
  </si>
  <si>
    <t>apw</t>
  </si>
  <si>
    <t>apx</t>
  </si>
  <si>
    <t>apy</t>
  </si>
  <si>
    <t>aqc</t>
  </si>
  <si>
    <t>aqn</t>
  </si>
  <si>
    <t>aqr</t>
  </si>
  <si>
    <t>ard</t>
  </si>
  <si>
    <t>arg</t>
  </si>
  <si>
    <t>arh</t>
  </si>
  <si>
    <t>ari</t>
  </si>
  <si>
    <t>arj</t>
  </si>
  <si>
    <t>arl</t>
  </si>
  <si>
    <t>arn</t>
  </si>
  <si>
    <t>aro</t>
  </si>
  <si>
    <t>arp</t>
  </si>
  <si>
    <t>arr</t>
  </si>
  <si>
    <t>arv</t>
  </si>
  <si>
    <t>arw</t>
  </si>
  <si>
    <t>arx</t>
  </si>
  <si>
    <t>asb</t>
  </si>
  <si>
    <t>ash</t>
  </si>
  <si>
    <t>ask</t>
  </si>
  <si>
    <t>asn</t>
  </si>
  <si>
    <t>asr</t>
  </si>
  <si>
    <t>Okanagan</t>
  </si>
  <si>
    <t>asz</t>
  </si>
  <si>
    <t>ata</t>
  </si>
  <si>
    <t>ate</t>
  </si>
  <si>
    <t>atj</t>
  </si>
  <si>
    <t>atl</t>
  </si>
  <si>
    <t>atm</t>
  </si>
  <si>
    <t>atn</t>
  </si>
  <si>
    <t>atr</t>
  </si>
  <si>
    <t>ats</t>
  </si>
  <si>
    <t>atv</t>
  </si>
  <si>
    <t>atw</t>
  </si>
  <si>
    <t>atx</t>
  </si>
  <si>
    <t>atz</t>
  </si>
  <si>
    <t>aua</t>
  </si>
  <si>
    <t>auc</t>
  </si>
  <si>
    <t>aui</t>
  </si>
  <si>
    <t>auj</t>
  </si>
  <si>
    <t>auq</t>
  </si>
  <si>
    <t>aut</t>
  </si>
  <si>
    <t>auu</t>
  </si>
  <si>
    <t>auw</t>
  </si>
  <si>
    <t>aux</t>
  </si>
  <si>
    <t>ava</t>
  </si>
  <si>
    <t>avv</t>
  </si>
  <si>
    <t>awe</t>
  </si>
  <si>
    <t>awm</t>
  </si>
  <si>
    <t>awr</t>
  </si>
  <si>
    <t>awt</t>
  </si>
  <si>
    <t>Sechelt</t>
  </si>
  <si>
    <t>axx</t>
  </si>
  <si>
    <t>Shuswap</t>
  </si>
  <si>
    <t>ayo</t>
  </si>
  <si>
    <t>ays</t>
  </si>
  <si>
    <t>ayt</t>
  </si>
  <si>
    <t>azt</t>
  </si>
  <si>
    <t>baf</t>
  </si>
  <si>
    <t>Squamish</t>
  </si>
  <si>
    <t>bak</t>
  </si>
  <si>
    <t>bap</t>
  </si>
  <si>
    <t>Stoney</t>
  </si>
  <si>
    <t>bar</t>
  </si>
  <si>
    <t>Tahltan</t>
  </si>
  <si>
    <t>bbh</t>
  </si>
  <si>
    <t>bbl</t>
  </si>
  <si>
    <t>bbs</t>
  </si>
  <si>
    <t>bbx</t>
  </si>
  <si>
    <t>bcb</t>
  </si>
  <si>
    <t>bcg</t>
  </si>
  <si>
    <t>bcj</t>
  </si>
  <si>
    <t>bck</t>
  </si>
  <si>
    <t>bcz</t>
  </si>
  <si>
    <t>bda</t>
  </si>
  <si>
    <t>bde</t>
  </si>
  <si>
    <t>bdj</t>
  </si>
  <si>
    <t>bdk</t>
  </si>
  <si>
    <t>bdn</t>
  </si>
  <si>
    <t>bds</t>
  </si>
  <si>
    <t>bdx</t>
  </si>
  <si>
    <t>bdy</t>
  </si>
  <si>
    <t>bea</t>
  </si>
  <si>
    <t>bed</t>
  </si>
  <si>
    <t>bee</t>
  </si>
  <si>
    <t>bel</t>
  </si>
  <si>
    <t>bep</t>
  </si>
  <si>
    <t>bes</t>
  </si>
  <si>
    <t>bfq</t>
  </si>
  <si>
    <t>bft</t>
  </si>
  <si>
    <t>bfu</t>
  </si>
  <si>
    <t>bfw</t>
  </si>
  <si>
    <t>bfz</t>
  </si>
  <si>
    <t>bga</t>
  </si>
  <si>
    <t>bgg</t>
  </si>
  <si>
    <t>bgk</t>
  </si>
  <si>
    <t>bgr</t>
  </si>
  <si>
    <t>bgy</t>
  </si>
  <si>
    <t>bhd</t>
  </si>
  <si>
    <t>bhh</t>
  </si>
  <si>
    <t>bhj</t>
  </si>
  <si>
    <t>bhm</t>
  </si>
  <si>
    <t>bhn</t>
  </si>
  <si>
    <t>bhw</t>
  </si>
  <si>
    <t>bie</t>
  </si>
  <si>
    <t>bit</t>
  </si>
  <si>
    <t>biu</t>
  </si>
  <si>
    <t>biy</t>
  </si>
  <si>
    <t>bjf</t>
  </si>
  <si>
    <t>bji</t>
  </si>
  <si>
    <t>bju</t>
  </si>
  <si>
    <t>bkf</t>
  </si>
  <si>
    <t>bki</t>
  </si>
  <si>
    <t>bkk</t>
  </si>
  <si>
    <t>bkq</t>
  </si>
  <si>
    <t>bla</t>
  </si>
  <si>
    <t>blc</t>
  </si>
  <si>
    <t>blm</t>
  </si>
  <si>
    <t>blp</t>
  </si>
  <si>
    <t>bls</t>
  </si>
  <si>
    <t>blv</t>
  </si>
  <si>
    <t>bmb</t>
  </si>
  <si>
    <t>bmf</t>
  </si>
  <si>
    <t>bmj</t>
  </si>
  <si>
    <t>bmn</t>
  </si>
  <si>
    <t>bmp</t>
  </si>
  <si>
    <t>bmr</t>
  </si>
  <si>
    <t>bng</t>
  </si>
  <si>
    <t>bnk</t>
  </si>
  <si>
    <t>bnn</t>
  </si>
  <si>
    <t>bnv</t>
  </si>
  <si>
    <t>bnz</t>
  </si>
  <si>
    <t>boa</t>
  </si>
  <si>
    <t>bob</t>
  </si>
  <si>
    <t>boi</t>
  </si>
  <si>
    <t>bok</t>
  </si>
  <si>
    <t>bom</t>
  </si>
  <si>
    <t>bor</t>
  </si>
  <si>
    <t>bot</t>
  </si>
  <si>
    <t>bov</t>
  </si>
  <si>
    <t>bow</t>
  </si>
  <si>
    <t>bpg</t>
  </si>
  <si>
    <t>bph</t>
  </si>
  <si>
    <t>bpi</t>
  </si>
  <si>
    <t>bpk</t>
  </si>
  <si>
    <t>bpy</t>
  </si>
  <si>
    <t>bqd</t>
  </si>
  <si>
    <t>bqh</t>
  </si>
  <si>
    <t>bqj</t>
  </si>
  <si>
    <t>bql</t>
  </si>
  <si>
    <t>bqu</t>
  </si>
  <si>
    <t>brc</t>
  </si>
  <si>
    <t>brd</t>
  </si>
  <si>
    <t>bre</t>
  </si>
  <si>
    <t>brg</t>
  </si>
  <si>
    <t>brh</t>
  </si>
  <si>
    <t>brj</t>
  </si>
  <si>
    <t>brk</t>
  </si>
  <si>
    <t>bro</t>
  </si>
  <si>
    <t>brs</t>
  </si>
  <si>
    <t>bru</t>
  </si>
  <si>
    <t>brv</t>
  </si>
  <si>
    <t>brw</t>
  </si>
  <si>
    <t>brx</t>
  </si>
  <si>
    <t>bsc</t>
  </si>
  <si>
    <t>bsg</t>
  </si>
  <si>
    <t>bsk</t>
  </si>
  <si>
    <t>bsn</t>
  </si>
  <si>
    <t>bsp</t>
  </si>
  <si>
    <t>bsu</t>
  </si>
  <si>
    <t>bsw</t>
  </si>
  <si>
    <t>bsx</t>
  </si>
  <si>
    <t>btc</t>
  </si>
  <si>
    <t>bti</t>
  </si>
  <si>
    <t>btp</t>
  </si>
  <si>
    <t>btq</t>
  </si>
  <si>
    <t>btv</t>
  </si>
  <si>
    <t>buh</t>
  </si>
  <si>
    <t>bul</t>
  </si>
  <si>
    <t>bup</t>
  </si>
  <si>
    <t>buy</t>
  </si>
  <si>
    <t>bvf</t>
  </si>
  <si>
    <t>bvq</t>
  </si>
  <si>
    <t>bvv</t>
  </si>
  <si>
    <t>bwf</t>
  </si>
  <si>
    <t>bwh</t>
  </si>
  <si>
    <t>bwi</t>
  </si>
  <si>
    <t>bwn</t>
  </si>
  <si>
    <t>bwo</t>
  </si>
  <si>
    <t>bwx</t>
  </si>
  <si>
    <t>bwz</t>
  </si>
  <si>
    <t>bxb</t>
  </si>
  <si>
    <t>bxd</t>
  </si>
  <si>
    <t>bxe</t>
  </si>
  <si>
    <t>bxv</t>
  </si>
  <si>
    <t>bxw</t>
  </si>
  <si>
    <t>bya</t>
  </si>
  <si>
    <t>byb</t>
  </si>
  <si>
    <t>byg</t>
  </si>
  <si>
    <t>byq</t>
  </si>
  <si>
    <t>byt</t>
  </si>
  <si>
    <t>bzb</t>
  </si>
  <si>
    <t>bzd</t>
  </si>
  <si>
    <t>bzg</t>
  </si>
  <si>
    <t>bzi</t>
  </si>
  <si>
    <t>bzl</t>
  </si>
  <si>
    <t>caa</t>
  </si>
  <si>
    <t>cab</t>
  </si>
  <si>
    <t>cad</t>
  </si>
  <si>
    <t>cag</t>
  </si>
  <si>
    <t>cao</t>
  </si>
  <si>
    <t>cap</t>
  </si>
  <si>
    <t>caq</t>
  </si>
  <si>
    <t>car</t>
  </si>
  <si>
    <t>cas</t>
  </si>
  <si>
    <t>cat</t>
  </si>
  <si>
    <t>cav</t>
  </si>
  <si>
    <t>caw</t>
  </si>
  <si>
    <t>cax</t>
  </si>
  <si>
    <t>cay</t>
  </si>
  <si>
    <t>caz</t>
  </si>
  <si>
    <t>cbb</t>
  </si>
  <si>
    <t>cbc</t>
  </si>
  <si>
    <t>cbd</t>
  </si>
  <si>
    <t>cbg</t>
  </si>
  <si>
    <t>cbi</t>
  </si>
  <si>
    <t>cbn</t>
  </si>
  <si>
    <t>cbr</t>
  </si>
  <si>
    <t>cbs</t>
  </si>
  <si>
    <t>cbt</t>
  </si>
  <si>
    <t>cbu</t>
  </si>
  <si>
    <t>cbv</t>
  </si>
  <si>
    <t>cby</t>
  </si>
  <si>
    <t>ccc</t>
  </si>
  <si>
    <t>ccj</t>
  </si>
  <si>
    <t>ccr</t>
  </si>
  <si>
    <t>cda</t>
  </si>
  <si>
    <t>cdh</t>
  </si>
  <si>
    <t>cdj</t>
  </si>
  <si>
    <t>cdz</t>
  </si>
  <si>
    <t>cea</t>
  </si>
  <si>
    <t>ceg</t>
  </si>
  <si>
    <t>cgk</t>
  </si>
  <si>
    <t>cha</t>
  </si>
  <si>
    <t>chc</t>
  </si>
  <si>
    <t>chd</t>
  </si>
  <si>
    <t>che</t>
  </si>
  <si>
    <t>chf</t>
  </si>
  <si>
    <t>chh</t>
  </si>
  <si>
    <t>chl</t>
  </si>
  <si>
    <t>chn</t>
  </si>
  <si>
    <t>cho</t>
  </si>
  <si>
    <t>chp</t>
  </si>
  <si>
    <t>chr</t>
  </si>
  <si>
    <t>cht</t>
  </si>
  <si>
    <t>chv</t>
  </si>
  <si>
    <t>chx</t>
  </si>
  <si>
    <t>chy</t>
  </si>
  <si>
    <t>cic</t>
  </si>
  <si>
    <t>cim</t>
  </si>
  <si>
    <t>cin</t>
  </si>
  <si>
    <t>ciw</t>
  </si>
  <si>
    <t>cja</t>
  </si>
  <si>
    <t>cje</t>
  </si>
  <si>
    <t>cjh</t>
  </si>
  <si>
    <t>cji</t>
  </si>
  <si>
    <t>cjm</t>
  </si>
  <si>
    <t>cjs</t>
  </si>
  <si>
    <t>ckh</t>
  </si>
  <si>
    <t>ckt</t>
  </si>
  <si>
    <t>cku</t>
  </si>
  <si>
    <t>ckv</t>
  </si>
  <si>
    <t>clc</t>
  </si>
  <si>
    <t>clh</t>
  </si>
  <si>
    <t>clk</t>
  </si>
  <si>
    <t>clm</t>
  </si>
  <si>
    <t>clw</t>
  </si>
  <si>
    <t>cmo</t>
  </si>
  <si>
    <t>cnc</t>
  </si>
  <si>
    <t>cnu</t>
  </si>
  <si>
    <t>coc</t>
  </si>
  <si>
    <t>cod</t>
  </si>
  <si>
    <t>coe</t>
  </si>
  <si>
    <t>cof</t>
  </si>
  <si>
    <t>cog</t>
  </si>
  <si>
    <t>col</t>
  </si>
  <si>
    <t>com</t>
  </si>
  <si>
    <t>con</t>
  </si>
  <si>
    <t>coo</t>
  </si>
  <si>
    <t>cop</t>
  </si>
  <si>
    <t>cor</t>
  </si>
  <si>
    <t>cos</t>
  </si>
  <si>
    <t>cot</t>
  </si>
  <si>
    <t>cow</t>
  </si>
  <si>
    <t>cox</t>
  </si>
  <si>
    <t>coz</t>
  </si>
  <si>
    <t>cpg</t>
  </si>
  <si>
    <t>cra</t>
  </si>
  <si>
    <t>crd</t>
  </si>
  <si>
    <t>crg</t>
  </si>
  <si>
    <t>crj</t>
  </si>
  <si>
    <t>crk</t>
  </si>
  <si>
    <t>crl</t>
  </si>
  <si>
    <t>crm</t>
  </si>
  <si>
    <t>cro</t>
  </si>
  <si>
    <t>crq</t>
  </si>
  <si>
    <t>crt</t>
  </si>
  <si>
    <t>crv</t>
  </si>
  <si>
    <t>crw</t>
  </si>
  <si>
    <t>crz</t>
  </si>
  <si>
    <t>csb</t>
  </si>
  <si>
    <t>csk</t>
  </si>
  <si>
    <t>csm</t>
  </si>
  <si>
    <t>csw</t>
  </si>
  <si>
    <t>csz</t>
  </si>
  <si>
    <t>ctn</t>
  </si>
  <si>
    <t>ctp</t>
  </si>
  <si>
    <t>ctz</t>
  </si>
  <si>
    <t>cub</t>
  </si>
  <si>
    <t>cui</t>
  </si>
  <si>
    <t>cul</t>
  </si>
  <si>
    <t>cup</t>
  </si>
  <si>
    <t>cur</t>
  </si>
  <si>
    <t>cut</t>
  </si>
  <si>
    <t>cvn</t>
  </si>
  <si>
    <t>cwd</t>
  </si>
  <si>
    <t>cwg</t>
  </si>
  <si>
    <t>cwt</t>
  </si>
  <si>
    <t>cyb</t>
  </si>
  <si>
    <t>cym</t>
  </si>
  <si>
    <t>dak</t>
  </si>
  <si>
    <t>dal</t>
  </si>
  <si>
    <t>dar</t>
  </si>
  <si>
    <t>dbl</t>
  </si>
  <si>
    <t>dbn</t>
  </si>
  <si>
    <t>dbo</t>
  </si>
  <si>
    <t>ddd</t>
  </si>
  <si>
    <t>ddo</t>
  </si>
  <si>
    <t>dei</t>
  </si>
  <si>
    <t>der</t>
  </si>
  <si>
    <t>des</t>
  </si>
  <si>
    <t>dgg</t>
  </si>
  <si>
    <t>dgr</t>
  </si>
  <si>
    <t>dhi</t>
  </si>
  <si>
    <t>dhl</t>
  </si>
  <si>
    <t>dhs</t>
  </si>
  <si>
    <t>dhu</t>
  </si>
  <si>
    <t>dhw</t>
  </si>
  <si>
    <t>dih</t>
  </si>
  <si>
    <t>dii</t>
  </si>
  <si>
    <t>dil</t>
  </si>
  <si>
    <t>dim</t>
  </si>
  <si>
    <t>dis</t>
  </si>
  <si>
    <t>djd</t>
  </si>
  <si>
    <t>dji</t>
  </si>
  <si>
    <t>djn</t>
  </si>
  <si>
    <t>dka</t>
  </si>
  <si>
    <t>dlg</t>
  </si>
  <si>
    <t>dmk</t>
  </si>
  <si>
    <t>dml</t>
  </si>
  <si>
    <t>dms</t>
  </si>
  <si>
    <t>dmu</t>
  </si>
  <si>
    <t>dng</t>
  </si>
  <si>
    <t>dnu</t>
  </si>
  <si>
    <t>dny</t>
  </si>
  <si>
    <t>dok</t>
  </si>
  <si>
    <t>dox</t>
  </si>
  <si>
    <t>drb</t>
  </si>
  <si>
    <t>drd</t>
  </si>
  <si>
    <t>dre</t>
  </si>
  <si>
    <t>drl</t>
  </si>
  <si>
    <t>drq</t>
  </si>
  <si>
    <t>dru</t>
  </si>
  <si>
    <t>dry</t>
  </si>
  <si>
    <t>dsn</t>
  </si>
  <si>
    <t>dta</t>
  </si>
  <si>
    <t>duf</t>
  </si>
  <si>
    <t>dui</t>
  </si>
  <si>
    <t>dul</t>
  </si>
  <si>
    <t>duo</t>
  </si>
  <si>
    <t>dus</t>
  </si>
  <si>
    <t>duy</t>
  </si>
  <si>
    <t>duz</t>
  </si>
  <si>
    <t>dza</t>
  </si>
  <si>
    <t>dzl</t>
  </si>
  <si>
    <t>dzo</t>
  </si>
  <si>
    <t>eee</t>
  </si>
  <si>
    <t>ega</t>
  </si>
  <si>
    <t>eja</t>
  </si>
  <si>
    <t>elh</t>
  </si>
  <si>
    <t>eli</t>
  </si>
  <si>
    <t>ell</t>
  </si>
  <si>
    <t>elo</t>
  </si>
  <si>
    <t>eme</t>
  </si>
  <si>
    <t>emi</t>
  </si>
  <si>
    <t>emn</t>
  </si>
  <si>
    <t>ems</t>
  </si>
  <si>
    <t>emw</t>
  </si>
  <si>
    <t>enf</t>
  </si>
  <si>
    <t>enh</t>
  </si>
  <si>
    <t>eno</t>
  </si>
  <si>
    <t>eot</t>
  </si>
  <si>
    <t>ers</t>
  </si>
  <si>
    <t>erw</t>
  </si>
  <si>
    <t>ese</t>
  </si>
  <si>
    <t>esi</t>
  </si>
  <si>
    <t>esk</t>
  </si>
  <si>
    <t>ess</t>
  </si>
  <si>
    <t>esu</t>
  </si>
  <si>
    <t>eus</t>
  </si>
  <si>
    <t>eve</t>
  </si>
  <si>
    <t>eya</t>
  </si>
  <si>
    <t>faf</t>
  </si>
  <si>
    <t>faj</t>
  </si>
  <si>
    <t>fao</t>
  </si>
  <si>
    <t>fap</t>
  </si>
  <si>
    <t>fau</t>
  </si>
  <si>
    <t>fer</t>
  </si>
  <si>
    <t>fgr</t>
  </si>
  <si>
    <t>fla</t>
  </si>
  <si>
    <t>fni</t>
  </si>
  <si>
    <t>fos</t>
  </si>
  <si>
    <t>frp</t>
  </si>
  <si>
    <t>frr</t>
  </si>
  <si>
    <t>fry</t>
  </si>
  <si>
    <t>fuj</t>
  </si>
  <si>
    <t>fun</t>
  </si>
  <si>
    <t>fur</t>
  </si>
  <si>
    <t>fwa</t>
  </si>
  <si>
    <t>gae</t>
  </si>
  <si>
    <t>gao</t>
  </si>
  <si>
    <t>gaq</t>
  </si>
  <si>
    <t>gbd</t>
  </si>
  <si>
    <t>gbj</t>
  </si>
  <si>
    <t>gbk</t>
  </si>
  <si>
    <t>gbm</t>
  </si>
  <si>
    <t>gbn</t>
  </si>
  <si>
    <t>gbu</t>
  </si>
  <si>
    <t>gbz</t>
  </si>
  <si>
    <t>gcd</t>
  </si>
  <si>
    <t>gdh</t>
  </si>
  <si>
    <t>gdj</t>
  </si>
  <si>
    <t>gdk</t>
  </si>
  <si>
    <t>gdm</t>
  </si>
  <si>
    <t>gdo</t>
  </si>
  <si>
    <t>gdq</t>
  </si>
  <si>
    <t>gei</t>
  </si>
  <si>
    <t>geq</t>
  </si>
  <si>
    <t>gew</t>
  </si>
  <si>
    <t>gey</t>
  </si>
  <si>
    <t>gez</t>
  </si>
  <si>
    <t>gga</t>
  </si>
  <si>
    <t>gge</t>
  </si>
  <si>
    <t>gha</t>
  </si>
  <si>
    <t>gho</t>
  </si>
  <si>
    <t>gia</t>
  </si>
  <si>
    <t>gin</t>
  </si>
  <si>
    <t>giq</t>
  </si>
  <si>
    <t>gir</t>
  </si>
  <si>
    <t>git</t>
  </si>
  <si>
    <t>giw</t>
  </si>
  <si>
    <t>gke</t>
  </si>
  <si>
    <t>gla</t>
  </si>
  <si>
    <t>gld</t>
  </si>
  <si>
    <t>gle</t>
  </si>
  <si>
    <t>glv</t>
  </si>
  <si>
    <t>gly</t>
  </si>
  <si>
    <t>gnb</t>
  </si>
  <si>
    <t>gni</t>
  </si>
  <si>
    <t>gnk</t>
  </si>
  <si>
    <t>goe</t>
  </si>
  <si>
    <t>goq</t>
  </si>
  <si>
    <t>goy</t>
  </si>
  <si>
    <t>gpn</t>
  </si>
  <si>
    <t>gqi</t>
  </si>
  <si>
    <t>gqn</t>
  </si>
  <si>
    <t>grd</t>
  </si>
  <si>
    <t>grg</t>
  </si>
  <si>
    <t>gro</t>
  </si>
  <si>
    <t>grr</t>
  </si>
  <si>
    <t>grw</t>
  </si>
  <si>
    <t>gsl</t>
  </si>
  <si>
    <t>gta</t>
  </si>
  <si>
    <t>gub</t>
  </si>
  <si>
    <t>guc</t>
  </si>
  <si>
    <t>gue</t>
  </si>
  <si>
    <t>guf</t>
  </si>
  <si>
    <t>gui</t>
  </si>
  <si>
    <t>gum</t>
  </si>
  <si>
    <t>gun</t>
  </si>
  <si>
    <t>guo</t>
  </si>
  <si>
    <t>gup</t>
  </si>
  <si>
    <t>guq</t>
  </si>
  <si>
    <t>gut</t>
  </si>
  <si>
    <t>gva</t>
  </si>
  <si>
    <t>gvc</t>
  </si>
  <si>
    <t>gve</t>
  </si>
  <si>
    <t>gvj</t>
  </si>
  <si>
    <t>gvm</t>
  </si>
  <si>
    <t>gvn</t>
  </si>
  <si>
    <t>gvo</t>
  </si>
  <si>
    <t>gvp</t>
  </si>
  <si>
    <t>gwe</t>
  </si>
  <si>
    <t>gwf</t>
  </si>
  <si>
    <t>gwi</t>
  </si>
  <si>
    <t>gwj</t>
  </si>
  <si>
    <t>gwt</t>
  </si>
  <si>
    <t>gyd</t>
  </si>
  <si>
    <t>gye</t>
  </si>
  <si>
    <t>gyi</t>
  </si>
  <si>
    <t>gym</t>
  </si>
  <si>
    <t>gyr</t>
  </si>
  <si>
    <t>gzi</t>
  </si>
  <si>
    <t>haa</t>
  </si>
  <si>
    <t>had</t>
  </si>
  <si>
    <t>has</t>
  </si>
  <si>
    <t>haw</t>
  </si>
  <si>
    <t>hax</t>
  </si>
  <si>
    <t>hbn</t>
  </si>
  <si>
    <t>hbu</t>
  </si>
  <si>
    <t>hch</t>
  </si>
  <si>
    <t>hdn</t>
  </si>
  <si>
    <t>heg</t>
  </si>
  <si>
    <t>hei</t>
  </si>
  <si>
    <t>hid</t>
  </si>
  <si>
    <t>hii</t>
  </si>
  <si>
    <t>hij</t>
  </si>
  <si>
    <t>hiw</t>
  </si>
  <si>
    <t>hix</t>
  </si>
  <si>
    <t>hle</t>
  </si>
  <si>
    <t>hmr</t>
  </si>
  <si>
    <t>hnh</t>
  </si>
  <si>
    <t>hnu</t>
  </si>
  <si>
    <t>hoa</t>
  </si>
  <si>
    <t>hoc</t>
  </si>
  <si>
    <t>hoh</t>
  </si>
  <si>
    <t>hoi</t>
  </si>
  <si>
    <t>hom</t>
  </si>
  <si>
    <t>hop</t>
  </si>
  <si>
    <t>hor</t>
  </si>
  <si>
    <t>hoz</t>
  </si>
  <si>
    <t>hpo</t>
  </si>
  <si>
    <t>hra</t>
  </si>
  <si>
    <t>hrt</t>
  </si>
  <si>
    <t>hru</t>
  </si>
  <si>
    <t>hss</t>
  </si>
  <si>
    <t>hti</t>
  </si>
  <si>
    <t>hts</t>
  </si>
  <si>
    <t>hub</t>
  </si>
  <si>
    <t>huc</t>
  </si>
  <si>
    <t>hue</t>
  </si>
  <si>
    <t>huh</t>
  </si>
  <si>
    <t>huk</t>
  </si>
  <si>
    <t>hun</t>
  </si>
  <si>
    <t>huo</t>
  </si>
  <si>
    <t>hup</t>
  </si>
  <si>
    <t>huq</t>
  </si>
  <si>
    <t>hur</t>
  </si>
  <si>
    <t>huv</t>
  </si>
  <si>
    <t>huw</t>
  </si>
  <si>
    <t>huy</t>
  </si>
  <si>
    <t>huz</t>
  </si>
  <si>
    <t>hve</t>
  </si>
  <si>
    <t>hvv</t>
  </si>
  <si>
    <t>hya</t>
  </si>
  <si>
    <t>hye</t>
  </si>
  <si>
    <t>ibd</t>
  </si>
  <si>
    <t>ibu</t>
  </si>
  <si>
    <t>icr</t>
  </si>
  <si>
    <t>idr</t>
  </si>
  <si>
    <t>idu</t>
  </si>
  <si>
    <t>iff</t>
  </si>
  <si>
    <t>ike</t>
  </si>
  <si>
    <t>ikt</t>
  </si>
  <si>
    <t>ikx</t>
  </si>
  <si>
    <t>ili</t>
  </si>
  <si>
    <t>ilv</t>
  </si>
  <si>
    <t>ing</t>
  </si>
  <si>
    <t>inh</t>
  </si>
  <si>
    <t>inz</t>
  </si>
  <si>
    <t>iow</t>
  </si>
  <si>
    <t>iqu</t>
  </si>
  <si>
    <t>ire</t>
  </si>
  <si>
    <t>irn</t>
  </si>
  <si>
    <t>iru</t>
  </si>
  <si>
    <t>ist</t>
  </si>
  <si>
    <t>isu</t>
  </si>
  <si>
    <t>ite</t>
  </si>
  <si>
    <t>itl</t>
  </si>
  <si>
    <t>ito</t>
  </si>
  <si>
    <t>itr</t>
  </si>
  <si>
    <t>itx</t>
  </si>
  <si>
    <t>itz</t>
  </si>
  <si>
    <t>ixc</t>
  </si>
  <si>
    <t>izh</t>
  </si>
  <si>
    <t>jaa</t>
  </si>
  <si>
    <t>jad</t>
  </si>
  <si>
    <t>jah</t>
  </si>
  <si>
    <t>jaj</t>
  </si>
  <si>
    <t>jak</t>
  </si>
  <si>
    <t>jao</t>
  </si>
  <si>
    <t>jay</t>
  </si>
  <si>
    <t>jaz</t>
  </si>
  <si>
    <t>jbe</t>
  </si>
  <si>
    <t>jbn</t>
  </si>
  <si>
    <t>jbt</t>
  </si>
  <si>
    <t>jda</t>
  </si>
  <si>
    <t>jdt</t>
  </si>
  <si>
    <t>jeb</t>
  </si>
  <si>
    <t>jee</t>
  </si>
  <si>
    <t>jek</t>
  </si>
  <si>
    <t>jeu</t>
  </si>
  <si>
    <t>jgb</t>
  </si>
  <si>
    <t>jhi</t>
  </si>
  <si>
    <t>jic</t>
  </si>
  <si>
    <t>jie</t>
  </si>
  <si>
    <t>jig</t>
  </si>
  <si>
    <t>jiv</t>
  </si>
  <si>
    <t>jle</t>
  </si>
  <si>
    <t>jmr</t>
  </si>
  <si>
    <t>jnj</t>
  </si>
  <si>
    <t>jns</t>
  </si>
  <si>
    <t>jor</t>
  </si>
  <si>
    <t>jpr</t>
  </si>
  <si>
    <t>jqr</t>
  </si>
  <si>
    <t>jua</t>
  </si>
  <si>
    <t>juk</t>
  </si>
  <si>
    <t>jul</t>
  </si>
  <si>
    <t>jun</t>
  </si>
  <si>
    <t>juo</t>
  </si>
  <si>
    <t>jup</t>
  </si>
  <si>
    <t>jur</t>
  </si>
  <si>
    <t>jvd</t>
  </si>
  <si>
    <t>jyy</t>
  </si>
  <si>
    <t>kae</t>
  </si>
  <si>
    <t>kaf</t>
  </si>
  <si>
    <t>kal</t>
  </si>
  <si>
    <t>kao</t>
  </si>
  <si>
    <t>kap</t>
  </si>
  <si>
    <t>kaq</t>
  </si>
  <si>
    <t>kax</t>
  </si>
  <si>
    <t>kay</t>
  </si>
  <si>
    <t>kbb</t>
  </si>
  <si>
    <t>kbc</t>
  </si>
  <si>
    <t>kbd</t>
  </si>
  <si>
    <t>kbg</t>
  </si>
  <si>
    <t>kbh</t>
  </si>
  <si>
    <t>kbj</t>
  </si>
  <si>
    <t>kbk</t>
  </si>
  <si>
    <t>kbs</t>
  </si>
  <si>
    <t>kbw</t>
  </si>
  <si>
    <t>kca</t>
  </si>
  <si>
    <t>kcj</t>
  </si>
  <si>
    <t>kcp</t>
  </si>
  <si>
    <t>kcr</t>
  </si>
  <si>
    <t>kcu</t>
  </si>
  <si>
    <t>kcx</t>
  </si>
  <si>
    <t>kcy</t>
  </si>
  <si>
    <t>kdd</t>
  </si>
  <si>
    <t>kdq</t>
  </si>
  <si>
    <t>kdr</t>
  </si>
  <si>
    <t>kdt</t>
  </si>
  <si>
    <t>kdu</t>
  </si>
  <si>
    <t>kdw</t>
  </si>
  <si>
    <t>kdy</t>
  </si>
  <si>
    <t>kec</t>
  </si>
  <si>
    <t>keg</t>
  </si>
  <si>
    <t>kek</t>
  </si>
  <si>
    <t>ket</t>
  </si>
  <si>
    <t>kfa</t>
  </si>
  <si>
    <t>kfb</t>
  </si>
  <si>
    <t>kfc</t>
  </si>
  <si>
    <t>kfd</t>
  </si>
  <si>
    <t>kfe</t>
  </si>
  <si>
    <t>kfi</t>
  </si>
  <si>
    <t>kfl</t>
  </si>
  <si>
    <t>kfm</t>
  </si>
  <si>
    <t>kfp</t>
  </si>
  <si>
    <t>kfq</t>
  </si>
  <si>
    <t>kfx</t>
  </si>
  <si>
    <t>kfy</t>
  </si>
  <si>
    <t>kgo</t>
  </si>
  <si>
    <t>kgp</t>
  </si>
  <si>
    <t>kgs</t>
  </si>
  <si>
    <t>kgt</t>
  </si>
  <si>
    <t>kgv</t>
  </si>
  <si>
    <t>kha</t>
  </si>
  <si>
    <t>khp</t>
  </si>
  <si>
    <t>khr</t>
  </si>
  <si>
    <t>khv</t>
  </si>
  <si>
    <t>khw</t>
  </si>
  <si>
    <t>kic</t>
  </si>
  <si>
    <t>kim</t>
  </si>
  <si>
    <t>kio</t>
  </si>
  <si>
    <t>kja</t>
  </si>
  <si>
    <t>kjh</t>
  </si>
  <si>
    <t>kjj</t>
  </si>
  <si>
    <t>kjm</t>
  </si>
  <si>
    <t>kjn</t>
  </si>
  <si>
    <t>kjq</t>
  </si>
  <si>
    <t>kju</t>
  </si>
  <si>
    <t>kjz</t>
  </si>
  <si>
    <t>kkb</t>
  </si>
  <si>
    <t>kkc</t>
  </si>
  <si>
    <t>kkk</t>
  </si>
  <si>
    <t>kkm</t>
  </si>
  <si>
    <t>kko</t>
  </si>
  <si>
    <t>kkp</t>
  </si>
  <si>
    <t>kkt</t>
  </si>
  <si>
    <t>kky</t>
  </si>
  <si>
    <t>kkz</t>
  </si>
  <si>
    <t>kla</t>
  </si>
  <si>
    <t>klb</t>
  </si>
  <si>
    <t>kld</t>
  </si>
  <si>
    <t>kle</t>
  </si>
  <si>
    <t>klf</t>
  </si>
  <si>
    <t>klj</t>
  </si>
  <si>
    <t>klp</t>
  </si>
  <si>
    <t>klr</t>
  </si>
  <si>
    <t>kls</t>
  </si>
  <si>
    <t>kly</t>
  </si>
  <si>
    <t>kma</t>
  </si>
  <si>
    <t>kme</t>
  </si>
  <si>
    <t>kmj</t>
  </si>
  <si>
    <t>kmm</t>
  </si>
  <si>
    <t>kmq</t>
  </si>
  <si>
    <t>kmv</t>
  </si>
  <si>
    <t>kmz</t>
  </si>
  <si>
    <t>knf</t>
  </si>
  <si>
    <t>knj</t>
  </si>
  <si>
    <t>knq</t>
  </si>
  <si>
    <t>knr</t>
  </si>
  <si>
    <t>kns</t>
  </si>
  <si>
    <t>knt</t>
  </si>
  <si>
    <t>kog</t>
  </si>
  <si>
    <t>koi</t>
  </si>
  <si>
    <t>kos</t>
  </si>
  <si>
    <t>kou</t>
  </si>
  <si>
    <t>kov</t>
  </si>
  <si>
    <t>koy</t>
  </si>
  <si>
    <t>kpc</t>
  </si>
  <si>
    <t>kpg</t>
  </si>
  <si>
    <t>kpi</t>
  </si>
  <si>
    <t>kpj</t>
  </si>
  <si>
    <t>kpt</t>
  </si>
  <si>
    <t>kpv</t>
  </si>
  <si>
    <t>kpy</t>
  </si>
  <si>
    <t>kqi</t>
  </si>
  <si>
    <t>kqq</t>
  </si>
  <si>
    <t>kqu</t>
  </si>
  <si>
    <t>kqw</t>
  </si>
  <si>
    <t>kqz</t>
  </si>
  <si>
    <t>kra</t>
  </si>
  <si>
    <t>krc</t>
  </si>
  <si>
    <t>krd</t>
  </si>
  <si>
    <t>kre</t>
  </si>
  <si>
    <t>krf</t>
  </si>
  <si>
    <t>kri</t>
  </si>
  <si>
    <t>krk</t>
  </si>
  <si>
    <t>krl</t>
  </si>
  <si>
    <t>kru</t>
  </si>
  <si>
    <t>krv</t>
  </si>
  <si>
    <t>krx</t>
  </si>
  <si>
    <t>kry</t>
  </si>
  <si>
    <t>ksk</t>
  </si>
  <si>
    <t>kte</t>
  </si>
  <si>
    <t>kth</t>
  </si>
  <si>
    <t>ktk</t>
  </si>
  <si>
    <t>ktl</t>
  </si>
  <si>
    <t>ktn</t>
  </si>
  <si>
    <t>kto</t>
  </si>
  <si>
    <t>ktw</t>
  </si>
  <si>
    <t>ktx</t>
  </si>
  <si>
    <t>kua</t>
  </si>
  <si>
    <t>kui</t>
  </si>
  <si>
    <t>kuk</t>
  </si>
  <si>
    <t>kum</t>
  </si>
  <si>
    <t>kuq</t>
  </si>
  <si>
    <t>kut</t>
  </si>
  <si>
    <t>kuu</t>
  </si>
  <si>
    <t>kux</t>
  </si>
  <si>
    <t>kuy</t>
  </si>
  <si>
    <t>kuz</t>
  </si>
  <si>
    <t>kva</t>
  </si>
  <si>
    <t>kvm</t>
  </si>
  <si>
    <t>kwa</t>
  </si>
  <si>
    <t>kwh</t>
  </si>
  <si>
    <t>kwi</t>
  </si>
  <si>
    <t>kwk</t>
  </si>
  <si>
    <t>kwz</t>
  </si>
  <si>
    <t>kxh</t>
  </si>
  <si>
    <t>kxj</t>
  </si>
  <si>
    <t>kxn</t>
  </si>
  <si>
    <t>kxo</t>
  </si>
  <si>
    <t>kxs</t>
  </si>
  <si>
    <t>kxv</t>
  </si>
  <si>
    <t>kyh</t>
  </si>
  <si>
    <t>kyl</t>
  </si>
  <si>
    <t>kyr</t>
  </si>
  <si>
    <t>kyz</t>
  </si>
  <si>
    <t>kzb</t>
  </si>
  <si>
    <t>kzd</t>
  </si>
  <si>
    <t>kzk</t>
  </si>
  <si>
    <t>kzl</t>
  </si>
  <si>
    <t>kzq</t>
  </si>
  <si>
    <t>kzu</t>
  </si>
  <si>
    <t>kzx</t>
  </si>
  <si>
    <t>lac</t>
  </si>
  <si>
    <t>lad</t>
  </si>
  <si>
    <t>lae</t>
  </si>
  <si>
    <t>laf</t>
  </si>
  <si>
    <t>lak</t>
  </si>
  <si>
    <t>laq</t>
  </si>
  <si>
    <t>law</t>
  </si>
  <si>
    <t>lax</t>
  </si>
  <si>
    <t>laz</t>
  </si>
  <si>
    <t>lbc</t>
  </si>
  <si>
    <t>lbe</t>
  </si>
  <si>
    <t>lbf</t>
  </si>
  <si>
    <t>lbt</t>
  </si>
  <si>
    <t>lbz</t>
  </si>
  <si>
    <t>lcc</t>
  </si>
  <si>
    <t>lcd</t>
  </si>
  <si>
    <t>lcl</t>
  </si>
  <si>
    <t>lcp</t>
  </si>
  <si>
    <t>ldd</t>
  </si>
  <si>
    <t>lec</t>
  </si>
  <si>
    <t>len</t>
  </si>
  <si>
    <t>lep</t>
  </si>
  <si>
    <t>ley</t>
  </si>
  <si>
    <t>lez</t>
  </si>
  <si>
    <t>lgb</t>
  </si>
  <si>
    <t>lgh</t>
  </si>
  <si>
    <t>lgi</t>
  </si>
  <si>
    <t>lgn</t>
  </si>
  <si>
    <t>lha</t>
  </si>
  <si>
    <t>lhm</t>
  </si>
  <si>
    <t>lhp</t>
  </si>
  <si>
    <t>lhs</t>
  </si>
  <si>
    <t>lib</t>
  </si>
  <si>
    <t>lif</t>
  </si>
  <si>
    <t>lij</t>
  </si>
  <si>
    <t>lil</t>
  </si>
  <si>
    <t>lio</t>
  </si>
  <si>
    <t>liu</t>
  </si>
  <si>
    <t>liv</t>
  </si>
  <si>
    <t>lji</t>
  </si>
  <si>
    <t>lkc</t>
  </si>
  <si>
    <t>lkh</t>
  </si>
  <si>
    <t>lkn</t>
  </si>
  <si>
    <t>lkt</t>
  </si>
  <si>
    <t>lld</t>
  </si>
  <si>
    <t>llf</t>
  </si>
  <si>
    <t>llh</t>
  </si>
  <si>
    <t>llq</t>
  </si>
  <si>
    <t>lmd</t>
  </si>
  <si>
    <t>lmk</t>
  </si>
  <si>
    <t>lmo</t>
  </si>
  <si>
    <t>lmw</t>
  </si>
  <si>
    <t>lnh</t>
  </si>
  <si>
    <t>lnn</t>
  </si>
  <si>
    <t>lof</t>
  </si>
  <si>
    <t>loh</t>
  </si>
  <si>
    <t>lom</t>
  </si>
  <si>
    <t>lox</t>
  </si>
  <si>
    <t>lro</t>
  </si>
  <si>
    <t>lsd</t>
  </si>
  <si>
    <t>ltz</t>
  </si>
  <si>
    <t>lua</t>
  </si>
  <si>
    <t>lud</t>
  </si>
  <si>
    <t>luf</t>
  </si>
  <si>
    <t>lui</t>
  </si>
  <si>
    <t>lus</t>
  </si>
  <si>
    <t>lut</t>
  </si>
  <si>
    <t>luv</t>
  </si>
  <si>
    <t>lva</t>
  </si>
  <si>
    <t>lwh</t>
  </si>
  <si>
    <t>lwm</t>
  </si>
  <si>
    <t>lzl</t>
  </si>
  <si>
    <t>lzz</t>
  </si>
  <si>
    <t>maa</t>
  </si>
  <si>
    <t>mae</t>
  </si>
  <si>
    <t>maj</t>
  </si>
  <si>
    <t>mak</t>
  </si>
  <si>
    <t>maq</t>
  </si>
  <si>
    <t>mau</t>
  </si>
  <si>
    <t>mav</t>
  </si>
  <si>
    <t>mbc</t>
  </si>
  <si>
    <t>mbe</t>
  </si>
  <si>
    <t>mbj</t>
  </si>
  <si>
    <t>mbl</t>
  </si>
  <si>
    <t>mbn</t>
  </si>
  <si>
    <t>mbp</t>
  </si>
  <si>
    <t>mbr</t>
  </si>
  <si>
    <t>mbx</t>
  </si>
  <si>
    <t>mca</t>
  </si>
  <si>
    <t>mcb</t>
  </si>
  <si>
    <t>mcd</t>
  </si>
  <si>
    <t>mcf</t>
  </si>
  <si>
    <t>mcg</t>
  </si>
  <si>
    <t>mch</t>
  </si>
  <si>
    <t>mcj</t>
  </si>
  <si>
    <t>mcl</t>
  </si>
  <si>
    <t>mcm</t>
  </si>
  <si>
    <t>mcs</t>
  </si>
  <si>
    <t>mdf</t>
  </si>
  <si>
    <t>mdg</t>
  </si>
  <si>
    <t>mem</t>
  </si>
  <si>
    <t>mep</t>
  </si>
  <si>
    <t>mez</t>
  </si>
  <si>
    <t>mfr</t>
  </si>
  <si>
    <t>mfw</t>
  </si>
  <si>
    <t>mfy</t>
  </si>
  <si>
    <t>mgc</t>
  </si>
  <si>
    <t>mha</t>
  </si>
  <si>
    <t>mhb</t>
  </si>
  <si>
    <t>mhc</t>
  </si>
  <si>
    <t>mhe</t>
  </si>
  <si>
    <t>mhg</t>
  </si>
  <si>
    <t>mhj</t>
  </si>
  <si>
    <t>mhn</t>
  </si>
  <si>
    <t>mhq</t>
  </si>
  <si>
    <t>mhr</t>
  </si>
  <si>
    <t>mhu</t>
  </si>
  <si>
    <t>mia</t>
  </si>
  <si>
    <t>mic</t>
  </si>
  <si>
    <t>mid</t>
  </si>
  <si>
    <t>mik</t>
  </si>
  <si>
    <t>mjd</t>
  </si>
  <si>
    <t>mjg</t>
  </si>
  <si>
    <t>mjj</t>
  </si>
  <si>
    <t>mjl</t>
  </si>
  <si>
    <t>mjw</t>
  </si>
  <si>
    <t>mkg</t>
  </si>
  <si>
    <t>mkj</t>
  </si>
  <si>
    <t>mkv</t>
  </si>
  <si>
    <t>mky</t>
  </si>
  <si>
    <t>mlj</t>
  </si>
  <si>
    <t>mlm</t>
  </si>
  <si>
    <t>mlo</t>
  </si>
  <si>
    <t>mlv</t>
  </si>
  <si>
    <t>mmd</t>
  </si>
  <si>
    <t>mmh</t>
  </si>
  <si>
    <t>mmp</t>
  </si>
  <si>
    <t>mmv</t>
  </si>
  <si>
    <t>mmw</t>
  </si>
  <si>
    <t>mnd</t>
  </si>
  <si>
    <t>mni</t>
  </si>
  <si>
    <t>mnj</t>
  </si>
  <si>
    <t>mnl</t>
  </si>
  <si>
    <t>mnq</t>
  </si>
  <si>
    <t>mnr</t>
  </si>
  <si>
    <t>mns</t>
  </si>
  <si>
    <t>mnw</t>
  </si>
  <si>
    <t>moc</t>
  </si>
  <si>
    <t>moe</t>
  </si>
  <si>
    <t>moh</t>
  </si>
  <si>
    <t>mok</t>
  </si>
  <si>
    <t>mop</t>
  </si>
  <si>
    <t>moq</t>
  </si>
  <si>
    <t>mor</t>
  </si>
  <si>
    <t>mot</t>
  </si>
  <si>
    <t>mov</t>
  </si>
  <si>
    <t>mpb</t>
  </si>
  <si>
    <t>mpc</t>
  </si>
  <si>
    <t>mpd</t>
  </si>
  <si>
    <t>mph</t>
  </si>
  <si>
    <t>mpi</t>
  </si>
  <si>
    <t>mpj</t>
  </si>
  <si>
    <t>mpk</t>
  </si>
  <si>
    <t>mpn</t>
  </si>
  <si>
    <t>mpq</t>
  </si>
  <si>
    <t>mpu</t>
  </si>
  <si>
    <t>mpy</t>
  </si>
  <si>
    <t>mpz</t>
  </si>
  <si>
    <t>mqf</t>
  </si>
  <si>
    <t>mqr</t>
  </si>
  <si>
    <t>mqt</t>
  </si>
  <si>
    <t>mqv</t>
  </si>
  <si>
    <t>mra</t>
  </si>
  <si>
    <t>mrc</t>
  </si>
  <si>
    <t>mrg</t>
  </si>
  <si>
    <t>mrh</t>
  </si>
  <si>
    <t>mri</t>
  </si>
  <si>
    <t>mrj</t>
  </si>
  <si>
    <t>mrl</t>
  </si>
  <si>
    <t>mro</t>
  </si>
  <si>
    <t>mrs</t>
  </si>
  <si>
    <t>mru</t>
  </si>
  <si>
    <t>mrv</t>
  </si>
  <si>
    <t>mrx</t>
  </si>
  <si>
    <t>msn</t>
  </si>
  <si>
    <t>msq</t>
  </si>
  <si>
    <t>msu</t>
  </si>
  <si>
    <t>msv</t>
  </si>
  <si>
    <t>mtf</t>
  </si>
  <si>
    <t>mtn</t>
  </si>
  <si>
    <t>mud</t>
  </si>
  <si>
    <t>muj</t>
  </si>
  <si>
    <t>mus</t>
  </si>
  <si>
    <t>muu</t>
  </si>
  <si>
    <t>muz</t>
  </si>
  <si>
    <t>mvb</t>
  </si>
  <si>
    <t>mvi</t>
  </si>
  <si>
    <t>mvq</t>
  </si>
  <si>
    <t>mvs</t>
  </si>
  <si>
    <t>mvy</t>
  </si>
  <si>
    <t>mwa</t>
  </si>
  <si>
    <t>mwi</t>
  </si>
  <si>
    <t>mwp</t>
  </si>
  <si>
    <t>mwt</t>
  </si>
  <si>
    <t>mxj</t>
  </si>
  <si>
    <t>mxw</t>
  </si>
  <si>
    <t>myf</t>
  </si>
  <si>
    <t>myh</t>
  </si>
  <si>
    <t>myj</t>
  </si>
  <si>
    <t>myo</t>
  </si>
  <si>
    <t>myp</t>
  </si>
  <si>
    <t>myr</t>
  </si>
  <si>
    <t>myu</t>
  </si>
  <si>
    <t>myv</t>
  </si>
  <si>
    <t>myy</t>
  </si>
  <si>
    <t>mzb</t>
  </si>
  <si>
    <t>mzi</t>
  </si>
  <si>
    <t>mzo</t>
  </si>
  <si>
    <t>mzp</t>
  </si>
  <si>
    <t>mzr</t>
  </si>
  <si>
    <t>mzs</t>
  </si>
  <si>
    <t>nab</t>
  </si>
  <si>
    <t>nae</t>
  </si>
  <si>
    <t>naj</t>
  </si>
  <si>
    <t>nam</t>
  </si>
  <si>
    <t>nap</t>
  </si>
  <si>
    <t>naq</t>
  </si>
  <si>
    <t>nau</t>
  </si>
  <si>
    <t>nav</t>
  </si>
  <si>
    <t>nbc</t>
  </si>
  <si>
    <t>nbd</t>
  </si>
  <si>
    <t>nbe</t>
  </si>
  <si>
    <t>nbi</t>
  </si>
  <si>
    <t>nbj</t>
  </si>
  <si>
    <t>nbu</t>
  </si>
  <si>
    <t>ncb</t>
  </si>
  <si>
    <t>ncd</t>
  </si>
  <si>
    <t>ncg</t>
  </si>
  <si>
    <t>nck</t>
  </si>
  <si>
    <t>ncn</t>
  </si>
  <si>
    <t>ncz</t>
  </si>
  <si>
    <t>nee</t>
  </si>
  <si>
    <t>neg</t>
  </si>
  <si>
    <t>neh</t>
  </si>
  <si>
    <t>nek</t>
  </si>
  <si>
    <t>nem</t>
  </si>
  <si>
    <t>nez</t>
  </si>
  <si>
    <t>ngh</t>
  </si>
  <si>
    <t>ngk</t>
  </si>
  <si>
    <t>ngv</t>
  </si>
  <si>
    <t>ngw</t>
  </si>
  <si>
    <t>nhd</t>
  </si>
  <si>
    <t>nhe</t>
  </si>
  <si>
    <t>nhk</t>
  </si>
  <si>
    <t>nid</t>
  </si>
  <si>
    <t>nig</t>
  </si>
  <si>
    <t>nik</t>
  </si>
  <si>
    <t>nil</t>
  </si>
  <si>
    <t>nio</t>
  </si>
  <si>
    <t>nit</t>
  </si>
  <si>
    <t>niu</t>
  </si>
  <si>
    <t>niv</t>
  </si>
  <si>
    <t>njb</t>
  </si>
  <si>
    <t>njh</t>
  </si>
  <si>
    <t>njl</t>
  </si>
  <si>
    <t>njm</t>
  </si>
  <si>
    <t>njn</t>
  </si>
  <si>
    <t>nkd</t>
  </si>
  <si>
    <t>nkf</t>
  </si>
  <si>
    <t>nkh</t>
  </si>
  <si>
    <t>nki</t>
  </si>
  <si>
    <t>nkr</t>
  </si>
  <si>
    <t>nli</t>
  </si>
  <si>
    <t>nll</t>
  </si>
  <si>
    <t>nlx</t>
  </si>
  <si>
    <t>nly</t>
  </si>
  <si>
    <t>nma</t>
  </si>
  <si>
    <t>nme</t>
  </si>
  <si>
    <t>nmf</t>
  </si>
  <si>
    <t>nmj</t>
  </si>
  <si>
    <t>nmm</t>
  </si>
  <si>
    <t>nmn</t>
  </si>
  <si>
    <t>nmo</t>
  </si>
  <si>
    <t>nmt</t>
  </si>
  <si>
    <t>nmu</t>
  </si>
  <si>
    <t>nmy</t>
  </si>
  <si>
    <t>nna</t>
  </si>
  <si>
    <t>nng</t>
  </si>
  <si>
    <t>nnp</t>
  </si>
  <si>
    <t>noa</t>
  </si>
  <si>
    <t>nog</t>
  </si>
  <si>
    <t>nok</t>
  </si>
  <si>
    <t>not</t>
  </si>
  <si>
    <t>noy</t>
  </si>
  <si>
    <t>noz</t>
  </si>
  <si>
    <t>npa</t>
  </si>
  <si>
    <t>npb</t>
  </si>
  <si>
    <t>nph</t>
  </si>
  <si>
    <t>npo</t>
  </si>
  <si>
    <t>npy</t>
  </si>
  <si>
    <t>nri</t>
  </si>
  <si>
    <t>nrl</t>
  </si>
  <si>
    <t>nsa</t>
  </si>
  <si>
    <t>nsg</t>
  </si>
  <si>
    <t>nsk</t>
  </si>
  <si>
    <t>nsm</t>
  </si>
  <si>
    <t>nsq</t>
  </si>
  <si>
    <t>nst</t>
  </si>
  <si>
    <t>nsz</t>
  </si>
  <si>
    <t>ntj</t>
  </si>
  <si>
    <t>ntz</t>
  </si>
  <si>
    <t>nuc</t>
  </si>
  <si>
    <t>nuh</t>
  </si>
  <si>
    <t>nul</t>
  </si>
  <si>
    <t>nun</t>
  </si>
  <si>
    <t>nuo</t>
  </si>
  <si>
    <t>nuy</t>
  </si>
  <si>
    <t>nvh</t>
  </si>
  <si>
    <t>nxa</t>
  </si>
  <si>
    <t>nyh</t>
  </si>
  <si>
    <t>nyp</t>
  </si>
  <si>
    <t>nyq</t>
  </si>
  <si>
    <t>nzm</t>
  </si>
  <si>
    <t>oaa</t>
  </si>
  <si>
    <t>oac</t>
  </si>
  <si>
    <t>obi</t>
  </si>
  <si>
    <t>oca</t>
  </si>
  <si>
    <t>oci</t>
  </si>
  <si>
    <t>ocu</t>
  </si>
  <si>
    <t>oda</t>
  </si>
  <si>
    <t>oia</t>
  </si>
  <si>
    <t>ojb</t>
  </si>
  <si>
    <t>ojc</t>
  </si>
  <si>
    <t>ojg</t>
  </si>
  <si>
    <t>ojs</t>
  </si>
  <si>
    <t>ojw</t>
  </si>
  <si>
    <t>oka</t>
  </si>
  <si>
    <t>oki</t>
  </si>
  <si>
    <t>ola</t>
  </si>
  <si>
    <t>ole</t>
  </si>
  <si>
    <t>olo</t>
  </si>
  <si>
    <t>oma</t>
  </si>
  <si>
    <t>omg</t>
  </si>
  <si>
    <t>omt</t>
  </si>
  <si>
    <t>ona</t>
  </si>
  <si>
    <t>one</t>
  </si>
  <si>
    <t>oni</t>
  </si>
  <si>
    <t>onj</t>
  </si>
  <si>
    <t>ono</t>
  </si>
  <si>
    <t>ood</t>
  </si>
  <si>
    <t>oon</t>
  </si>
  <si>
    <t>opy</t>
  </si>
  <si>
    <t>ora</t>
  </si>
  <si>
    <t>ore</t>
  </si>
  <si>
    <t>orn</t>
  </si>
  <si>
    <t>ors</t>
  </si>
  <si>
    <t>oru</t>
  </si>
  <si>
    <t>orw</t>
  </si>
  <si>
    <t>orz</t>
  </si>
  <si>
    <t>osa</t>
  </si>
  <si>
    <t>oss</t>
  </si>
  <si>
    <t>ote</t>
  </si>
  <si>
    <t>otl</t>
  </si>
  <si>
    <t>otm</t>
  </si>
  <si>
    <t>otq</t>
  </si>
  <si>
    <t>otr</t>
  </si>
  <si>
    <t>otw</t>
  </si>
  <si>
    <t>otz</t>
  </si>
  <si>
    <t>oua</t>
  </si>
  <si>
    <t>oum</t>
  </si>
  <si>
    <t>oyd</t>
  </si>
  <si>
    <t>oym</t>
  </si>
  <si>
    <t>pab</t>
  </si>
  <si>
    <t>pad</t>
  </si>
  <si>
    <t>pah</t>
  </si>
  <si>
    <t>pao</t>
  </si>
  <si>
    <t>paq</t>
  </si>
  <si>
    <t>par</t>
  </si>
  <si>
    <t>pav</t>
  </si>
  <si>
    <t>paw</t>
  </si>
  <si>
    <t>pay</t>
  </si>
  <si>
    <t>pbb</t>
  </si>
  <si>
    <t>pbc</t>
  </si>
  <si>
    <t>pbg</t>
  </si>
  <si>
    <t>pbh</t>
  </si>
  <si>
    <t>pbp</t>
  </si>
  <si>
    <t>pbs</t>
  </si>
  <si>
    <t>pby</t>
  </si>
  <si>
    <t>pcb</t>
  </si>
  <si>
    <t>pcd</t>
  </si>
  <si>
    <t>pce</t>
  </si>
  <si>
    <t>pci</t>
  </si>
  <si>
    <t>pcj</t>
  </si>
  <si>
    <t>pcp</t>
  </si>
  <si>
    <t>pdo</t>
  </si>
  <si>
    <t>pdt</t>
  </si>
  <si>
    <t>peb</t>
  </si>
  <si>
    <t>pee</t>
  </si>
  <si>
    <t>pef</t>
  </si>
  <si>
    <t>peg</t>
  </si>
  <si>
    <t>peh</t>
  </si>
  <si>
    <t>pei</t>
  </si>
  <si>
    <t>pej</t>
  </si>
  <si>
    <t>peq</t>
  </si>
  <si>
    <t>pev</t>
  </si>
  <si>
    <t>pey</t>
  </si>
  <si>
    <t>pfa</t>
  </si>
  <si>
    <t>pfl</t>
  </si>
  <si>
    <t>pgg</t>
  </si>
  <si>
    <t>pha</t>
  </si>
  <si>
    <t>phk</t>
  </si>
  <si>
    <t>phl</t>
  </si>
  <si>
    <t>pho</t>
  </si>
  <si>
    <t>phq</t>
  </si>
  <si>
    <t>pia</t>
  </si>
  <si>
    <t>pib</t>
  </si>
  <si>
    <t>pid</t>
  </si>
  <si>
    <t>pif</t>
  </si>
  <si>
    <t>pih</t>
  </si>
  <si>
    <t>pij</t>
  </si>
  <si>
    <t>pin</t>
  </si>
  <si>
    <t>pio</t>
  </si>
  <si>
    <t>pir</t>
  </si>
  <si>
    <t>piu</t>
  </si>
  <si>
    <t>pix</t>
  </si>
  <si>
    <t>piz</t>
  </si>
  <si>
    <t>pjt</t>
  </si>
  <si>
    <t>pkp</t>
  </si>
  <si>
    <t>plb</t>
  </si>
  <si>
    <t>plg</t>
  </si>
  <si>
    <t>plh</t>
  </si>
  <si>
    <t>plj</t>
  </si>
  <si>
    <t>pln</t>
  </si>
  <si>
    <t>plu</t>
  </si>
  <si>
    <t>ply</t>
  </si>
  <si>
    <t>pme</t>
  </si>
  <si>
    <t>pmq</t>
  </si>
  <si>
    <t>pms</t>
  </si>
  <si>
    <t>pmt</t>
  </si>
  <si>
    <t>png</t>
  </si>
  <si>
    <t>pnh</t>
  </si>
  <si>
    <t>pnm</t>
  </si>
  <si>
    <t>pno</t>
  </si>
  <si>
    <t>pnt</t>
  </si>
  <si>
    <t>pnu</t>
  </si>
  <si>
    <t>pnw</t>
  </si>
  <si>
    <t>poe</t>
  </si>
  <si>
    <t>poi</t>
  </si>
  <si>
    <t>pom</t>
  </si>
  <si>
    <t>poo</t>
  </si>
  <si>
    <t>pop</t>
  </si>
  <si>
    <t>poq</t>
  </si>
  <si>
    <t>pot</t>
  </si>
  <si>
    <t>pow</t>
  </si>
  <si>
    <t>ppe</t>
  </si>
  <si>
    <t>ppi</t>
  </si>
  <si>
    <t>ppl</t>
  </si>
  <si>
    <t>ppn</t>
  </si>
  <si>
    <t>ppu</t>
  </si>
  <si>
    <t>pqm</t>
  </si>
  <si>
    <t>prc</t>
  </si>
  <si>
    <t>prn</t>
  </si>
  <si>
    <t>prx</t>
  </si>
  <si>
    <t>psw</t>
  </si>
  <si>
    <t>pto</t>
  </si>
  <si>
    <t>ptp</t>
  </si>
  <si>
    <t>pue</t>
  </si>
  <si>
    <t>pui</t>
  </si>
  <si>
    <t>pum</t>
  </si>
  <si>
    <t>pur</t>
  </si>
  <si>
    <t>puw</t>
  </si>
  <si>
    <t>pux</t>
  </si>
  <si>
    <t>puy</t>
  </si>
  <si>
    <t>pwn</t>
  </si>
  <si>
    <t>pym</t>
  </si>
  <si>
    <t>pyn</t>
  </si>
  <si>
    <t>pyu</t>
  </si>
  <si>
    <t>qua</t>
  </si>
  <si>
    <t>quc</t>
  </si>
  <si>
    <t>quh</t>
  </si>
  <si>
    <t>qui</t>
  </si>
  <si>
    <t>quk</t>
  </si>
  <si>
    <t>qul</t>
  </si>
  <si>
    <t>qum</t>
  </si>
  <si>
    <t>qun</t>
  </si>
  <si>
    <t>qus</t>
  </si>
  <si>
    <t>quv</t>
  </si>
  <si>
    <t>qux</t>
  </si>
  <si>
    <t>quy</t>
  </si>
  <si>
    <t>quz</t>
  </si>
  <si>
    <t>qvp</t>
  </si>
  <si>
    <t>qvy</t>
  </si>
  <si>
    <t>raa</t>
  </si>
  <si>
    <t>rab</t>
  </si>
  <si>
    <t>rah</t>
  </si>
  <si>
    <t>ram</t>
  </si>
  <si>
    <t>rao</t>
  </si>
  <si>
    <t>rap</t>
  </si>
  <si>
    <t>raq</t>
  </si>
  <si>
    <t>rar</t>
  </si>
  <si>
    <t>rau</t>
  </si>
  <si>
    <t>rav</t>
  </si>
  <si>
    <t>ray</t>
  </si>
  <si>
    <t>raz</t>
  </si>
  <si>
    <t>res</t>
  </si>
  <si>
    <t>rey</t>
  </si>
  <si>
    <t>rga</t>
  </si>
  <si>
    <t>rgk</t>
  </si>
  <si>
    <t>rgr</t>
  </si>
  <si>
    <t>rif</t>
  </si>
  <si>
    <t>ril</t>
  </si>
  <si>
    <t>rit</t>
  </si>
  <si>
    <t>rji</t>
  </si>
  <si>
    <t>rka</t>
  </si>
  <si>
    <t>rkb</t>
  </si>
  <si>
    <t>rkh</t>
  </si>
  <si>
    <t>rmb</t>
  </si>
  <si>
    <t>rmt</t>
  </si>
  <si>
    <t>rnp</t>
  </si>
  <si>
    <t>roh</t>
  </si>
  <si>
    <t>rpn</t>
  </si>
  <si>
    <t>rri</t>
  </si>
  <si>
    <t>rth</t>
  </si>
  <si>
    <t>rtm</t>
  </si>
  <si>
    <t>ruc</t>
  </si>
  <si>
    <t>rue</t>
  </si>
  <si>
    <t>ruh</t>
  </si>
  <si>
    <t>ruo</t>
  </si>
  <si>
    <t>rup</t>
  </si>
  <si>
    <t>ruq</t>
  </si>
  <si>
    <t>rut</t>
  </si>
  <si>
    <t>rwm</t>
  </si>
  <si>
    <t>rys</t>
  </si>
  <si>
    <t>ryu</t>
  </si>
  <si>
    <t>saa</t>
  </si>
  <si>
    <t>sac</t>
  </si>
  <si>
    <t>sae</t>
  </si>
  <si>
    <t>sah</t>
  </si>
  <si>
    <t>sak</t>
  </si>
  <si>
    <t>sao</t>
  </si>
  <si>
    <t>sat</t>
  </si>
  <si>
    <t>sbf</t>
  </si>
  <si>
    <t>scb</t>
  </si>
  <si>
    <t>sce</t>
  </si>
  <si>
    <t>scn</t>
  </si>
  <si>
    <t>sco</t>
  </si>
  <si>
    <t>scq</t>
  </si>
  <si>
    <t>scs</t>
  </si>
  <si>
    <t>sdc</t>
  </si>
  <si>
    <t>sdg</t>
  </si>
  <si>
    <t>sdn</t>
  </si>
  <si>
    <t>sdp</t>
  </si>
  <si>
    <t>sds</t>
  </si>
  <si>
    <t>sec</t>
  </si>
  <si>
    <t>see</t>
  </si>
  <si>
    <t>seg</t>
  </si>
  <si>
    <t>sei</t>
  </si>
  <si>
    <t>sej</t>
  </si>
  <si>
    <t>sek</t>
  </si>
  <si>
    <t>sel</t>
  </si>
  <si>
    <t>seo</t>
  </si>
  <si>
    <t>ser</t>
  </si>
  <si>
    <t>sgh</t>
  </si>
  <si>
    <t>sgk</t>
  </si>
  <si>
    <t>sgm</t>
  </si>
  <si>
    <t>sgp</t>
  </si>
  <si>
    <t>sgt</t>
  </si>
  <si>
    <t>sgu</t>
  </si>
  <si>
    <t>shb</t>
  </si>
  <si>
    <t>she</t>
  </si>
  <si>
    <t>shg</t>
  </si>
  <si>
    <t>shh</t>
  </si>
  <si>
    <t>shj</t>
  </si>
  <si>
    <t>shp</t>
  </si>
  <si>
    <t>shs</t>
  </si>
  <si>
    <t>sht</t>
  </si>
  <si>
    <t>shv</t>
  </si>
  <si>
    <t>shw</t>
  </si>
  <si>
    <t>shx</t>
  </si>
  <si>
    <t>sia</t>
  </si>
  <si>
    <t>sih</t>
  </si>
  <si>
    <t>sij</t>
  </si>
  <si>
    <t>sik</t>
  </si>
  <si>
    <t>sil</t>
  </si>
  <si>
    <t>sis</t>
  </si>
  <si>
    <t>siv</t>
  </si>
  <si>
    <t>siz</t>
  </si>
  <si>
    <t>sja</t>
  </si>
  <si>
    <t>sjd</t>
  </si>
  <si>
    <t>sje</t>
  </si>
  <si>
    <t>sjo</t>
  </si>
  <si>
    <t>sjs</t>
  </si>
  <si>
    <t>sjt</t>
  </si>
  <si>
    <t>sju</t>
  </si>
  <si>
    <t>sjw</t>
  </si>
  <si>
    <t>skb</t>
  </si>
  <si>
    <t>skd</t>
  </si>
  <si>
    <t>ske</t>
  </si>
  <si>
    <t>skf</t>
  </si>
  <si>
    <t>skj</t>
  </si>
  <si>
    <t>slc</t>
  </si>
  <si>
    <t>slk</t>
  </si>
  <si>
    <t>sln</t>
  </si>
  <si>
    <t>slr</t>
  </si>
  <si>
    <t>slt</t>
  </si>
  <si>
    <t>slv</t>
  </si>
  <si>
    <t>sma</t>
  </si>
  <si>
    <t>smc</t>
  </si>
  <si>
    <t>sme</t>
  </si>
  <si>
    <t>smh</t>
  </si>
  <si>
    <t>smj</t>
  </si>
  <si>
    <t>smn</t>
  </si>
  <si>
    <t>sms</t>
  </si>
  <si>
    <t>smu</t>
  </si>
  <si>
    <t>snf</t>
  </si>
  <si>
    <t>snu</t>
  </si>
  <si>
    <t>sob</t>
  </si>
  <si>
    <t>soh</t>
  </si>
  <si>
    <t>soi</t>
  </si>
  <si>
    <t>som</t>
  </si>
  <si>
    <t>soo</t>
  </si>
  <si>
    <t>sov</t>
  </si>
  <si>
    <t>spc</t>
  </si>
  <si>
    <t>spe</t>
  </si>
  <si>
    <t>spg</t>
  </si>
  <si>
    <t>spi</t>
  </si>
  <si>
    <t>spo</t>
  </si>
  <si>
    <t>spr</t>
  </si>
  <si>
    <t>spt</t>
  </si>
  <si>
    <t>spy</t>
  </si>
  <si>
    <t>sqt</t>
  </si>
  <si>
    <t>squ</t>
  </si>
  <si>
    <t>srb</t>
  </si>
  <si>
    <t>src</t>
  </si>
  <si>
    <t>srf</t>
  </si>
  <si>
    <t>srh</t>
  </si>
  <si>
    <t>sri</t>
  </si>
  <si>
    <t>srl</t>
  </si>
  <si>
    <t>sro</t>
  </si>
  <si>
    <t>srq</t>
  </si>
  <si>
    <t>srs</t>
  </si>
  <si>
    <t>sru</t>
  </si>
  <si>
    <t>srx</t>
  </si>
  <si>
    <t>sry</t>
  </si>
  <si>
    <t>ssf</t>
  </si>
  <si>
    <t>sso</t>
  </si>
  <si>
    <t>ssu</t>
  </si>
  <si>
    <t>ssv</t>
  </si>
  <si>
    <t>ssw</t>
  </si>
  <si>
    <t>ssz</t>
  </si>
  <si>
    <t>std</t>
  </si>
  <si>
    <t>sto</t>
  </si>
  <si>
    <t>stq</t>
  </si>
  <si>
    <t>str</t>
  </si>
  <si>
    <t>sts</t>
  </si>
  <si>
    <t>stw</t>
  </si>
  <si>
    <t>sue</t>
  </si>
  <si>
    <t>suq</t>
  </si>
  <si>
    <t>sut</t>
  </si>
  <si>
    <t>suv</t>
  </si>
  <si>
    <t>suy</t>
  </si>
  <si>
    <t>suz</t>
  </si>
  <si>
    <t>sva</t>
  </si>
  <si>
    <t>sve</t>
  </si>
  <si>
    <t>svs</t>
  </si>
  <si>
    <t>swe</t>
  </si>
  <si>
    <t>swm</t>
  </si>
  <si>
    <t>swn</t>
  </si>
  <si>
    <t>swx</t>
  </si>
  <si>
    <t>swy</t>
  </si>
  <si>
    <t>sxe</t>
  </si>
  <si>
    <t>sxg</t>
  </si>
  <si>
    <t>sxm</t>
  </si>
  <si>
    <t>sxr</t>
  </si>
  <si>
    <t>syn</t>
  </si>
  <si>
    <t>syo</t>
  </si>
  <si>
    <t>syw</t>
  </si>
  <si>
    <t>sza</t>
  </si>
  <si>
    <t>szc</t>
  </si>
  <si>
    <t>szv</t>
  </si>
  <si>
    <t>taa</t>
  </si>
  <si>
    <t>tab</t>
  </si>
  <si>
    <t>tad</t>
  </si>
  <si>
    <t>tae</t>
  </si>
  <si>
    <t>taf</t>
  </si>
  <si>
    <t>tag</t>
  </si>
  <si>
    <t>tao</t>
  </si>
  <si>
    <t>taq</t>
  </si>
  <si>
    <t>tat</t>
  </si>
  <si>
    <t>tau</t>
  </si>
  <si>
    <t>tav</t>
  </si>
  <si>
    <t>tax</t>
  </si>
  <si>
    <t>tay</t>
  </si>
  <si>
    <t>taz</t>
  </si>
  <si>
    <t>tba</t>
  </si>
  <si>
    <t>tbd</t>
  </si>
  <si>
    <t>tbe</t>
  </si>
  <si>
    <t>tbh</t>
  </si>
  <si>
    <t>tbp</t>
  </si>
  <si>
    <t>tbr</t>
  </si>
  <si>
    <t>tca</t>
  </si>
  <si>
    <t>tcb</t>
  </si>
  <si>
    <t>tcd</t>
  </si>
  <si>
    <t>tce</t>
  </si>
  <si>
    <t>tcf</t>
  </si>
  <si>
    <t>tck</t>
  </si>
  <si>
    <t>tcl</t>
  </si>
  <si>
    <t>tcq</t>
  </si>
  <si>
    <t>tct</t>
  </si>
  <si>
    <t>tcu</t>
  </si>
  <si>
    <t>tcx</t>
  </si>
  <si>
    <t>tcy</t>
  </si>
  <si>
    <t>tcz</t>
  </si>
  <si>
    <t>tdd</t>
  </si>
  <si>
    <t>tdh</t>
  </si>
  <si>
    <t>tdi</t>
  </si>
  <si>
    <t>tdj</t>
  </si>
  <si>
    <t>tds</t>
  </si>
  <si>
    <t>tea</t>
  </si>
  <si>
    <t>teb</t>
  </si>
  <si>
    <t>tee</t>
  </si>
  <si>
    <t>tef</t>
  </si>
  <si>
    <t>teh</t>
  </si>
  <si>
    <t>teq</t>
  </si>
  <si>
    <t>ter</t>
  </si>
  <si>
    <t>teu</t>
  </si>
  <si>
    <t>tew</t>
  </si>
  <si>
    <t>tex</t>
  </si>
  <si>
    <t>tey</t>
  </si>
  <si>
    <t>tfn</t>
  </si>
  <si>
    <t>tfr</t>
  </si>
  <si>
    <t>tgf</t>
  </si>
  <si>
    <t>tgt</t>
  </si>
  <si>
    <t>tgx</t>
  </si>
  <si>
    <t>tgy</t>
  </si>
  <si>
    <t>thd</t>
  </si>
  <si>
    <t>thf</t>
  </si>
  <si>
    <t>thm</t>
  </si>
  <si>
    <t>thp</t>
  </si>
  <si>
    <t>ths</t>
  </si>
  <si>
    <t>tht</t>
  </si>
  <si>
    <t>thu</t>
  </si>
  <si>
    <t>thv</t>
  </si>
  <si>
    <t>thz</t>
  </si>
  <si>
    <t>tia</t>
  </si>
  <si>
    <t>tij</t>
  </si>
  <si>
    <t>til</t>
  </si>
  <si>
    <t>tin</t>
  </si>
  <si>
    <t>tit</t>
  </si>
  <si>
    <t>tiw</t>
  </si>
  <si>
    <t>tix</t>
  </si>
  <si>
    <t>tji</t>
  </si>
  <si>
    <t>tjn</t>
  </si>
  <si>
    <t>tjo</t>
  </si>
  <si>
    <t>tjs</t>
  </si>
  <si>
    <t>tkl</t>
  </si>
  <si>
    <t>tkr</t>
  </si>
  <si>
    <t>tku</t>
  </si>
  <si>
    <t>tkw</t>
  </si>
  <si>
    <t>tla</t>
  </si>
  <si>
    <t>tlc</t>
  </si>
  <si>
    <t>tlg</t>
  </si>
  <si>
    <t>tli</t>
  </si>
  <si>
    <t>tlk</t>
  </si>
  <si>
    <t>tll</t>
  </si>
  <si>
    <t>tlm</t>
  </si>
  <si>
    <t>tln</t>
  </si>
  <si>
    <t>tlo</t>
  </si>
  <si>
    <t>tlp</t>
  </si>
  <si>
    <t>tlq</t>
  </si>
  <si>
    <t>tls</t>
  </si>
  <si>
    <t>tly</t>
  </si>
  <si>
    <t>tmf</t>
  </si>
  <si>
    <t>tmi</t>
  </si>
  <si>
    <t>tmk</t>
  </si>
  <si>
    <t>tms</t>
  </si>
  <si>
    <t>tmw</t>
  </si>
  <si>
    <t>tna</t>
  </si>
  <si>
    <t>tnc</t>
  </si>
  <si>
    <t>tni</t>
  </si>
  <si>
    <t>tnp</t>
  </si>
  <si>
    <t>tnr</t>
  </si>
  <si>
    <t>tns</t>
  </si>
  <si>
    <t>tnw</t>
  </si>
  <si>
    <t>tnz</t>
  </si>
  <si>
    <t>tob</t>
  </si>
  <si>
    <t>tol</t>
  </si>
  <si>
    <t>top</t>
  </si>
  <si>
    <t>tos</t>
  </si>
  <si>
    <t>tow</t>
  </si>
  <si>
    <t>tox</t>
  </si>
  <si>
    <t>tpj</t>
  </si>
  <si>
    <t>tpp</t>
  </si>
  <si>
    <t>tpr</t>
  </si>
  <si>
    <t>tpt</t>
  </si>
  <si>
    <t>tpy</t>
  </si>
  <si>
    <t>tqb</t>
  </si>
  <si>
    <t>tql</t>
  </si>
  <si>
    <t>tra</t>
  </si>
  <si>
    <t>trd</t>
  </si>
  <si>
    <t>trg</t>
  </si>
  <si>
    <t>trh</t>
  </si>
  <si>
    <t>tri</t>
  </si>
  <si>
    <t>trj</t>
  </si>
  <si>
    <t>trm</t>
  </si>
  <si>
    <t>tro</t>
  </si>
  <si>
    <t>trp</t>
  </si>
  <si>
    <t>trr</t>
  </si>
  <si>
    <t>tru</t>
  </si>
  <si>
    <t>trv</t>
  </si>
  <si>
    <t>trw</t>
  </si>
  <si>
    <t>trz</t>
  </si>
  <si>
    <t>tsb</t>
  </si>
  <si>
    <t>tsd</t>
  </si>
  <si>
    <t>tsi</t>
  </si>
  <si>
    <t>tsj</t>
  </si>
  <si>
    <t>tsy</t>
  </si>
  <si>
    <t>tsz</t>
  </si>
  <si>
    <t>ttc</t>
  </si>
  <si>
    <t>ttf</t>
  </si>
  <si>
    <t>tti</t>
  </si>
  <si>
    <t>ttk</t>
  </si>
  <si>
    <t>ttm</t>
  </si>
  <si>
    <t>ttp</t>
  </si>
  <si>
    <t>ttt</t>
  </si>
  <si>
    <t>ttz</t>
  </si>
  <si>
    <t>tub</t>
  </si>
  <si>
    <t>tue</t>
  </si>
  <si>
    <t>tuh</t>
  </si>
  <si>
    <t>tum</t>
  </si>
  <si>
    <t>tun</t>
  </si>
  <si>
    <t>tuo</t>
  </si>
  <si>
    <t>tus</t>
  </si>
  <si>
    <t>tuu</t>
  </si>
  <si>
    <t>tve</t>
  </si>
  <si>
    <t>tvl</t>
  </si>
  <si>
    <t>twa</t>
  </si>
  <si>
    <t>twf</t>
  </si>
  <si>
    <t>twm</t>
  </si>
  <si>
    <t>twn</t>
  </si>
  <si>
    <t>txe</t>
  </si>
  <si>
    <t>txi</t>
  </si>
  <si>
    <t>txm</t>
  </si>
  <si>
    <t>txo</t>
  </si>
  <si>
    <t>txu</t>
  </si>
  <si>
    <t>tyr</t>
  </si>
  <si>
    <t>tyu</t>
  </si>
  <si>
    <t>tyv</t>
  </si>
  <si>
    <t>ubi</t>
  </si>
  <si>
    <t>uby</t>
  </si>
  <si>
    <t>ude</t>
  </si>
  <si>
    <t>udi</t>
  </si>
  <si>
    <t>udj</t>
  </si>
  <si>
    <t>udm</t>
  </si>
  <si>
    <t>ugo</t>
  </si>
  <si>
    <t>uhn</t>
  </si>
  <si>
    <t>uiv</t>
  </si>
  <si>
    <t>ukh</t>
  </si>
  <si>
    <t>ulc</t>
  </si>
  <si>
    <t>ulf</t>
  </si>
  <si>
    <t>uli</t>
  </si>
  <si>
    <t>ulk</t>
  </si>
  <si>
    <t>umo</t>
  </si>
  <si>
    <t>ump</t>
  </si>
  <si>
    <t>ums</t>
  </si>
  <si>
    <t>umu</t>
  </si>
  <si>
    <t>ung</t>
  </si>
  <si>
    <t>unk</t>
  </si>
  <si>
    <t>unm</t>
  </si>
  <si>
    <t>ura</t>
  </si>
  <si>
    <t>urb</t>
  </si>
  <si>
    <t>ure</t>
  </si>
  <si>
    <t>urk</t>
  </si>
  <si>
    <t>urr</t>
  </si>
  <si>
    <t>uru</t>
  </si>
  <si>
    <t>urv</t>
  </si>
  <si>
    <t>ush</t>
  </si>
  <si>
    <t>usp</t>
  </si>
  <si>
    <t>usu</t>
  </si>
  <si>
    <t>ute</t>
  </si>
  <si>
    <t>uum</t>
  </si>
  <si>
    <t>uun</t>
  </si>
  <si>
    <t>uuu</t>
  </si>
  <si>
    <t>uve</t>
  </si>
  <si>
    <t>vaf</t>
  </si>
  <si>
    <t>val</t>
  </si>
  <si>
    <t>var</t>
  </si>
  <si>
    <t>vay</t>
  </si>
  <si>
    <t>vec</t>
  </si>
  <si>
    <t>ved</t>
  </si>
  <si>
    <t>veo</t>
  </si>
  <si>
    <t>vep</t>
  </si>
  <si>
    <t>vid</t>
  </si>
  <si>
    <t>vil</t>
  </si>
  <si>
    <t>vkj</t>
  </si>
  <si>
    <t>vko</t>
  </si>
  <si>
    <t>vku</t>
  </si>
  <si>
    <t>vmf</t>
  </si>
  <si>
    <t>vmp</t>
  </si>
  <si>
    <t>vms</t>
  </si>
  <si>
    <t>vmy</t>
  </si>
  <si>
    <t>vmz</t>
  </si>
  <si>
    <t>vnk</t>
  </si>
  <si>
    <t>vot</t>
  </si>
  <si>
    <t>vum</t>
  </si>
  <si>
    <t>wab</t>
  </si>
  <si>
    <t>wao</t>
  </si>
  <si>
    <t>wap</t>
  </si>
  <si>
    <t>waq</t>
  </si>
  <si>
    <t>was</t>
  </si>
  <si>
    <t>wau</t>
  </si>
  <si>
    <t>waw</t>
  </si>
  <si>
    <t>way</t>
  </si>
  <si>
    <t>wba</t>
  </si>
  <si>
    <t>wbe</t>
  </si>
  <si>
    <t>wbk</t>
  </si>
  <si>
    <t>wbl</t>
  </si>
  <si>
    <t>wbp</t>
  </si>
  <si>
    <t>wbt</t>
  </si>
  <si>
    <t>wbv</t>
  </si>
  <si>
    <t>wca</t>
  </si>
  <si>
    <t>wic</t>
  </si>
  <si>
    <t>wig</t>
  </si>
  <si>
    <t>wim</t>
  </si>
  <si>
    <t>win</t>
  </si>
  <si>
    <t>wiy</t>
  </si>
  <si>
    <t>wka</t>
  </si>
  <si>
    <t>wlg</t>
  </si>
  <si>
    <t>wlk</t>
  </si>
  <si>
    <t>wll</t>
  </si>
  <si>
    <t>wln</t>
  </si>
  <si>
    <t>wmb</t>
  </si>
  <si>
    <t>wme</t>
  </si>
  <si>
    <t>wmh</t>
  </si>
  <si>
    <t>wmt</t>
  </si>
  <si>
    <t>wnc</t>
  </si>
  <si>
    <t>wno</t>
  </si>
  <si>
    <t>woe</t>
  </si>
  <si>
    <t>wor</t>
  </si>
  <si>
    <t>wpc</t>
  </si>
  <si>
    <t>wrh</t>
  </si>
  <si>
    <t>wrm</t>
  </si>
  <si>
    <t>wrn</t>
  </si>
  <si>
    <t>wrr</t>
  </si>
  <si>
    <t>wru</t>
  </si>
  <si>
    <t>wsv</t>
  </si>
  <si>
    <t>wtw</t>
  </si>
  <si>
    <t>wua</t>
  </si>
  <si>
    <t>wub</t>
  </si>
  <si>
    <t>wuh</t>
  </si>
  <si>
    <t>wwo</t>
  </si>
  <si>
    <t>wxa</t>
  </si>
  <si>
    <t>wya</t>
  </si>
  <si>
    <t>wyb</t>
  </si>
  <si>
    <t>wym</t>
  </si>
  <si>
    <t>wyr</t>
  </si>
  <si>
    <t>xac</t>
  </si>
  <si>
    <t>xal</t>
  </si>
  <si>
    <t>xam</t>
  </si>
  <si>
    <t>xar</t>
  </si>
  <si>
    <t>xat</t>
  </si>
  <si>
    <t>xav</t>
  </si>
  <si>
    <t>xaw</t>
  </si>
  <si>
    <t>xeg</t>
  </si>
  <si>
    <t>xel</t>
  </si>
  <si>
    <t>xer</t>
  </si>
  <si>
    <t>xet</t>
  </si>
  <si>
    <t>xii</t>
  </si>
  <si>
    <t>xiy</t>
  </si>
  <si>
    <t>xkf</t>
  </si>
  <si>
    <t>xkk</t>
  </si>
  <si>
    <t>xkq</t>
  </si>
  <si>
    <t>xkr</t>
  </si>
  <si>
    <t>xkw</t>
  </si>
  <si>
    <t>xkx</t>
  </si>
  <si>
    <t>xkz</t>
  </si>
  <si>
    <t>xmf</t>
  </si>
  <si>
    <t>xmj</t>
  </si>
  <si>
    <t>xnb</t>
  </si>
  <si>
    <t>xnr</t>
  </si>
  <si>
    <t>xns</t>
  </si>
  <si>
    <t>xok</t>
  </si>
  <si>
    <t>xom</t>
  </si>
  <si>
    <t>xor</t>
  </si>
  <si>
    <t>xpk</t>
  </si>
  <si>
    <t>xra</t>
  </si>
  <si>
    <t>xre</t>
  </si>
  <si>
    <t>xri</t>
  </si>
  <si>
    <t>xsl</t>
  </si>
  <si>
    <t>xsr</t>
  </si>
  <si>
    <t>xsu</t>
  </si>
  <si>
    <t>xsy</t>
  </si>
  <si>
    <t>xun</t>
  </si>
  <si>
    <t>xuu</t>
  </si>
  <si>
    <t>xwa</t>
  </si>
  <si>
    <t>xwg</t>
  </si>
  <si>
    <t>yaa</t>
  </si>
  <si>
    <t>yab</t>
  </si>
  <si>
    <t>yad</t>
  </si>
  <si>
    <t>yae</t>
  </si>
  <si>
    <t>yag</t>
  </si>
  <si>
    <t>yah</t>
  </si>
  <si>
    <t>yai</t>
  </si>
  <si>
    <t>yaq</t>
  </si>
  <si>
    <t>yar</t>
  </si>
  <si>
    <t>yau</t>
  </si>
  <si>
    <t>yaw</t>
  </si>
  <si>
    <t>ybe</t>
  </si>
  <si>
    <t>ybh</t>
  </si>
  <si>
    <t>ych</t>
  </si>
  <si>
    <t>ycn</t>
  </si>
  <si>
    <t>ycp</t>
  </si>
  <si>
    <t>ydd</t>
  </si>
  <si>
    <t>ydg</t>
  </si>
  <si>
    <t>yee</t>
  </si>
  <si>
    <t>yeu</t>
  </si>
  <si>
    <t>yev</t>
  </si>
  <si>
    <t>yey</t>
  </si>
  <si>
    <t>yim</t>
  </si>
  <si>
    <t>yiq</t>
  </si>
  <si>
    <t>yki</t>
  </si>
  <si>
    <t>yko</t>
  </si>
  <si>
    <t>ykt</t>
  </si>
  <si>
    <t>ylo</t>
  </si>
  <si>
    <t>ymd</t>
  </si>
  <si>
    <t>yme</t>
  </si>
  <si>
    <t>yna</t>
  </si>
  <si>
    <t>ynk</t>
  </si>
  <si>
    <t>yoi</t>
  </si>
  <si>
    <t>yok</t>
  </si>
  <si>
    <t>yrk</t>
  </si>
  <si>
    <t>yrl</t>
  </si>
  <si>
    <t>yrn</t>
  </si>
  <si>
    <t>yrw</t>
  </si>
  <si>
    <t>ysd</t>
  </si>
  <si>
    <t>ysr</t>
  </si>
  <si>
    <t>ysy</t>
  </si>
  <si>
    <t>yta</t>
  </si>
  <si>
    <t>ytl</t>
  </si>
  <si>
    <t>yua</t>
  </si>
  <si>
    <t>yuc</t>
  </si>
  <si>
    <t>yuf</t>
  </si>
  <si>
    <t>yug</t>
  </si>
  <si>
    <t>yui</t>
  </si>
  <si>
    <t>yuk</t>
  </si>
  <si>
    <t>yul</t>
  </si>
  <si>
    <t>yum</t>
  </si>
  <si>
    <t>yuq</t>
  </si>
  <si>
    <t>yur</t>
  </si>
  <si>
    <t>yux</t>
  </si>
  <si>
    <t>yuy</t>
  </si>
  <si>
    <t>yuz</t>
  </si>
  <si>
    <t>ywn</t>
  </si>
  <si>
    <t>yyz</t>
  </si>
  <si>
    <t>zaj</t>
  </si>
  <si>
    <t>zal</t>
  </si>
  <si>
    <t>zau</t>
  </si>
  <si>
    <t>zay</t>
  </si>
  <si>
    <t>zen</t>
  </si>
  <si>
    <t>zgr</t>
  </si>
  <si>
    <t>zhb</t>
  </si>
  <si>
    <t>zkr</t>
  </si>
  <si>
    <t>zmh</t>
  </si>
  <si>
    <t>zmj</t>
  </si>
  <si>
    <t>zml</t>
  </si>
  <si>
    <t>zmo</t>
  </si>
  <si>
    <t>zmt</t>
  </si>
  <si>
    <t>zng</t>
  </si>
  <si>
    <t>zpb</t>
  </si>
  <si>
    <t>zpe</t>
  </si>
  <si>
    <t>zpk</t>
  </si>
  <si>
    <t>zpm</t>
  </si>
  <si>
    <t>zrn</t>
  </si>
  <si>
    <t>zro</t>
  </si>
  <si>
    <t>ztt</t>
  </si>
  <si>
    <t>zua</t>
  </si>
  <si>
    <t>zum</t>
  </si>
  <si>
    <t>zun</t>
  </si>
  <si>
    <t>zuy</t>
  </si>
  <si>
    <t>zwa</t>
  </si>
  <si>
    <t>Alphabetic code</t>
  </si>
  <si>
    <t>Numeric code</t>
  </si>
  <si>
    <t>Number of digits after decimal separator</t>
  </si>
  <si>
    <t>Canadian dollar</t>
  </si>
  <si>
    <t>Euro</t>
  </si>
  <si>
    <t>Pound sterling</t>
  </si>
  <si>
    <t>United States dollar</t>
  </si>
  <si>
    <t>United Arab Emirates dirham</t>
  </si>
  <si>
    <t>Afghan afghani</t>
  </si>
  <si>
    <t>Albanian lek</t>
  </si>
  <si>
    <t>Armenian dram</t>
  </si>
  <si>
    <t>Netherlands Antillean guilder</t>
  </si>
  <si>
    <t>Angolan kwanza</t>
  </si>
  <si>
    <t>Argentine peso</t>
  </si>
  <si>
    <t>Australian dollar</t>
  </si>
  <si>
    <t>Aruban florin</t>
  </si>
  <si>
    <t>Azerbaijani manat</t>
  </si>
  <si>
    <t>Bosnia and Herzegovina convertible mark</t>
  </si>
  <si>
    <t>Barbados dollar</t>
  </si>
  <si>
    <t>Bangladeshi taka</t>
  </si>
  <si>
    <t>Bulgarian lev</t>
  </si>
  <si>
    <t>Bahraini dinar</t>
  </si>
  <si>
    <t>Burundian franc</t>
  </si>
  <si>
    <t>Bermudian dollar</t>
  </si>
  <si>
    <t>Brunei dollar</t>
  </si>
  <si>
    <t>Boliviano</t>
  </si>
  <si>
    <t>Bolivian Mvdol (funds code)</t>
  </si>
  <si>
    <t>Brazilian real</t>
  </si>
  <si>
    <t>Bahamian dollar</t>
  </si>
  <si>
    <t>Bhutanese ngultrum</t>
  </si>
  <si>
    <t>Botswana pula</t>
  </si>
  <si>
    <t>Belarusian ruble</t>
  </si>
  <si>
    <t>Belize dollar</t>
  </si>
  <si>
    <t>Congolese franc</t>
  </si>
  <si>
    <t>WIR euro (complementary currency)</t>
  </si>
  <si>
    <t>Swiss franc</t>
  </si>
  <si>
    <t>WIR franc (complementary currency)</t>
  </si>
  <si>
    <t>Unidad de Fomento (funds code)</t>
  </si>
  <si>
    <t>Chilean peso</t>
  </si>
  <si>
    <t>Chinese yuan[8]</t>
  </si>
  <si>
    <t>Colombian peso</t>
  </si>
  <si>
    <t>2[9]</t>
  </si>
  <si>
    <t>Unidad de Valor Real (UVR) (funds code)[9]</t>
  </si>
  <si>
    <t>Costa Rican colon</t>
  </si>
  <si>
    <t>Cuban convertible peso</t>
  </si>
  <si>
    <t>Cuban peso</t>
  </si>
  <si>
    <t>Cape Verdean escudo</t>
  </si>
  <si>
    <t>Czech koruna</t>
  </si>
  <si>
    <t>Djiboutian franc</t>
  </si>
  <si>
    <t>Danish krone</t>
  </si>
  <si>
    <t>Dominican peso</t>
  </si>
  <si>
    <t>Algerian dinar</t>
  </si>
  <si>
    <t>Egyptian pound</t>
  </si>
  <si>
    <t>Eritrean nakfa</t>
  </si>
  <si>
    <t>Ethiopian birr</t>
  </si>
  <si>
    <t>Fiji dollar</t>
  </si>
  <si>
    <t>Falkland Islands pound</t>
  </si>
  <si>
    <t>Georgian lari</t>
  </si>
  <si>
    <t>Ghanaian cedi</t>
  </si>
  <si>
    <t>Gibraltar pound</t>
  </si>
  <si>
    <t>Gambian dalasi</t>
  </si>
  <si>
    <t>Guinean franc</t>
  </si>
  <si>
    <t>Guatemalan quetzal</t>
  </si>
  <si>
    <t>Guyanese dollar</t>
  </si>
  <si>
    <t>Hong Kong dollar</t>
  </si>
  <si>
    <t>Honduran lempira</t>
  </si>
  <si>
    <t>Croatian kuna</t>
  </si>
  <si>
    <t>Haitian gourde</t>
  </si>
  <si>
    <t>Hungarian forint</t>
  </si>
  <si>
    <t>Indonesian rupiah</t>
  </si>
  <si>
    <t>Israeli new shekel</t>
  </si>
  <si>
    <t>Indian rupee</t>
  </si>
  <si>
    <t>Iraqi dinar</t>
  </si>
  <si>
    <t>Iranian rial</t>
  </si>
  <si>
    <t>Icelandic króna</t>
  </si>
  <si>
    <t>Jamaican dollar</t>
  </si>
  <si>
    <t>Jordanian dinar</t>
  </si>
  <si>
    <t>Japanese yen</t>
  </si>
  <si>
    <t>Kenyan shilling</t>
  </si>
  <si>
    <t>Kyrgyzstani som</t>
  </si>
  <si>
    <t>Cambodian riel</t>
  </si>
  <si>
    <t>Comoro franc</t>
  </si>
  <si>
    <t>North Korean won</t>
  </si>
  <si>
    <t>South Korean won</t>
  </si>
  <si>
    <t>Kuwaiti dinar</t>
  </si>
  <si>
    <t>Cayman Islands dollar</t>
  </si>
  <si>
    <t>Kazakhstani tenge</t>
  </si>
  <si>
    <t>Lao kip</t>
  </si>
  <si>
    <t>Lebanese pound</t>
  </si>
  <si>
    <t>Sri Lankan rupee</t>
  </si>
  <si>
    <t>Liberian dollar</t>
  </si>
  <si>
    <t>Lesotho loti</t>
  </si>
  <si>
    <t>Libyan dinar</t>
  </si>
  <si>
    <t>Moroccan dirham</t>
  </si>
  <si>
    <t>Moldovan leu</t>
  </si>
  <si>
    <t>2[c]</t>
  </si>
  <si>
    <t>Malagasy ariary</t>
  </si>
  <si>
    <t>Macedonian denar</t>
  </si>
  <si>
    <t>Myanmar kyat</t>
  </si>
  <si>
    <t>Mongolian tögrög</t>
  </si>
  <si>
    <t>Macanese pataca</t>
  </si>
  <si>
    <t>MRU[11]</t>
  </si>
  <si>
    <t>Mauritanian ouguiya</t>
  </si>
  <si>
    <t>Mauritian rupee</t>
  </si>
  <si>
    <t>Maldivian rufiyaa</t>
  </si>
  <si>
    <t>Malawian kwacha</t>
  </si>
  <si>
    <t>Mexican peso</t>
  </si>
  <si>
    <t>Mexican Unidad de Inversion (UDI) (funds code)</t>
  </si>
  <si>
    <t>Malaysian ringgit</t>
  </si>
  <si>
    <t>Mozambican metical</t>
  </si>
  <si>
    <t>Namibian dollar</t>
  </si>
  <si>
    <t>Nigerian naira</t>
  </si>
  <si>
    <t>Nicaraguan córdoba</t>
  </si>
  <si>
    <t>Norwegian krone</t>
  </si>
  <si>
    <t>Nepalese rupee</t>
  </si>
  <si>
    <t>New Zealand dollar</t>
  </si>
  <si>
    <t>Omani rial</t>
  </si>
  <si>
    <t>Panamanian balboa</t>
  </si>
  <si>
    <t>Peruvian sol</t>
  </si>
  <si>
    <t>Papua New Guinean kina</t>
  </si>
  <si>
    <t>Philippine peso[12]</t>
  </si>
  <si>
    <t>Pakistani rupee</t>
  </si>
  <si>
    <t>Polish złoty</t>
  </si>
  <si>
    <t>Paraguayan guaraní</t>
  </si>
  <si>
    <t>Qatari riyal</t>
  </si>
  <si>
    <t>Romanian leu</t>
  </si>
  <si>
    <t>Serbian dinar</t>
  </si>
  <si>
    <t>Russian ruble</t>
  </si>
  <si>
    <t>Rwandan franc</t>
  </si>
  <si>
    <t>Saudi riyal</t>
  </si>
  <si>
    <t>Solomon Islands dollar</t>
  </si>
  <si>
    <t>Seychelles rupee</t>
  </si>
  <si>
    <t>Sudanese pound</t>
  </si>
  <si>
    <t>Swedish krona/kronor</t>
  </si>
  <si>
    <t>Singapore dollar</t>
  </si>
  <si>
    <t>Saint Helena pound</t>
  </si>
  <si>
    <t>Sierra Leonean leone</t>
  </si>
  <si>
    <t>Somali shilling</t>
  </si>
  <si>
    <t>Surinamese dollar</t>
  </si>
  <si>
    <t>South Sudanese pound</t>
  </si>
  <si>
    <t>STN[13]</t>
  </si>
  <si>
    <t>São Tomé and Príncipe dobra</t>
  </si>
  <si>
    <t>Salvadoran colón</t>
  </si>
  <si>
    <t>Syrian pound</t>
  </si>
  <si>
    <t>Swazi lilangeni</t>
  </si>
  <si>
    <t>Thai baht</t>
  </si>
  <si>
    <t>Tajikistani somoni</t>
  </si>
  <si>
    <t>Turkmenistan manat</t>
  </si>
  <si>
    <t>Tunisian dinar</t>
  </si>
  <si>
    <t>Tongan paʻanga</t>
  </si>
  <si>
    <t>Turkish lira</t>
  </si>
  <si>
    <t>Trinidad and Tobago dollar</t>
  </si>
  <si>
    <t>New Taiwan dollar</t>
  </si>
  <si>
    <t>Tanzanian shilling</t>
  </si>
  <si>
    <t>Ukrainian hryvnia</t>
  </si>
  <si>
    <t>Ugandan shilling</t>
  </si>
  <si>
    <t>United States dollar (next day) (funds code)</t>
  </si>
  <si>
    <t>Uruguay Peso en Unidades Indexadas (URUIURUI) (funds code)</t>
  </si>
  <si>
    <t>Uruguayan peso</t>
  </si>
  <si>
    <t>Unidad previsional[14]</t>
  </si>
  <si>
    <t>Uzbekistan som</t>
  </si>
  <si>
    <t>Venezuelan bolívar soberano[12]</t>
  </si>
  <si>
    <t>Vietnamese đồng</t>
  </si>
  <si>
    <t>Vanuatu vatu</t>
  </si>
  <si>
    <t>Samoan tala</t>
  </si>
  <si>
    <t>CFA franc BEAC</t>
  </si>
  <si>
    <t>.</t>
  </si>
  <si>
    <t>Silver (one troy ounce)</t>
  </si>
  <si>
    <t>Gold (one troy ounce)</t>
  </si>
  <si>
    <t>European Composite Unit (EURCO) (bond market unit)</t>
  </si>
  <si>
    <t>European Monetary Unit (E.M.U.-6) (bond market unit)</t>
  </si>
  <si>
    <t>European Unit of Account 9 (E.U.A.-9) (bond market unit)</t>
  </si>
  <si>
    <t>European Unit of Account 17 (E.U.A.-17) (bond market unit)</t>
  </si>
  <si>
    <t>East Caribbean dollar</t>
  </si>
  <si>
    <t>Special drawing rights</t>
  </si>
  <si>
    <t>CFA franc BCEAO</t>
  </si>
  <si>
    <t>Palladium (one troy ounce)</t>
  </si>
  <si>
    <t>CFP franc (franc Pacifique)</t>
  </si>
  <si>
    <t>Platinum (one troy ounce)</t>
  </si>
  <si>
    <t>SUCRE</t>
  </si>
  <si>
    <t>Code reserved for testing</t>
  </si>
  <si>
    <t>ADB Unit of Account</t>
  </si>
  <si>
    <t>No currency</t>
  </si>
  <si>
    <t>Yemeni rial</t>
  </si>
  <si>
    <t>South African rand</t>
  </si>
  <si>
    <t>Zambian kwacha</t>
  </si>
  <si>
    <t>Zimbabwean dollar</t>
  </si>
  <si>
    <t>Degree of endangerment</t>
  </si>
  <si>
    <t>Ari</t>
  </si>
  <si>
    <t>AnambÃ©</t>
  </si>
  <si>
    <t>Arvanitika</t>
  </si>
  <si>
    <t>Abai Sungai</t>
  </si>
  <si>
    <t>Abaga</t>
  </si>
  <si>
    <t>Abkhaz</t>
  </si>
  <si>
    <t>Abaza</t>
  </si>
  <si>
    <t>Achagua</t>
  </si>
  <si>
    <t>Chintaw</t>
  </si>
  <si>
    <t>Achuar</t>
  </si>
  <si>
    <t>Shiwiar</t>
  </si>
  <si>
    <t>Achumawi</t>
  </si>
  <si>
    <t>Acheron</t>
  </si>
  <si>
    <t>Adabe</t>
  </si>
  <si>
    <t>Adi</t>
  </si>
  <si>
    <t>Bokar</t>
  </si>
  <si>
    <t>Bori</t>
  </si>
  <si>
    <t>Karko</t>
  </si>
  <si>
    <t>Milang</t>
  </si>
  <si>
    <t>Minyong</t>
  </si>
  <si>
    <t>Padam</t>
  </si>
  <si>
    <t>Pasi</t>
  </si>
  <si>
    <t>Tangam</t>
  </si>
  <si>
    <t>Galo</t>
  </si>
  <si>
    <t>Adnyamathanha</t>
  </si>
  <si>
    <t>Adyge</t>
  </si>
  <si>
    <t>Kurtjar</t>
  </si>
  <si>
    <t>Arem</t>
  </si>
  <si>
    <t>Kri</t>
  </si>
  <si>
    <t>Arrernte</t>
  </si>
  <si>
    <t>Akeu</t>
  </si>
  <si>
    <t>Defaka</t>
  </si>
  <si>
    <t>Afitti</t>
  </si>
  <si>
    <t>Obokuitai</t>
  </si>
  <si>
    <t>Kona</t>
  </si>
  <si>
    <t>Arguni</t>
  </si>
  <si>
    <t>Boro</t>
  </si>
  <si>
    <t>Argobba</t>
  </si>
  <si>
    <t>Isarog Agta</t>
  </si>
  <si>
    <t>Agul</t>
  </si>
  <si>
    <t>Aka</t>
  </si>
  <si>
    <t>Ko</t>
  </si>
  <si>
    <t>Ahtna</t>
  </si>
  <si>
    <t>Ainbai</t>
  </si>
  <si>
    <t>Suret</t>
  </si>
  <si>
    <t>Aimol</t>
  </si>
  <si>
    <t>Langrong</t>
  </si>
  <si>
    <t>Aiton</t>
  </si>
  <si>
    <t>Aja</t>
  </si>
  <si>
    <t>Jero</t>
  </si>
  <si>
    <t>Akuriyo</t>
  </si>
  <si>
    <t>Ak</t>
  </si>
  <si>
    <t>Araki</t>
  </si>
  <si>
    <t>Akum</t>
  </si>
  <si>
    <t>Akhvakh</t>
  </si>
  <si>
    <t>Kede</t>
  </si>
  <si>
    <t>Alabama</t>
  </si>
  <si>
    <t>Qawasqar</t>
  </si>
  <si>
    <t>Alawa</t>
  </si>
  <si>
    <t>Amblong</t>
  </si>
  <si>
    <t>Alune</t>
  </si>
  <si>
    <t>Northern Algonquin</t>
  </si>
  <si>
    <t>Alutor</t>
  </si>
  <si>
    <t>Luri</t>
  </si>
  <si>
    <t>AmanayÃ©</t>
  </si>
  <si>
    <t>Amahuaca</t>
  </si>
  <si>
    <t>Bana</t>
  </si>
  <si>
    <t>Amis</t>
  </si>
  <si>
    <t>Khasi</t>
  </si>
  <si>
    <t>Amahai</t>
  </si>
  <si>
    <t>Harakmbut</t>
  </si>
  <si>
    <t>Western Neo-Aramaic</t>
  </si>
  <si>
    <t>Karang</t>
  </si>
  <si>
    <t>Animere</t>
  </si>
  <si>
    <t>Andi</t>
  </si>
  <si>
    <t>Anal</t>
  </si>
  <si>
    <t>Andoke</t>
  </si>
  <si>
    <t>Angika</t>
  </si>
  <si>
    <t>Jarawa</t>
  </si>
  <si>
    <t>Antakirinya</t>
  </si>
  <si>
    <t>Anindilyakwa</t>
  </si>
  <si>
    <t>Bumbita Arapesh</t>
  </si>
  <si>
    <t>Aore</t>
  </si>
  <si>
    <t>Taikat</t>
  </si>
  <si>
    <t>Bukiyip</t>
  </si>
  <si>
    <t>Athpahariya</t>
  </si>
  <si>
    <t>ApiakÃ¡</t>
  </si>
  <si>
    <t>Lipan</t>
  </si>
  <si>
    <t>ApinajÃ©</t>
  </si>
  <si>
    <t>Apatani</t>
  </si>
  <si>
    <t>ApurinÃ£</t>
  </si>
  <si>
    <t>Aputai</t>
  </si>
  <si>
    <t>Archi</t>
  </si>
  <si>
    <t>Akuntsu</t>
  </si>
  <si>
    <t>Arabana</t>
  </si>
  <si>
    <t>Aragonese</t>
  </si>
  <si>
    <t>Aruaco</t>
  </si>
  <si>
    <t>Arikara</t>
  </si>
  <si>
    <t>Arabela</t>
  </si>
  <si>
    <t>Huilliche</t>
  </si>
  <si>
    <t>Araona</t>
  </si>
  <si>
    <t>Karo</t>
  </si>
  <si>
    <t>Arbore</t>
  </si>
  <si>
    <t>AruÃ¡</t>
  </si>
  <si>
    <t>Vacacocha</t>
  </si>
  <si>
    <t>Ashkun</t>
  </si>
  <si>
    <t>Asturian-Leonese</t>
  </si>
  <si>
    <t>As</t>
  </si>
  <si>
    <t>Ata</t>
  </si>
  <si>
    <t>Zaiwa</t>
  </si>
  <si>
    <t>Atemble</t>
  </si>
  <si>
    <t>Akie</t>
  </si>
  <si>
    <t>Atikamekw</t>
  </si>
  <si>
    <t>Ashtiani</t>
  </si>
  <si>
    <t>Gros Ventre</t>
  </si>
  <si>
    <t>Atsugewi</t>
  </si>
  <si>
    <t>Uruak</t>
  </si>
  <si>
    <t>Arta</t>
  </si>
  <si>
    <t>Asumboa</t>
  </si>
  <si>
    <t>Muji</t>
  </si>
  <si>
    <t>Waotededo</t>
  </si>
  <si>
    <t>Anuki</t>
  </si>
  <si>
    <t>Awjila</t>
  </si>
  <si>
    <t>Anus</t>
  </si>
  <si>
    <t>Auye</t>
  </si>
  <si>
    <t>Awyi</t>
  </si>
  <si>
    <t>Central Asian Arabic</t>
  </si>
  <si>
    <t>Avar</t>
  </si>
  <si>
    <t>Awera</t>
  </si>
  <si>
    <t>ArawetÃ©</t>
  </si>
  <si>
    <t>Manda</t>
  </si>
  <si>
    <t>Xaragure</t>
  </si>
  <si>
    <t>Ayoreo</t>
  </si>
  <si>
    <t>Moro</t>
  </si>
  <si>
    <t>Aymara</t>
  </si>
  <si>
    <t>Bataan Ayta</t>
  </si>
  <si>
    <t>Azerbaijan</t>
  </si>
  <si>
    <t>Bongo</t>
  </si>
  <si>
    <t>Nubaca</t>
  </si>
  <si>
    <t>Baki</t>
  </si>
  <si>
    <t>Bashkir</t>
  </si>
  <si>
    <t>Bantawa</t>
  </si>
  <si>
    <t>Bavarian</t>
  </si>
  <si>
    <t>Pengo</t>
  </si>
  <si>
    <t>Pakan</t>
  </si>
  <si>
    <t>Bats</t>
  </si>
  <si>
    <t>Dakpa</t>
  </si>
  <si>
    <t>Bakpinka</t>
  </si>
  <si>
    <t>Kulung</t>
  </si>
  <si>
    <t>Bubia</t>
  </si>
  <si>
    <t>Bainouk-Samik</t>
  </si>
  <si>
    <t>Koroshi</t>
  </si>
  <si>
    <t>Baga Mboteni</t>
  </si>
  <si>
    <t>Pukur</t>
  </si>
  <si>
    <t>Bardi</t>
  </si>
  <si>
    <t>Bunuba</t>
  </si>
  <si>
    <t>She</t>
  </si>
  <si>
    <t>Bainouk-Gunyaamolo</t>
  </si>
  <si>
    <t>Bayot</t>
  </si>
  <si>
    <t>Bade</t>
  </si>
  <si>
    <t>Bai</t>
  </si>
  <si>
    <t>Budukh</t>
  </si>
  <si>
    <t>Baldemu</t>
  </si>
  <si>
    <t>Burunge</t>
  </si>
  <si>
    <t>Parji</t>
  </si>
  <si>
    <t>Budong-Budong</t>
  </si>
  <si>
    <t>Bundjalung</t>
  </si>
  <si>
    <t>Beaver</t>
  </si>
  <si>
    <t>Bedoanas</t>
  </si>
  <si>
    <t>Byangsi</t>
  </si>
  <si>
    <t>Beli</t>
  </si>
  <si>
    <t>Belarusian</t>
  </si>
  <si>
    <t>Piame</t>
  </si>
  <si>
    <t>Besoa</t>
  </si>
  <si>
    <t>Besme</t>
  </si>
  <si>
    <t>Badaga</t>
  </si>
  <si>
    <t>Balti</t>
  </si>
  <si>
    <t>Bunan</t>
  </si>
  <si>
    <t>Remo</t>
  </si>
  <si>
    <t>Baghati</t>
  </si>
  <si>
    <t>Mahasui</t>
  </si>
  <si>
    <t>Khowa</t>
  </si>
  <si>
    <t>Pasing</t>
  </si>
  <si>
    <t>Bawm</t>
  </si>
  <si>
    <t>Bom</t>
  </si>
  <si>
    <t>Benggoi</t>
  </si>
  <si>
    <t>Bhalesi</t>
  </si>
  <si>
    <t>Bukharic</t>
  </si>
  <si>
    <t>Bahing</t>
  </si>
  <si>
    <t>Bathari</t>
  </si>
  <si>
    <t>Bohtan Neo-Aramaic</t>
  </si>
  <si>
    <t>Biak</t>
  </si>
  <si>
    <t>Mapia</t>
  </si>
  <si>
    <t>Wari</t>
  </si>
  <si>
    <t>Bepour</t>
  </si>
  <si>
    <t>Benin</t>
  </si>
  <si>
    <t>Bikaru</t>
  </si>
  <si>
    <t>Biete</t>
  </si>
  <si>
    <t>Birhor</t>
  </si>
  <si>
    <t>Burji</t>
  </si>
  <si>
    <t>Busuu</t>
  </si>
  <si>
    <t>Beeke</t>
  </si>
  <si>
    <t>Brokpa</t>
  </si>
  <si>
    <t>Kom</t>
  </si>
  <si>
    <t>Bella Coola</t>
  </si>
  <si>
    <t>Blablanga</t>
  </si>
  <si>
    <t>Wa</t>
  </si>
  <si>
    <t>Bolo</t>
  </si>
  <si>
    <t>Gura</t>
  </si>
  <si>
    <t>Baga Manduri</t>
  </si>
  <si>
    <t>Kim</t>
  </si>
  <si>
    <t>Bina</t>
  </si>
  <si>
    <t>Bulgebi</t>
  </si>
  <si>
    <t>Mao</t>
  </si>
  <si>
    <t>Muinane</t>
  </si>
  <si>
    <t>Benga</t>
  </si>
  <si>
    <t>Bierebo</t>
  </si>
  <si>
    <t>Bunun</t>
  </si>
  <si>
    <t>Bola</t>
  </si>
  <si>
    <t>Bonerif</t>
  </si>
  <si>
    <t>Beezen</t>
  </si>
  <si>
    <t>Bora</t>
  </si>
  <si>
    <t>Boni</t>
  </si>
  <si>
    <t>BarbareÃ±o</t>
  </si>
  <si>
    <t>Bonjo</t>
  </si>
  <si>
    <t>Tuwuli</t>
  </si>
  <si>
    <t>Bothar</t>
  </si>
  <si>
    <t>Bodo</t>
  </si>
  <si>
    <t>Warapu</t>
  </si>
  <si>
    <t>Bonggo</t>
  </si>
  <si>
    <t>Botlikh</t>
  </si>
  <si>
    <t>Bagupi</t>
  </si>
  <si>
    <t>Orowe</t>
  </si>
  <si>
    <t>Tchumbuli</t>
  </si>
  <si>
    <t>Bung</t>
  </si>
  <si>
    <t>Baima</t>
  </si>
  <si>
    <t>Bandial</t>
  </si>
  <si>
    <t>Bilakura</t>
  </si>
  <si>
    <t>Boguru</t>
  </si>
  <si>
    <t>Brao</t>
  </si>
  <si>
    <t>Palau</t>
  </si>
  <si>
    <t>Berbice Dutch Creole</t>
  </si>
  <si>
    <t>Breton</t>
  </si>
  <si>
    <t>Baure</t>
  </si>
  <si>
    <t>Brahui</t>
  </si>
  <si>
    <t>Bieria</t>
  </si>
  <si>
    <t>Birgid</t>
  </si>
  <si>
    <t>Boruca</t>
  </si>
  <si>
    <t>Brokkat</t>
  </si>
  <si>
    <t>Baras</t>
  </si>
  <si>
    <t>Chali</t>
  </si>
  <si>
    <t>Bru</t>
  </si>
  <si>
    <t>Bellari</t>
  </si>
  <si>
    <t>Kachari</t>
  </si>
  <si>
    <t>Mech</t>
  </si>
  <si>
    <t>Foya</t>
  </si>
  <si>
    <t>Bassari</t>
  </si>
  <si>
    <t>Bashkardi</t>
  </si>
  <si>
    <t>Kati</t>
  </si>
  <si>
    <t>Burushaski</t>
  </si>
  <si>
    <t>Baga Sitemu</t>
  </si>
  <si>
    <t>Bahonsuai</t>
  </si>
  <si>
    <t>Bayso</t>
  </si>
  <si>
    <t>Yangkam</t>
  </si>
  <si>
    <t>Bati</t>
  </si>
  <si>
    <t>Burate</t>
  </si>
  <si>
    <t>Budibud</t>
  </si>
  <si>
    <t>Batek</t>
  </si>
  <si>
    <t>Bateri</t>
  </si>
  <si>
    <t>Ngombe</t>
  </si>
  <si>
    <t>Busoa</t>
  </si>
  <si>
    <t>Mani</t>
  </si>
  <si>
    <t>Komi</t>
  </si>
  <si>
    <t>Boor</t>
  </si>
  <si>
    <t>Birri</t>
  </si>
  <si>
    <t>Baniva</t>
  </si>
  <si>
    <t>Bosilewa</t>
  </si>
  <si>
    <t>Bishuo</t>
  </si>
  <si>
    <t>Bwisi</t>
  </si>
  <si>
    <t>Belanda Bor</t>
  </si>
  <si>
    <t>Ongota</t>
  </si>
  <si>
    <t>Berakou</t>
  </si>
  <si>
    <t>Banka</t>
  </si>
  <si>
    <t>Bikya</t>
  </si>
  <si>
    <t>Baygo</t>
  </si>
  <si>
    <t>Basay</t>
  </si>
  <si>
    <t>Ketangalan</t>
  </si>
  <si>
    <t>Berti</t>
  </si>
  <si>
    <t>Andio</t>
  </si>
  <si>
    <t>Munji</t>
  </si>
  <si>
    <t>Babuza</t>
  </si>
  <si>
    <t>Taokas</t>
  </si>
  <si>
    <t>Bisu</t>
  </si>
  <si>
    <t>Lua</t>
  </si>
  <si>
    <t>Boano</t>
  </si>
  <si>
    <t>Island Carib</t>
  </si>
  <si>
    <t>Caddo</t>
  </si>
  <si>
    <t>NivaclÃ©</t>
  </si>
  <si>
    <t>ChÃ¡cobo</t>
  </si>
  <si>
    <t>Chipaya</t>
  </si>
  <si>
    <t>ChimanÃ©</t>
  </si>
  <si>
    <t>MosetÃ©n</t>
  </si>
  <si>
    <t>Algherese Catalan</t>
  </si>
  <si>
    <t>CavineÃ±a</t>
  </si>
  <si>
    <t>Callahuaya</t>
  </si>
  <si>
    <t>Canichana</t>
  </si>
  <si>
    <t>CabiyarÃ­</t>
  </si>
  <si>
    <t>Carijona</t>
  </si>
  <si>
    <t>Chimila</t>
  </si>
  <si>
    <t>Nyah Kur</t>
  </si>
  <si>
    <t>Cashibo-Cacataibo</t>
  </si>
  <si>
    <t>Chayahuita</t>
  </si>
  <si>
    <t>Candoshi</t>
  </si>
  <si>
    <t>Cacua</t>
  </si>
  <si>
    <t>Carabayo</t>
  </si>
  <si>
    <t>Chamicuro</t>
  </si>
  <si>
    <t>Dakka</t>
  </si>
  <si>
    <t>Kasanga</t>
  </si>
  <si>
    <t>Cacaopera</t>
  </si>
  <si>
    <t>Jone</t>
  </si>
  <si>
    <t>Chambeali</t>
  </si>
  <si>
    <t>Churahi</t>
  </si>
  <si>
    <t>Chepang</t>
  </si>
  <si>
    <t>Koda</t>
  </si>
  <si>
    <t>Kore</t>
  </si>
  <si>
    <t>Chamacoco</t>
  </si>
  <si>
    <t>Chara</t>
  </si>
  <si>
    <t>Chamorro</t>
  </si>
  <si>
    <t>Catawba</t>
  </si>
  <si>
    <t>Highland Chontal</t>
  </si>
  <si>
    <t>Chechen</t>
  </si>
  <si>
    <t>Cahuilla</t>
  </si>
  <si>
    <t>Chinook Jargon</t>
  </si>
  <si>
    <t>Chuvash</t>
  </si>
  <si>
    <t>Chantyal</t>
  </si>
  <si>
    <t>Chickasaw</t>
  </si>
  <si>
    <t>Kinnauri</t>
  </si>
  <si>
    <t>Cimbrian</t>
  </si>
  <si>
    <t>Cinta Larga</t>
  </si>
  <si>
    <t>Ojibwe</t>
  </si>
  <si>
    <t>Chru</t>
  </si>
  <si>
    <t>Chamalal</t>
  </si>
  <si>
    <t>CabÃ©car</t>
  </si>
  <si>
    <t>Shor</t>
  </si>
  <si>
    <t>Burgenland Croatian</t>
  </si>
  <si>
    <t>Chukchi</t>
  </si>
  <si>
    <t>Kavalan</t>
  </si>
  <si>
    <t>Chilcotin</t>
  </si>
  <si>
    <t>Chilisso</t>
  </si>
  <si>
    <t>Idu</t>
  </si>
  <si>
    <t>Klallam</t>
  </si>
  <si>
    <t>Ho</t>
  </si>
  <si>
    <t>Phnong</t>
  </si>
  <si>
    <t>CÃ´Ã´ng</t>
  </si>
  <si>
    <t>Lai</t>
  </si>
  <si>
    <t>Kami</t>
  </si>
  <si>
    <t>Koreguaje</t>
  </si>
  <si>
    <t>Tsafiki</t>
  </si>
  <si>
    <t>Chong</t>
  </si>
  <si>
    <t>Chuang</t>
  </si>
  <si>
    <t>Columbian</t>
  </si>
  <si>
    <t>Comanche</t>
  </si>
  <si>
    <t>Cornish</t>
  </si>
  <si>
    <t>Corsican</t>
  </si>
  <si>
    <t>Caquinte Campa</t>
  </si>
  <si>
    <t>Cowlitz</t>
  </si>
  <si>
    <t>Nanti</t>
  </si>
  <si>
    <t>Michif</t>
  </si>
  <si>
    <t>Crimean Turkish</t>
  </si>
  <si>
    <t>Plains Cree</t>
  </si>
  <si>
    <t>Crow</t>
  </si>
  <si>
    <t>Manjui</t>
  </si>
  <si>
    <t>Chrau</t>
  </si>
  <si>
    <t>Carrier</t>
  </si>
  <si>
    <t>Island Chumash</t>
  </si>
  <si>
    <t>Kashubian</t>
  </si>
  <si>
    <t>Slovincian</t>
  </si>
  <si>
    <t>Chang</t>
  </si>
  <si>
    <t>Hanis</t>
  </si>
  <si>
    <t>Chintang</t>
  </si>
  <si>
    <t>Cuiba</t>
  </si>
  <si>
    <t>CupeÃ±o</t>
  </si>
  <si>
    <t>Che Wong</t>
  </si>
  <si>
    <t>Kwatay</t>
  </si>
  <si>
    <t>Cayuvava</t>
  </si>
  <si>
    <t>Welsh</t>
  </si>
  <si>
    <t>Dakota</t>
  </si>
  <si>
    <t>Sioux</t>
  </si>
  <si>
    <t>Dahalo</t>
  </si>
  <si>
    <t>Kheng</t>
  </si>
  <si>
    <t>Dargwa</t>
  </si>
  <si>
    <t>Sila</t>
  </si>
  <si>
    <t>Dyirbal</t>
  </si>
  <si>
    <t>Duriankere</t>
  </si>
  <si>
    <t>Dulbu</t>
  </si>
  <si>
    <t>Dongotono</t>
  </si>
  <si>
    <t>Dondo</t>
  </si>
  <si>
    <t>Tsez</t>
  </si>
  <si>
    <t>Demisa</t>
  </si>
  <si>
    <t>Dari</t>
  </si>
  <si>
    <t>Deori</t>
  </si>
  <si>
    <t>Doga</t>
  </si>
  <si>
    <t>Dogrib</t>
  </si>
  <si>
    <t>Dhimal</t>
  </si>
  <si>
    <t>Dhaiso</t>
  </si>
  <si>
    <t>Segeju</t>
  </si>
  <si>
    <t>Dhurga</t>
  </si>
  <si>
    <t>Danuwar</t>
  </si>
  <si>
    <t>Ipai</t>
  </si>
  <si>
    <t>Dimbong</t>
  </si>
  <si>
    <t>Dilling</t>
  </si>
  <si>
    <t>Dimasa</t>
  </si>
  <si>
    <t>Mali</t>
  </si>
  <si>
    <t>Jaminjung</t>
  </si>
  <si>
    <t>Ngaliwuru</t>
  </si>
  <si>
    <t>Djinang</t>
  </si>
  <si>
    <t>Jawoyn</t>
  </si>
  <si>
    <t>Dolgan</t>
  </si>
  <si>
    <t>Domaaki</t>
  </si>
  <si>
    <t>Dameli</t>
  </si>
  <si>
    <t>Dampelas</t>
  </si>
  <si>
    <t>Dubu</t>
  </si>
  <si>
    <t>Mudburra</t>
  </si>
  <si>
    <t>Dungan</t>
  </si>
  <si>
    <t>Maiya</t>
  </si>
  <si>
    <t>Danaw</t>
  </si>
  <si>
    <t>DenÃ­</t>
  </si>
  <si>
    <t>Bussa</t>
  </si>
  <si>
    <t>Dair</t>
  </si>
  <si>
    <t>Darma</t>
  </si>
  <si>
    <t>Paakantyi</t>
  </si>
  <si>
    <t>Dura</t>
  </si>
  <si>
    <t>Rukai</t>
  </si>
  <si>
    <t>Darai</t>
  </si>
  <si>
    <t>Dusner</t>
  </si>
  <si>
    <t>Drubea</t>
  </si>
  <si>
    <t>Dumun</t>
  </si>
  <si>
    <t>Alabat Island Agta</t>
  </si>
  <si>
    <t>Dumi</t>
  </si>
  <si>
    <t>Duli</t>
  </si>
  <si>
    <t>Gey</t>
  </si>
  <si>
    <t>Yola</t>
  </si>
  <si>
    <t>Duguza</t>
  </si>
  <si>
    <t>Dzala</t>
  </si>
  <si>
    <t>Dzongkha</t>
  </si>
  <si>
    <t>Ega</t>
  </si>
  <si>
    <t>Ediamat</t>
  </si>
  <si>
    <t>El Hugeirat</t>
  </si>
  <si>
    <t>Eliri</t>
  </si>
  <si>
    <t>Nding</t>
  </si>
  <si>
    <t>Urum</t>
  </si>
  <si>
    <t>Elmolo</t>
  </si>
  <si>
    <t>Mewahang</t>
  </si>
  <si>
    <t>Mussau-Emira</t>
  </si>
  <si>
    <t>Eman</t>
  </si>
  <si>
    <t>Muya</t>
  </si>
  <si>
    <t>Emplawas</t>
  </si>
  <si>
    <t>En</t>
  </si>
  <si>
    <t>Nung Ven</t>
  </si>
  <si>
    <t>Lengua</t>
  </si>
  <si>
    <t>Enggano</t>
  </si>
  <si>
    <t>Eotile</t>
  </si>
  <si>
    <t>Ersu</t>
  </si>
  <si>
    <t>Erokwanas</t>
  </si>
  <si>
    <t>Basque</t>
  </si>
  <si>
    <t>Arman</t>
  </si>
  <si>
    <t>Khamnigan Mongol</t>
  </si>
  <si>
    <t>Solon</t>
  </si>
  <si>
    <t>Eyak</t>
  </si>
  <si>
    <t>Faghani</t>
  </si>
  <si>
    <t>Faita</t>
  </si>
  <si>
    <t>Faroese</t>
  </si>
  <si>
    <t>Paloor</t>
  </si>
  <si>
    <t>Fayu</t>
  </si>
  <si>
    <t>Feroge</t>
  </si>
  <si>
    <t>Fongoro</t>
  </si>
  <si>
    <t>Fiji</t>
  </si>
  <si>
    <t>Savo</t>
  </si>
  <si>
    <t>Kalispel</t>
  </si>
  <si>
    <t>Gondi</t>
  </si>
  <si>
    <t>Fania</t>
  </si>
  <si>
    <t>Siraiya</t>
  </si>
  <si>
    <t>Franc-Comtois</t>
  </si>
  <si>
    <t>Gallo</t>
  </si>
  <si>
    <t>Norman</t>
  </si>
  <si>
    <t>Molo</t>
  </si>
  <si>
    <t>Sera</t>
  </si>
  <si>
    <t>Faetar</t>
  </si>
  <si>
    <t>francoprovenÃ§al</t>
  </si>
  <si>
    <t>FrancoprovenÃ§al</t>
  </si>
  <si>
    <t>YatÃª</t>
  </si>
  <si>
    <t>Friulian</t>
  </si>
  <si>
    <t>Bororo</t>
  </si>
  <si>
    <t>FwÃ¢i</t>
  </si>
  <si>
    <t>Gadaba</t>
  </si>
  <si>
    <t>Karajarri</t>
  </si>
  <si>
    <t>Kadai</t>
  </si>
  <si>
    <t>Gutob</t>
  </si>
  <si>
    <t>Bharmauri</t>
  </si>
  <si>
    <t>Garhwali</t>
  </si>
  <si>
    <t>Muda</t>
  </si>
  <si>
    <t>Gaagudju</t>
  </si>
  <si>
    <t>Karbi</t>
  </si>
  <si>
    <t>Gajerrong</t>
  </si>
  <si>
    <t>Gadang</t>
  </si>
  <si>
    <t>Laal</t>
  </si>
  <si>
    <t>Godoberi</t>
  </si>
  <si>
    <t>Mehri</t>
  </si>
  <si>
    <t>Gebe</t>
  </si>
  <si>
    <t>Geme</t>
  </si>
  <si>
    <t>Gera</t>
  </si>
  <si>
    <t>Gao</t>
  </si>
  <si>
    <t>Ghadames</t>
  </si>
  <si>
    <t>Ghomara</t>
  </si>
  <si>
    <t>Kija</t>
  </si>
  <si>
    <t>Hinukh</t>
  </si>
  <si>
    <t>Gitksan</t>
  </si>
  <si>
    <t>Mulao</t>
  </si>
  <si>
    <t>Ndai</t>
  </si>
  <si>
    <t>Scottish Gaelic</t>
  </si>
  <si>
    <t>Kilen</t>
  </si>
  <si>
    <t>Kili</t>
  </si>
  <si>
    <t>Nanay</t>
  </si>
  <si>
    <t>Irish</t>
  </si>
  <si>
    <t>Manx</t>
  </si>
  <si>
    <t>Gule</t>
  </si>
  <si>
    <t>Gangte</t>
  </si>
  <si>
    <t>Gooniyandi</t>
  </si>
  <si>
    <t>ÇGana</t>
  </si>
  <si>
    <t>Gongduk</t>
  </si>
  <si>
    <t>Sene</t>
  </si>
  <si>
    <t>Gorap</t>
  </si>
  <si>
    <t>Goundo</t>
  </si>
  <si>
    <t>Taiap</t>
  </si>
  <si>
    <t>Guichong</t>
  </si>
  <si>
    <t>GuanÃ¡</t>
  </si>
  <si>
    <t>Kinikinau</t>
  </si>
  <si>
    <t>Gorovu</t>
  </si>
  <si>
    <t>Taznatit</t>
  </si>
  <si>
    <t>Garuwahi</t>
  </si>
  <si>
    <t>Gusilay</t>
  </si>
  <si>
    <t>Alemannic</t>
  </si>
  <si>
    <t>GuatÃ³</t>
  </si>
  <si>
    <t>Guajiro</t>
  </si>
  <si>
    <t>Gupapuyngu</t>
  </si>
  <si>
    <t>Sikuani</t>
  </si>
  <si>
    <t>Guambiano</t>
  </si>
  <si>
    <t>Guayabero</t>
  </si>
  <si>
    <t>Kunwinjku</t>
  </si>
  <si>
    <t>AchÃ©</t>
  </si>
  <si>
    <t>Guatuso</t>
  </si>
  <si>
    <t>Savi</t>
  </si>
  <si>
    <t>Duwet</t>
  </si>
  <si>
    <t>GuajÃ¡</t>
  </si>
  <si>
    <t>ZorÃ³</t>
  </si>
  <si>
    <t>GaviÃ£o do ParÃ¡</t>
  </si>
  <si>
    <t>Gurung</t>
  </si>
  <si>
    <t>Bashkarik</t>
  </si>
  <si>
    <t>Gweno</t>
  </si>
  <si>
    <t>Gowro</t>
  </si>
  <si>
    <t>Gawar-Bati</t>
  </si>
  <si>
    <t>Wunambal</t>
  </si>
  <si>
    <t>Kayardild</t>
  </si>
  <si>
    <t>Gyem</t>
  </si>
  <si>
    <t>Gyele</t>
  </si>
  <si>
    <t>Guarayu</t>
  </si>
  <si>
    <t>Gazi</t>
  </si>
  <si>
    <t>Hawrami</t>
  </si>
  <si>
    <t>Mansim</t>
  </si>
  <si>
    <t>Haisla</t>
  </si>
  <si>
    <t>Hawaiian</t>
  </si>
  <si>
    <t>Ebang</t>
  </si>
  <si>
    <t>Heiban</t>
  </si>
  <si>
    <t>Habu</t>
  </si>
  <si>
    <t>Huichol</t>
  </si>
  <si>
    <t>Helong</t>
  </si>
  <si>
    <t>Hidatsa</t>
  </si>
  <si>
    <t>Handuri</t>
  </si>
  <si>
    <t>Hijuk</t>
  </si>
  <si>
    <t>Kari</t>
  </si>
  <si>
    <t>Sarwa</t>
  </si>
  <si>
    <t>Tati</t>
  </si>
  <si>
    <t>Hiw</t>
  </si>
  <si>
    <t>HixkaryÃ¡na</t>
  </si>
  <si>
    <t>Hlersu</t>
  </si>
  <si>
    <t>Hmar</t>
  </si>
  <si>
    <t>ÇAni</t>
  </si>
  <si>
    <t>Hung</t>
  </si>
  <si>
    <t>Phong</t>
  </si>
  <si>
    <t>Pong</t>
  </si>
  <si>
    <t>Tum</t>
  </si>
  <si>
    <t>Hoava</t>
  </si>
  <si>
    <t>Mari</t>
  </si>
  <si>
    <t>Holikachuk</t>
  </si>
  <si>
    <t>Homa</t>
  </si>
  <si>
    <t>Hopi</t>
  </si>
  <si>
    <t>Horo</t>
  </si>
  <si>
    <t>Hozo</t>
  </si>
  <si>
    <t>Hpun</t>
  </si>
  <si>
    <t>Hrangkhol</t>
  </si>
  <si>
    <t>HÃ©rtevin</t>
  </si>
  <si>
    <t>Harsusi</t>
  </si>
  <si>
    <t>Hoti</t>
  </si>
  <si>
    <t>Hadza</t>
  </si>
  <si>
    <t>Hulung</t>
  </si>
  <si>
    <t>Angku</t>
  </si>
  <si>
    <t>Hu</t>
  </si>
  <si>
    <t>Hupa</t>
  </si>
  <si>
    <t>Utsat</t>
  </si>
  <si>
    <t>Halkomelem</t>
  </si>
  <si>
    <t>Kham</t>
  </si>
  <si>
    <t>Hukumina</t>
  </si>
  <si>
    <t>Palumata</t>
  </si>
  <si>
    <t>Hunzib</t>
  </si>
  <si>
    <t>Hya</t>
  </si>
  <si>
    <t>Maung</t>
  </si>
  <si>
    <t>Iwaidja</t>
  </si>
  <si>
    <t>Ibu</t>
  </si>
  <si>
    <t>Indri</t>
  </si>
  <si>
    <t>Ifo</t>
  </si>
  <si>
    <t>Mojo</t>
  </si>
  <si>
    <t>Rigolet Inuktitut</t>
  </si>
  <si>
    <t>Inuinnaqtun</t>
  </si>
  <si>
    <t>Natsilingmiutut</t>
  </si>
  <si>
    <t>Siglitun</t>
  </si>
  <si>
    <t>Ik</t>
  </si>
  <si>
    <t>Ili Turk</t>
  </si>
  <si>
    <t>Ilue</t>
  </si>
  <si>
    <t>Inga</t>
  </si>
  <si>
    <t>Ingalik</t>
  </si>
  <si>
    <t>Ingush</t>
  </si>
  <si>
    <t>IÃ±apari</t>
  </si>
  <si>
    <t>IneseÃ±o</t>
  </si>
  <si>
    <t>Chiwere</t>
  </si>
  <si>
    <t>Iquito</t>
  </si>
  <si>
    <t>Iresim</t>
  </si>
  <si>
    <t>Iranxe</t>
  </si>
  <si>
    <t>Myky</t>
  </si>
  <si>
    <t>Irula</t>
  </si>
  <si>
    <t>Ishkashimi</t>
  </si>
  <si>
    <t>Istriot</t>
  </si>
  <si>
    <t>Isu</t>
  </si>
  <si>
    <t>MorÃ©</t>
  </si>
  <si>
    <t>Itelmen</t>
  </si>
  <si>
    <t>Itonama</t>
  </si>
  <si>
    <t>Iteri</t>
  </si>
  <si>
    <t>Laro</t>
  </si>
  <si>
    <t>Itik</t>
  </si>
  <si>
    <t>Ixcatec</t>
  </si>
  <si>
    <t>Ingrian</t>
  </si>
  <si>
    <t>JamamadÃ­</t>
  </si>
  <si>
    <t>Jah Hut</t>
  </si>
  <si>
    <t>Zazao</t>
  </si>
  <si>
    <t>Orang Hulu</t>
  </si>
  <si>
    <t>Limonese Creole</t>
  </si>
  <si>
    <t>Patua</t>
  </si>
  <si>
    <t>Yanyuwa</t>
  </si>
  <si>
    <t>Yan-nhangu</t>
  </si>
  <si>
    <t>Jawe</t>
  </si>
  <si>
    <t>Nafusi</t>
  </si>
  <si>
    <t>Jad</t>
  </si>
  <si>
    <t>Jebero</t>
  </si>
  <si>
    <t>Jonkor Bourmataguil</t>
  </si>
  <si>
    <t>Ngbee</t>
  </si>
  <si>
    <t>Jahai</t>
  </si>
  <si>
    <t>Tol</t>
  </si>
  <si>
    <t>Jilbe</t>
  </si>
  <si>
    <t>Jingulu</t>
  </si>
  <si>
    <t>Jeju</t>
  </si>
  <si>
    <t>Koro</t>
  </si>
  <si>
    <t>Ngile</t>
  </si>
  <si>
    <t>Kamara</t>
  </si>
  <si>
    <t>Mara</t>
  </si>
  <si>
    <t>Jangshung</t>
  </si>
  <si>
    <t>Toba</t>
  </si>
  <si>
    <t>Yem</t>
  </si>
  <si>
    <t>Raji</t>
  </si>
  <si>
    <t>Jaunsari</t>
  </si>
  <si>
    <t>JorÃ¡</t>
  </si>
  <si>
    <t>Dzhidi</t>
  </si>
  <si>
    <t>Jaqaru</t>
  </si>
  <si>
    <t>Jirel</t>
  </si>
  <si>
    <t>Juang</t>
  </si>
  <si>
    <t>Jaya</t>
  </si>
  <si>
    <t>Gazhuo</t>
  </si>
  <si>
    <t>East Greenlandic</t>
  </si>
  <si>
    <t>North Greenlandic</t>
  </si>
  <si>
    <t>West Greenlandic</t>
  </si>
  <si>
    <t>Bezhta</t>
  </si>
  <si>
    <t>Capanahua</t>
  </si>
  <si>
    <t>Kao</t>
  </si>
  <si>
    <t>KamaiurÃ¡</t>
  </si>
  <si>
    <t>KadiwÃ©u</t>
  </si>
  <si>
    <t>Khamba</t>
  </si>
  <si>
    <t>CamsÃ¡</t>
  </si>
  <si>
    <t>Sobei</t>
  </si>
  <si>
    <t>Kaande</t>
  </si>
  <si>
    <t>Kaiep</t>
  </si>
  <si>
    <t>Cobiana</t>
  </si>
  <si>
    <t>Kanga</t>
  </si>
  <si>
    <t>Katla</t>
  </si>
  <si>
    <t>Korandje</t>
  </si>
  <si>
    <t>Yankunytjatjara</t>
  </si>
  <si>
    <t>Napore</t>
  </si>
  <si>
    <t>Gong</t>
  </si>
  <si>
    <t>Koch</t>
  </si>
  <si>
    <t>Kuay</t>
  </si>
  <si>
    <t>Kui</t>
  </si>
  <si>
    <t>Kadaru</t>
  </si>
  <si>
    <t>Koneraw</t>
  </si>
  <si>
    <t>Keder</t>
  </si>
  <si>
    <t>Keiga</t>
  </si>
  <si>
    <t>Rio Grande Keresan</t>
  </si>
  <si>
    <t>Tese</t>
  </si>
  <si>
    <t>Ket</t>
  </si>
  <si>
    <t>Kodagu</t>
  </si>
  <si>
    <t>Kolami</t>
  </si>
  <si>
    <t>Konda</t>
  </si>
  <si>
    <t>Kota</t>
  </si>
  <si>
    <t>Kuruba</t>
  </si>
  <si>
    <t>Kung</t>
  </si>
  <si>
    <t>Khunsari</t>
  </si>
  <si>
    <t>Kuk</t>
  </si>
  <si>
    <t>Korwa</t>
  </si>
  <si>
    <t>Korku</t>
  </si>
  <si>
    <t>Kului</t>
  </si>
  <si>
    <t>Kumaoni</t>
  </si>
  <si>
    <t>Kusunda</t>
  </si>
  <si>
    <t>Karipuna do AmapÃ¡</t>
  </si>
  <si>
    <t>Krongo</t>
  </si>
  <si>
    <t>Kaingang</t>
  </si>
  <si>
    <t>Somyev</t>
  </si>
  <si>
    <t>Karas</t>
  </si>
  <si>
    <t>Kapori</t>
  </si>
  <si>
    <t>Kharia</t>
  </si>
  <si>
    <t>Khampti</t>
  </si>
  <si>
    <t>Inkhokvari</t>
  </si>
  <si>
    <t>Khvarshi</t>
  </si>
  <si>
    <t>Khowar</t>
  </si>
  <si>
    <t>Kamas</t>
  </si>
  <si>
    <t>Tofa</t>
  </si>
  <si>
    <t>Kiowa</t>
  </si>
  <si>
    <t>Zazaki</t>
  </si>
  <si>
    <t>Khiamngan</t>
  </si>
  <si>
    <t>Kwansu</t>
  </si>
  <si>
    <t>Khakas</t>
  </si>
  <si>
    <t>Manchurian Kirghiz</t>
  </si>
  <si>
    <t>Khinalug</t>
  </si>
  <si>
    <t>Kunjen</t>
  </si>
  <si>
    <t>Acoma-Laguna</t>
  </si>
  <si>
    <t>Kashaya</t>
  </si>
  <si>
    <t>Bumthang</t>
  </si>
  <si>
    <t>Ura</t>
  </si>
  <si>
    <t>Kwerisa</t>
  </si>
  <si>
    <t>Kalamo</t>
  </si>
  <si>
    <t>Kokota</t>
  </si>
  <si>
    <t>Kiong</t>
  </si>
  <si>
    <t>Kohi</t>
  </si>
  <si>
    <t>Guugu Yimidhirr</t>
  </si>
  <si>
    <t>Kaska</t>
  </si>
  <si>
    <t>Klamath-Modoc</t>
  </si>
  <si>
    <t>Kiliwa</t>
  </si>
  <si>
    <t>Gamilaraay</t>
  </si>
  <si>
    <t>Kendeje</t>
  </si>
  <si>
    <t>Khalaj</t>
  </si>
  <si>
    <t>Kamasa</t>
  </si>
  <si>
    <t>Khaling</t>
  </si>
  <si>
    <t>Kalasha</t>
  </si>
  <si>
    <t>Kalao</t>
  </si>
  <si>
    <t>Konni</t>
  </si>
  <si>
    <t>Bakole</t>
  </si>
  <si>
    <t>Malto</t>
  </si>
  <si>
    <t>Kwama</t>
  </si>
  <si>
    <t>Komo</t>
  </si>
  <si>
    <t>Mancagne</t>
  </si>
  <si>
    <t>Congo</t>
  </si>
  <si>
    <t>Maniq</t>
  </si>
  <si>
    <t>Kaningara</t>
  </si>
  <si>
    <t>Menik</t>
  </si>
  <si>
    <t>Katukina do Acre</t>
  </si>
  <si>
    <t>Kogui</t>
  </si>
  <si>
    <t>Permyak</t>
  </si>
  <si>
    <t>Kosraean</t>
  </si>
  <si>
    <t>Koke</t>
  </si>
  <si>
    <t>Kudu-Camo</t>
  </si>
  <si>
    <t>Koyukon</t>
  </si>
  <si>
    <t>Kapingamarangi</t>
  </si>
  <si>
    <t>Kofei</t>
  </si>
  <si>
    <t>JavaÃ©</t>
  </si>
  <si>
    <t>KarajÃ¡</t>
  </si>
  <si>
    <t>XambioÃ¡</t>
  </si>
  <si>
    <t>Karata</t>
  </si>
  <si>
    <t>Koryak</t>
  </si>
  <si>
    <t>Koitabu</t>
  </si>
  <si>
    <t>Krenak</t>
  </si>
  <si>
    <t>!Gan!ne</t>
  </si>
  <si>
    <t>Kandas</t>
  </si>
  <si>
    <t>Korana</t>
  </si>
  <si>
    <t>Karachay-Balkar</t>
  </si>
  <si>
    <t>Kairui-Midiki</t>
  </si>
  <si>
    <t>PanarÃ¡</t>
  </si>
  <si>
    <t>Kerek</t>
  </si>
  <si>
    <t>Kravet</t>
  </si>
  <si>
    <t>Karone</t>
  </si>
  <si>
    <t>Kryz</t>
  </si>
  <si>
    <t>Kansa</t>
  </si>
  <si>
    <t>Tai Nora</t>
  </si>
  <si>
    <t>Kaniet</t>
  </si>
  <si>
    <t>Kuot</t>
  </si>
  <si>
    <t>Kadu</t>
  </si>
  <si>
    <t>Kato</t>
  </si>
  <si>
    <t>Triw</t>
  </si>
  <si>
    <t>Kalapalo</t>
  </si>
  <si>
    <t>Kumyk</t>
  </si>
  <si>
    <t>Karipuna</t>
  </si>
  <si>
    <t>Kutenai</t>
  </si>
  <si>
    <t>Kukatja</t>
  </si>
  <si>
    <t>AtacameÃ±o</t>
  </si>
  <si>
    <t>Bagvalal</t>
  </si>
  <si>
    <t>Kendem</t>
  </si>
  <si>
    <t>DÃ¢w</t>
  </si>
  <si>
    <t>Kowiai</t>
  </si>
  <si>
    <t>Awapit</t>
  </si>
  <si>
    <t>Na</t>
  </si>
  <si>
    <t>Kwadi</t>
  </si>
  <si>
    <t>Kulfa</t>
  </si>
  <si>
    <t>Kanowit</t>
  </si>
  <si>
    <t>KanoÃª</t>
  </si>
  <si>
    <t>Kangjia</t>
  </si>
  <si>
    <t>Kuvi</t>
  </si>
  <si>
    <t>Karuk</t>
  </si>
  <si>
    <t>KuruÃ¡ya</t>
  </si>
  <si>
    <t>Kaibobo</t>
  </si>
  <si>
    <t>Kazukuru</t>
  </si>
  <si>
    <t>Kayeli</t>
  </si>
  <si>
    <t>Liliali</t>
  </si>
  <si>
    <t>Kaike</t>
  </si>
  <si>
    <t>Kayupulau</t>
  </si>
  <si>
    <t>Kamarian</t>
  </si>
  <si>
    <t>LacandÃ³n</t>
  </si>
  <si>
    <t>Manchad</t>
  </si>
  <si>
    <t>Lafofa</t>
  </si>
  <si>
    <t>Laru</t>
  </si>
  <si>
    <t>Pupeo</t>
  </si>
  <si>
    <t>Lauje</t>
  </si>
  <si>
    <t>Tiwa</t>
  </si>
  <si>
    <t>Aribwatsa</t>
  </si>
  <si>
    <t>Lae</t>
  </si>
  <si>
    <t>Lajia</t>
  </si>
  <si>
    <t>Lak</t>
  </si>
  <si>
    <t>Ladakhi</t>
  </si>
  <si>
    <t>Lohorung</t>
  </si>
  <si>
    <t>Lachi</t>
  </si>
  <si>
    <t>Laji</t>
  </si>
  <si>
    <t>Labo</t>
  </si>
  <si>
    <t>Lardil</t>
  </si>
  <si>
    <t>Legenyem</t>
  </si>
  <si>
    <t>Lola</t>
  </si>
  <si>
    <t>Lisela</t>
  </si>
  <si>
    <t>Lavua</t>
  </si>
  <si>
    <t>Piru</t>
  </si>
  <si>
    <t>Santa</t>
  </si>
  <si>
    <t>Lari</t>
  </si>
  <si>
    <t>Leco</t>
  </si>
  <si>
    <t>Lenca</t>
  </si>
  <si>
    <t>Taa</t>
  </si>
  <si>
    <t>Lemolang</t>
  </si>
  <si>
    <t>Lezgian</t>
  </si>
  <si>
    <t>Laghu</t>
  </si>
  <si>
    <t>Laghuu</t>
  </si>
  <si>
    <t>Lengilu</t>
  </si>
  <si>
    <t>Langa</t>
  </si>
  <si>
    <t>Opuuo</t>
  </si>
  <si>
    <t>Lhokpu</t>
  </si>
  <si>
    <t>Likum</t>
  </si>
  <si>
    <t>Ligurian</t>
  </si>
  <si>
    <t>Lillooet</t>
  </si>
  <si>
    <t>Liki</t>
  </si>
  <si>
    <t>Logorik</t>
  </si>
  <si>
    <t>Livonian</t>
  </si>
  <si>
    <t>Laiyolo</t>
  </si>
  <si>
    <t>Lakha</t>
  </si>
  <si>
    <t>Lakon</t>
  </si>
  <si>
    <t>Lakota</t>
  </si>
  <si>
    <t>Ladin</t>
  </si>
  <si>
    <t>Hermit</t>
  </si>
  <si>
    <t>Lamu</t>
  </si>
  <si>
    <t>Lolak</t>
  </si>
  <si>
    <t>Lumun</t>
  </si>
  <si>
    <t>Lamgang</t>
  </si>
  <si>
    <t>Lombard</t>
  </si>
  <si>
    <t>Lanoh</t>
  </si>
  <si>
    <t>Lorediakarkar</t>
  </si>
  <si>
    <t>Saluan</t>
  </si>
  <si>
    <t>Logol</t>
  </si>
  <si>
    <t>Narim</t>
  </si>
  <si>
    <t>Loun</t>
  </si>
  <si>
    <t>Yamphu</t>
  </si>
  <si>
    <t>Lemerig</t>
  </si>
  <si>
    <t>Lishpa</t>
  </si>
  <si>
    <t>Latgalian</t>
  </si>
  <si>
    <t>Moselle Franconian</t>
  </si>
  <si>
    <t>Transylvanian Saxon</t>
  </si>
  <si>
    <t>Laua</t>
  </si>
  <si>
    <t>LuiseÃ±o</t>
  </si>
  <si>
    <t>Mizo</t>
  </si>
  <si>
    <t>Lushootseed</t>
  </si>
  <si>
    <t>Swoeng</t>
  </si>
  <si>
    <t>Naman</t>
  </si>
  <si>
    <t>Laz</t>
  </si>
  <si>
    <t>Sampang</t>
  </si>
  <si>
    <t>Lowland Mazatec</t>
  </si>
  <si>
    <t>Matlatzinca</t>
  </si>
  <si>
    <t>Highland Mazatec</t>
  </si>
  <si>
    <t>MawÃ©</t>
  </si>
  <si>
    <t>Molala</t>
  </si>
  <si>
    <t>NadÃ«b</t>
  </si>
  <si>
    <t>Jitnu</t>
  </si>
  <si>
    <t>Damana</t>
  </si>
  <si>
    <t>Nukak</t>
  </si>
  <si>
    <t>Maring</t>
  </si>
  <si>
    <t>MakÃ¡</t>
  </si>
  <si>
    <t>Machiguenga</t>
  </si>
  <si>
    <t>Sharanahua</t>
  </si>
  <si>
    <t>Wanai</t>
  </si>
  <si>
    <t>Mvanip</t>
  </si>
  <si>
    <t>Macaguaje</t>
  </si>
  <si>
    <t>Kristang</t>
  </si>
  <si>
    <t>Mambai</t>
  </si>
  <si>
    <t>Moksha</t>
  </si>
  <si>
    <t>Massalat</t>
  </si>
  <si>
    <t>Mangarla</t>
  </si>
  <si>
    <t>Miriwoong</t>
  </si>
  <si>
    <t>Menominee</t>
  </si>
  <si>
    <t>Lom</t>
  </si>
  <si>
    <t>Marrithiyel</t>
  </si>
  <si>
    <t>Mulaha</t>
  </si>
  <si>
    <t>Mayo</t>
  </si>
  <si>
    <t>Morokodo</t>
  </si>
  <si>
    <t>Magar</t>
  </si>
  <si>
    <t>Mahongwe</t>
  </si>
  <si>
    <t>Mah Meri</t>
  </si>
  <si>
    <t>Marrgu</t>
  </si>
  <si>
    <t>Moghol</t>
  </si>
  <si>
    <t>Mandan</t>
  </si>
  <si>
    <t>Eastern Mari</t>
  </si>
  <si>
    <t>Mor</t>
  </si>
  <si>
    <t>Miami-Illinois</t>
  </si>
  <si>
    <t>Mikasuki</t>
  </si>
  <si>
    <t>Konkow</t>
  </si>
  <si>
    <t>Wutun</t>
  </si>
  <si>
    <t>Mawak</t>
  </si>
  <si>
    <t>Mandeali</t>
  </si>
  <si>
    <t>Majhi</t>
  </si>
  <si>
    <t>Mak</t>
  </si>
  <si>
    <t>Mokilese</t>
  </si>
  <si>
    <t>Moklen</t>
  </si>
  <si>
    <t>Mafea</t>
  </si>
  <si>
    <t>Miltu</t>
  </si>
  <si>
    <t>Mulam</t>
  </si>
  <si>
    <t>Mlomp</t>
  </si>
  <si>
    <t>Volow</t>
  </si>
  <si>
    <t>Taman</t>
  </si>
  <si>
    <t>Maonan</t>
  </si>
  <si>
    <t>MehinÃ¡ku</t>
  </si>
  <si>
    <t>Musan</t>
  </si>
  <si>
    <t>BanÃ­wa do IÃ§ana</t>
  </si>
  <si>
    <t>Emae</t>
  </si>
  <si>
    <t>Mono</t>
  </si>
  <si>
    <t>Meithei</t>
  </si>
  <si>
    <t>Malmariv</t>
  </si>
  <si>
    <t>Eastern Mansi</t>
  </si>
  <si>
    <t>Northern Mansi</t>
  </si>
  <si>
    <t>Western Mansi</t>
  </si>
  <si>
    <t>Mon</t>
  </si>
  <si>
    <t>MocovÃ­</t>
  </si>
  <si>
    <t>Eastern Montagnais</t>
  </si>
  <si>
    <t>Western Montagnais</t>
  </si>
  <si>
    <t>Moraori</t>
  </si>
  <si>
    <t>Chorotega</t>
  </si>
  <si>
    <t>BarÃ­</t>
  </si>
  <si>
    <t>Malak Malak</t>
  </si>
  <si>
    <t>Mangarrayi</t>
  </si>
  <si>
    <t>Martuwangka</t>
  </si>
  <si>
    <t>Mbara</t>
  </si>
  <si>
    <t>Mindiri</t>
  </si>
  <si>
    <t>MatÃ­s</t>
  </si>
  <si>
    <t>Mpi</t>
  </si>
  <si>
    <t>Momuna</t>
  </si>
  <si>
    <t>Mander</t>
  </si>
  <si>
    <t>Mundari</t>
  </si>
  <si>
    <t>Mosimo</t>
  </si>
  <si>
    <t>Mlabri</t>
  </si>
  <si>
    <t>Maricopa</t>
  </si>
  <si>
    <t>Mising</t>
  </si>
  <si>
    <t>Maram</t>
  </si>
  <si>
    <t>Maori</t>
  </si>
  <si>
    <t>Western Mari</t>
  </si>
  <si>
    <t>Mortlockese</t>
  </si>
  <si>
    <t>Mru</t>
  </si>
  <si>
    <t>Maragus</t>
  </si>
  <si>
    <t>Tape</t>
  </si>
  <si>
    <t>Mangareva</t>
  </si>
  <si>
    <t>Maremgi</t>
  </si>
  <si>
    <t>Mwesen</t>
  </si>
  <si>
    <t>Caac</t>
  </si>
  <si>
    <t>Musom</t>
  </si>
  <si>
    <t>Maslam</t>
  </si>
  <si>
    <t>Murik</t>
  </si>
  <si>
    <t>Matagalpa</t>
  </si>
  <si>
    <t>Mixteco de Villa de Tututepec</t>
  </si>
  <si>
    <t>Copper Island Aleut</t>
  </si>
  <si>
    <t>Creek</t>
  </si>
  <si>
    <t>Yaaku</t>
  </si>
  <si>
    <t>Mursi</t>
  </si>
  <si>
    <t>Mattole</t>
  </si>
  <si>
    <t>Ordos</t>
  </si>
  <si>
    <t>Miyako</t>
  </si>
  <si>
    <t>Moere</t>
  </si>
  <si>
    <t>Massep</t>
  </si>
  <si>
    <t>Mwatebu</t>
  </si>
  <si>
    <t>Miji</t>
  </si>
  <si>
    <t>Miju</t>
  </si>
  <si>
    <t>Dorro</t>
  </si>
  <si>
    <t>Yaw</t>
  </si>
  <si>
    <t>Bambassi</t>
  </si>
  <si>
    <t>Makah</t>
  </si>
  <si>
    <t>Buga</t>
  </si>
  <si>
    <t>Anfillo</t>
  </si>
  <si>
    <t>MÃºra</t>
  </si>
  <si>
    <t>PirahÃ£</t>
  </si>
  <si>
    <t>Munichi</t>
  </si>
  <si>
    <t>MundurukÃº</t>
  </si>
  <si>
    <t>Erzya</t>
  </si>
  <si>
    <t>Matipu</t>
  </si>
  <si>
    <t>Nahukwa</t>
  </si>
  <si>
    <t>Movima</t>
  </si>
  <si>
    <t>Nalu</t>
  </si>
  <si>
    <t>Nauru</t>
  </si>
  <si>
    <t>Nauruan</t>
  </si>
  <si>
    <t>Navajo</t>
  </si>
  <si>
    <t>Ngbinda</t>
  </si>
  <si>
    <t>Konyak</t>
  </si>
  <si>
    <t>Sowa</t>
  </si>
  <si>
    <t>Ngarinman</t>
  </si>
  <si>
    <t>Kabui</t>
  </si>
  <si>
    <t>Nruanghmei</t>
  </si>
  <si>
    <t>Nachiring</t>
  </si>
  <si>
    <t>Nakkara</t>
  </si>
  <si>
    <t>Nauna</t>
  </si>
  <si>
    <t>Sibe</t>
  </si>
  <si>
    <t>Chawte</t>
  </si>
  <si>
    <t>Natchez</t>
  </si>
  <si>
    <t>Kumak</t>
  </si>
  <si>
    <t>Negidal</t>
  </si>
  <si>
    <t>Nyenkha</t>
  </si>
  <si>
    <t>Neku</t>
  </si>
  <si>
    <t>Nemi</t>
  </si>
  <si>
    <t>Newar</t>
  </si>
  <si>
    <t>Nez Perce</t>
  </si>
  <si>
    <t>Ngalkbun</t>
  </si>
  <si>
    <t>Nagumi</t>
  </si>
  <si>
    <t>Ngong</t>
  </si>
  <si>
    <t>Ngwaba</t>
  </si>
  <si>
    <t>Nahali</t>
  </si>
  <si>
    <t>Ngandi</t>
  </si>
  <si>
    <t>Ngalakan</t>
  </si>
  <si>
    <t>Nganasan</t>
  </si>
  <si>
    <t>Naiki</t>
  </si>
  <si>
    <t>Niue</t>
  </si>
  <si>
    <t>Niuean</t>
  </si>
  <si>
    <t>Nocte</t>
  </si>
  <si>
    <t>Lhota</t>
  </si>
  <si>
    <t>Njalgulgule</t>
  </si>
  <si>
    <t>Angami</t>
  </si>
  <si>
    <t>Liangmai</t>
  </si>
  <si>
    <t>Ao</t>
  </si>
  <si>
    <t>Njerep</t>
  </si>
  <si>
    <t>Bangni</t>
  </si>
  <si>
    <t>Nyishi</t>
  </si>
  <si>
    <t>Koireng</t>
  </si>
  <si>
    <t>Khoirao</t>
  </si>
  <si>
    <t>Nukuoro</t>
  </si>
  <si>
    <t>Ningalami</t>
  </si>
  <si>
    <t>Nihali</t>
  </si>
  <si>
    <t>Nyamal</t>
  </si>
  <si>
    <t>Mzieme</t>
  </si>
  <si>
    <t>Tangkhul</t>
  </si>
  <si>
    <t>Nyishangba</t>
  </si>
  <si>
    <t>Moyon</t>
  </si>
  <si>
    <t>Namonuito</t>
  </si>
  <si>
    <t>Maidu</t>
  </si>
  <si>
    <t>Namuyi</t>
  </si>
  <si>
    <t>Nyangumarta</t>
  </si>
  <si>
    <t>Nemadi</t>
  </si>
  <si>
    <t>Yurt Tatar</t>
  </si>
  <si>
    <t>Nonuya</t>
  </si>
  <si>
    <t>Nooksack</t>
  </si>
  <si>
    <t>Nomatsiguenga</t>
  </si>
  <si>
    <t>Noy</t>
  </si>
  <si>
    <t>Nayi</t>
  </si>
  <si>
    <t>Nupbikha</t>
  </si>
  <si>
    <t>Phom</t>
  </si>
  <si>
    <t>Pochuri</t>
  </si>
  <si>
    <t>Napu</t>
  </si>
  <si>
    <t>Rengma</t>
  </si>
  <si>
    <t>Guernsey French</t>
  </si>
  <si>
    <t>Jersey French</t>
  </si>
  <si>
    <t>Chokri</t>
  </si>
  <si>
    <t>Ngarla</t>
  </si>
  <si>
    <t>Ngarluma</t>
  </si>
  <si>
    <t>Sangtam</t>
  </si>
  <si>
    <t>Ongamo</t>
  </si>
  <si>
    <t>Naskapi</t>
  </si>
  <si>
    <t>Simi</t>
  </si>
  <si>
    <t>Tangsa</t>
  </si>
  <si>
    <t>Yasa</t>
  </si>
  <si>
    <t>Nisenan</t>
  </si>
  <si>
    <t>Ngaanyatjarra</t>
  </si>
  <si>
    <t>Natanzi</t>
  </si>
  <si>
    <t>Ndunda</t>
  </si>
  <si>
    <t>Nootka</t>
  </si>
  <si>
    <t>Nusa Laut</t>
  </si>
  <si>
    <t>Nunggubuyu</t>
  </si>
  <si>
    <t>Nasarian</t>
  </si>
  <si>
    <t>Naueti</t>
  </si>
  <si>
    <t>Nyikina</t>
  </si>
  <si>
    <t>Nayini</t>
  </si>
  <si>
    <t>Zeme</t>
  </si>
  <si>
    <t>Orok</t>
  </si>
  <si>
    <t>Oroch</t>
  </si>
  <si>
    <t>Tazy</t>
  </si>
  <si>
    <t>ObispeÃ±o</t>
  </si>
  <si>
    <t>Alpine ProvenÃ§al</t>
  </si>
  <si>
    <t>Auvergnat</t>
  </si>
  <si>
    <t>Gascon</t>
  </si>
  <si>
    <t>Limousin</t>
  </si>
  <si>
    <t>ProvenÃ§al</t>
  </si>
  <si>
    <t>Tlahuica</t>
  </si>
  <si>
    <t>Odut</t>
  </si>
  <si>
    <t>Oirata</t>
  </si>
  <si>
    <t>Central Ojibwe</t>
  </si>
  <si>
    <t>Oji-Cree</t>
  </si>
  <si>
    <t>Saulteau</t>
  </si>
  <si>
    <t>Kinare</t>
  </si>
  <si>
    <t>Sogoo</t>
  </si>
  <si>
    <t>Uru</t>
  </si>
  <si>
    <t>Olonetsian</t>
  </si>
  <si>
    <t>Olrat</t>
  </si>
  <si>
    <t>Omaha-Ponca</t>
  </si>
  <si>
    <t>Omotik</t>
  </si>
  <si>
    <t>Ona</t>
  </si>
  <si>
    <t>Onin</t>
  </si>
  <si>
    <t>Sepa</t>
  </si>
  <si>
    <t>Onjab</t>
  </si>
  <si>
    <t>OfayÃ©</t>
  </si>
  <si>
    <t>Oroha</t>
  </si>
  <si>
    <t>OrejÃ³n</t>
  </si>
  <si>
    <t>Orang Kanaq</t>
  </si>
  <si>
    <t>Orang Seletar</t>
  </si>
  <si>
    <t>Ormuri</t>
  </si>
  <si>
    <t>Oro Win</t>
  </si>
  <si>
    <t>Ormu</t>
  </si>
  <si>
    <t>Ossete</t>
  </si>
  <si>
    <t>Otoro</t>
  </si>
  <si>
    <t>Tagargrent</t>
  </si>
  <si>
    <t>Ubi</t>
  </si>
  <si>
    <t>Ouma</t>
  </si>
  <si>
    <t>Oyda</t>
  </si>
  <si>
    <t>WajÃ£pi</t>
  </si>
  <si>
    <t>PaumarÃ­</t>
  </si>
  <si>
    <t>DiahÃ³i</t>
  </si>
  <si>
    <t>Tenharim</t>
  </si>
  <si>
    <t>Parya</t>
  </si>
  <si>
    <t>Panamint</t>
  </si>
  <si>
    <t>Pawnee</t>
  </si>
  <si>
    <t>Pech</t>
  </si>
  <si>
    <t>PÃ¡ez</t>
  </si>
  <si>
    <t>Panare</t>
  </si>
  <si>
    <t>Pyu</t>
  </si>
  <si>
    <t>Pear</t>
  </si>
  <si>
    <t>Picard</t>
  </si>
  <si>
    <t>Pale</t>
  </si>
  <si>
    <t>Gorum</t>
  </si>
  <si>
    <t>Paite</t>
  </si>
  <si>
    <t>Pacahuara</t>
  </si>
  <si>
    <t>Padoe</t>
  </si>
  <si>
    <t>Plautdietsch</t>
  </si>
  <si>
    <t>Taje</t>
  </si>
  <si>
    <t>Bonan</t>
  </si>
  <si>
    <t>Chichimec</t>
  </si>
  <si>
    <t>PÃ©mono</t>
  </si>
  <si>
    <t>Tai Phake</t>
  </si>
  <si>
    <t>Phalura</t>
  </si>
  <si>
    <t>Phunoi</t>
  </si>
  <si>
    <t>Yine</t>
  </si>
  <si>
    <t>Pingelapese</t>
  </si>
  <si>
    <t>Pijao</t>
  </si>
  <si>
    <t>Piapoko</t>
  </si>
  <si>
    <t>Pintupi</t>
  </si>
  <si>
    <t>Piu</t>
  </si>
  <si>
    <t>Pije</t>
  </si>
  <si>
    <t>Pitjantjatjara</t>
  </si>
  <si>
    <t>Pukapukan</t>
  </si>
  <si>
    <t>Maleng</t>
  </si>
  <si>
    <t>PilagÃ¡</t>
  </si>
  <si>
    <t>Paulohi</t>
  </si>
  <si>
    <t>Piedmontese</t>
  </si>
  <si>
    <t>Tuamotuan</t>
  </si>
  <si>
    <t>Penrhyn</t>
  </si>
  <si>
    <t>Paunaca</t>
  </si>
  <si>
    <t>Punan Batu</t>
  </si>
  <si>
    <t>Pana</t>
  </si>
  <si>
    <t>Panobo</t>
  </si>
  <si>
    <t>Pontic Greek</t>
  </si>
  <si>
    <t>Banjima</t>
  </si>
  <si>
    <t>Poqomam</t>
  </si>
  <si>
    <t>Pwapwa</t>
  </si>
  <si>
    <t>Papi</t>
  </si>
  <si>
    <t>Paipai</t>
  </si>
  <si>
    <t>Pipil</t>
  </si>
  <si>
    <t>Papapana</t>
  </si>
  <si>
    <t>Hoanya</t>
  </si>
  <si>
    <t>Papora</t>
  </si>
  <si>
    <t>Malecite</t>
  </si>
  <si>
    <t>Maliseet-Passamaquoddy</t>
  </si>
  <si>
    <t>Parachi</t>
  </si>
  <si>
    <t>Old Prussian</t>
  </si>
  <si>
    <t>Phalok</t>
  </si>
  <si>
    <t>Prasun</t>
  </si>
  <si>
    <t>Purik</t>
  </si>
  <si>
    <t>Panasuan</t>
  </si>
  <si>
    <t>Dengalu</t>
  </si>
  <si>
    <t>Purum</t>
  </si>
  <si>
    <t>GÃ¼nÃ¼na KÃ¼ne</t>
  </si>
  <si>
    <t>Puinave</t>
  </si>
  <si>
    <t>Puma</t>
  </si>
  <si>
    <t>PuruborÃ¡</t>
  </si>
  <si>
    <t>Puluwat</t>
  </si>
  <si>
    <t>PurisimeÃ±o</t>
  </si>
  <si>
    <t>Patwin</t>
  </si>
  <si>
    <t>Paiwan</t>
  </si>
  <si>
    <t>Fyem</t>
  </si>
  <si>
    <t>Pyuma</t>
  </si>
  <si>
    <t>Quapaw</t>
  </si>
  <si>
    <t>Quileute</t>
  </si>
  <si>
    <t>Sipakapense</t>
  </si>
  <si>
    <t>Lower Chehalis</t>
  </si>
  <si>
    <t>Quinault</t>
  </si>
  <si>
    <t>Wanka Quechua</t>
  </si>
  <si>
    <t>Zhaba</t>
  </si>
  <si>
    <t>Dungmali</t>
  </si>
  <si>
    <t>Chamling</t>
  </si>
  <si>
    <t>Rabha</t>
  </si>
  <si>
    <t>Tulu</t>
  </si>
  <si>
    <t>Rao</t>
  </si>
  <si>
    <t>Rapanui</t>
  </si>
  <si>
    <t>Rarotongan</t>
  </si>
  <si>
    <t>Tingal</t>
  </si>
  <si>
    <t>Raute</t>
  </si>
  <si>
    <t>Rapa</t>
  </si>
  <si>
    <t>Rahambuu</t>
  </si>
  <si>
    <t>Rumai</t>
  </si>
  <si>
    <t>Reshe</t>
  </si>
  <si>
    <t>Reyesano</t>
  </si>
  <si>
    <t>Mores</t>
  </si>
  <si>
    <t>Rangkas</t>
  </si>
  <si>
    <t>ResÃ­garo</t>
  </si>
  <si>
    <t>Riang</t>
  </si>
  <si>
    <t>Ritharrngu</t>
  </si>
  <si>
    <t>Kraol</t>
  </si>
  <si>
    <t>Rikbaktsa</t>
  </si>
  <si>
    <t>Rama</t>
  </si>
  <si>
    <t>Rembarrnga</t>
  </si>
  <si>
    <t>Romani</t>
  </si>
  <si>
    <t>Domari</t>
  </si>
  <si>
    <t>Rongpo</t>
  </si>
  <si>
    <t>Romansh</t>
  </si>
  <si>
    <t>Repanbitip</t>
  </si>
  <si>
    <t>Ririo</t>
  </si>
  <si>
    <t>ToratÃ¡n</t>
  </si>
  <si>
    <t>Rotuman</t>
  </si>
  <si>
    <t>Rusyn</t>
  </si>
  <si>
    <t>Ruga</t>
  </si>
  <si>
    <t>Istro-Romanian</t>
  </si>
  <si>
    <t>Aromanian</t>
  </si>
  <si>
    <t>Rutul</t>
  </si>
  <si>
    <t>Amba</t>
  </si>
  <si>
    <t>Ngardi</t>
  </si>
  <si>
    <t>Yaeyama</t>
  </si>
  <si>
    <t>Okinawan</t>
  </si>
  <si>
    <t>Saba</t>
  </si>
  <si>
    <t>Sauk-Fox</t>
  </si>
  <si>
    <t>SabanÃª</t>
  </si>
  <si>
    <t>Yakut</t>
  </si>
  <si>
    <t>Sake</t>
  </si>
  <si>
    <t>Sause</t>
  </si>
  <si>
    <t>Shabo</t>
  </si>
  <si>
    <t>May</t>
  </si>
  <si>
    <t>Ruc</t>
  </si>
  <si>
    <t>Sach</t>
  </si>
  <si>
    <t>Sicilian</t>
  </si>
  <si>
    <t>Scots</t>
  </si>
  <si>
    <t>Sassarese</t>
  </si>
  <si>
    <t>Gallurese</t>
  </si>
  <si>
    <t>Sherdukpen</t>
  </si>
  <si>
    <t>Sened</t>
  </si>
  <si>
    <t>Semai</t>
  </si>
  <si>
    <t>Seri</t>
  </si>
  <si>
    <t>Sekani</t>
  </si>
  <si>
    <t>Central Selkup</t>
  </si>
  <si>
    <t>Suarmin</t>
  </si>
  <si>
    <t>Serrano</t>
  </si>
  <si>
    <t>Bartangi</t>
  </si>
  <si>
    <t>Roshorvi</t>
  </si>
  <si>
    <t>Rushani</t>
  </si>
  <si>
    <t>Shughni</t>
  </si>
  <si>
    <t>Sangkong</t>
  </si>
  <si>
    <t>Singa</t>
  </si>
  <si>
    <t>Singpho</t>
  </si>
  <si>
    <t>Salas</t>
  </si>
  <si>
    <t>Sanglechi</t>
  </si>
  <si>
    <t>Kundal Shahi</t>
  </si>
  <si>
    <t>Danisi</t>
  </si>
  <si>
    <t>Deti</t>
  </si>
  <si>
    <t>Shatt</t>
  </si>
  <si>
    <t>Shipibo-Conibo</t>
  </si>
  <si>
    <t>Jibbali</t>
  </si>
  <si>
    <t>Shwai</t>
  </si>
  <si>
    <t>Shompen</t>
  </si>
  <si>
    <t>SikÃ¯iyana</t>
  </si>
  <si>
    <t>Siuslaw</t>
  </si>
  <si>
    <t>Sumariup</t>
  </si>
  <si>
    <t>Sivandi</t>
  </si>
  <si>
    <t>Siwi</t>
  </si>
  <si>
    <t>Shawnee</t>
  </si>
  <si>
    <t>Saek</t>
  </si>
  <si>
    <t>Seke</t>
  </si>
  <si>
    <t>Ske</t>
  </si>
  <si>
    <t>Sakurabiat</t>
  </si>
  <si>
    <t>SÃ¡liba</t>
  </si>
  <si>
    <t>Salar</t>
  </si>
  <si>
    <t>Somm</t>
  </si>
  <si>
    <t>Samei</t>
  </si>
  <si>
    <t>Semnani</t>
  </si>
  <si>
    <t>Noon</t>
  </si>
  <si>
    <t>Senggi</t>
  </si>
  <si>
    <t>Soi</t>
  </si>
  <si>
    <t>Sonsorol</t>
  </si>
  <si>
    <t>SapÃ©</t>
  </si>
  <si>
    <t>Sian</t>
  </si>
  <si>
    <t>Saponi</t>
  </si>
  <si>
    <t>SanapanÃ¡</t>
  </si>
  <si>
    <t>Spokane</t>
  </si>
  <si>
    <t>Saparua</t>
  </si>
  <si>
    <t>Soqotri</t>
  </si>
  <si>
    <t>Sora</t>
  </si>
  <si>
    <t>Logudorese</t>
  </si>
  <si>
    <t>Nafi</t>
  </si>
  <si>
    <t>Sarikoli</t>
  </si>
  <si>
    <t>Isirawa</t>
  </si>
  <si>
    <t>Campidanese</t>
  </si>
  <si>
    <t>SirionÃ³</t>
  </si>
  <si>
    <t>Sarcee</t>
  </si>
  <si>
    <t>Paiter</t>
  </si>
  <si>
    <t>Thao</t>
  </si>
  <si>
    <t>Sissano</t>
  </si>
  <si>
    <t>Susuami</t>
  </si>
  <si>
    <t>Shark Bay</t>
  </si>
  <si>
    <t>Phuthi</t>
  </si>
  <si>
    <t>Sengseng</t>
  </si>
  <si>
    <t>Saterlandic</t>
  </si>
  <si>
    <t>Northern Straits Salish</t>
  </si>
  <si>
    <t>Shumashti</t>
  </si>
  <si>
    <t>Satawal</t>
  </si>
  <si>
    <t>Siberian Tatar</t>
  </si>
  <si>
    <t>Yarawi</t>
  </si>
  <si>
    <t>Tirma</t>
  </si>
  <si>
    <t>Subtiaba</t>
  </si>
  <si>
    <t>Sulung</t>
  </si>
  <si>
    <t>KisÃªdjÃª</t>
  </si>
  <si>
    <t>Sunwar</t>
  </si>
  <si>
    <t>Surel</t>
  </si>
  <si>
    <t>Svan</t>
  </si>
  <si>
    <t>Serili</t>
  </si>
  <si>
    <t>Molise Croatian</t>
  </si>
  <si>
    <t>Dalecarlian</t>
  </si>
  <si>
    <t>Scanian</t>
  </si>
  <si>
    <t>Samosa</t>
  </si>
  <si>
    <t>Shanenawa</t>
  </si>
  <si>
    <t>SuruahÃ¡</t>
  </si>
  <si>
    <t>Suba</t>
  </si>
  <si>
    <t>Sighu</t>
  </si>
  <si>
    <t>Shixing</t>
  </si>
  <si>
    <t>Samre</t>
  </si>
  <si>
    <t>Saaroa</t>
  </si>
  <si>
    <t>Senaya</t>
  </si>
  <si>
    <t>Semelai</t>
  </si>
  <si>
    <t>Semaq Beri</t>
  </si>
  <si>
    <t>Tanana</t>
  </si>
  <si>
    <t>Tabasaran</t>
  </si>
  <si>
    <t>Tause</t>
  </si>
  <si>
    <t>TapirapÃ©</t>
  </si>
  <si>
    <t>Tagoi</t>
  </si>
  <si>
    <t>Sei</t>
  </si>
  <si>
    <t>Tamang</t>
  </si>
  <si>
    <t>Yami</t>
  </si>
  <si>
    <t>Tatuyo</t>
  </si>
  <si>
    <t>Tamki</t>
  </si>
  <si>
    <t>Tayal</t>
  </si>
  <si>
    <t>Tocho</t>
  </si>
  <si>
    <t>Kaki Ae</t>
  </si>
  <si>
    <t>Dharawal</t>
  </si>
  <si>
    <t>Dabra</t>
  </si>
  <si>
    <t>Taworta</t>
  </si>
  <si>
    <t>Tumtum</t>
  </si>
  <si>
    <t>Ticuna</t>
  </si>
  <si>
    <t>Tanacross</t>
  </si>
  <si>
    <t>Tafi</t>
  </si>
  <si>
    <t>Malinaltepec Tlapanec</t>
  </si>
  <si>
    <t>Tchitchege</t>
  </si>
  <si>
    <t>Kaiy</t>
  </si>
  <si>
    <t>Toda</t>
  </si>
  <si>
    <t>Thado</t>
  </si>
  <si>
    <t>Tai Neua</t>
  </si>
  <si>
    <t>Thulung</t>
  </si>
  <si>
    <t>Tomadino</t>
  </si>
  <si>
    <t>Tajio</t>
  </si>
  <si>
    <t>Taruma</t>
  </si>
  <si>
    <t>Doutai</t>
  </si>
  <si>
    <t>Temiar</t>
  </si>
  <si>
    <t>Tetete</t>
  </si>
  <si>
    <t>Tepehua de Huehuetla</t>
  </si>
  <si>
    <t>Tehuelche</t>
  </si>
  <si>
    <t>Temein</t>
  </si>
  <si>
    <t>Soo</t>
  </si>
  <si>
    <t>Tennet</t>
  </si>
  <si>
    <t>Tulishi</t>
  </si>
  <si>
    <t>Tetserret</t>
  </si>
  <si>
    <t>Tanaina</t>
  </si>
  <si>
    <t>Tagin</t>
  </si>
  <si>
    <t>Tagish</t>
  </si>
  <si>
    <t>Togoyo</t>
  </si>
  <si>
    <t>Thaayorre</t>
  </si>
  <si>
    <t>Thangmi</t>
  </si>
  <si>
    <t>Aheu</t>
  </si>
  <si>
    <t>Thompson</t>
  </si>
  <si>
    <t>Thakali</t>
  </si>
  <si>
    <t>Thuri</t>
  </si>
  <si>
    <t>Tamajeq</t>
  </si>
  <si>
    <t>Tidikelt</t>
  </si>
  <si>
    <t>Tilung</t>
  </si>
  <si>
    <t>Tillamook</t>
  </si>
  <si>
    <t>Tindi</t>
  </si>
  <si>
    <t>Tinigua</t>
  </si>
  <si>
    <t>Tiwi</t>
  </si>
  <si>
    <t>Tonjon</t>
  </si>
  <si>
    <t>Tokelau</t>
  </si>
  <si>
    <t>Tokelauan</t>
  </si>
  <si>
    <t>Tsakhur</t>
  </si>
  <si>
    <t>Teanu</t>
  </si>
  <si>
    <t>Misantla Totonac</t>
  </si>
  <si>
    <t>Tofanma</t>
  </si>
  <si>
    <t>Taloki</t>
  </si>
  <si>
    <t>Tolomako</t>
  </si>
  <si>
    <t>Talodi</t>
  </si>
  <si>
    <t>Tailoi</t>
  </si>
  <si>
    <t>Tambotalo</t>
  </si>
  <si>
    <t>Talysh</t>
  </si>
  <si>
    <t>Nivat</t>
  </si>
  <si>
    <t>Toba-Maskoy</t>
  </si>
  <si>
    <t>Tutuba</t>
  </si>
  <si>
    <t>Tima</t>
  </si>
  <si>
    <t>Temuan</t>
  </si>
  <si>
    <t>Tacana</t>
  </si>
  <si>
    <t>Tanimuca-Letuama</t>
  </si>
  <si>
    <t>Tandia</t>
  </si>
  <si>
    <t>Tench</t>
  </si>
  <si>
    <t>Tanema</t>
  </si>
  <si>
    <t>Tolowa</t>
  </si>
  <si>
    <t>Northern Totonac</t>
  </si>
  <si>
    <t>Sierra Totonac</t>
  </si>
  <si>
    <t>Jemez</t>
  </si>
  <si>
    <t>Tobian</t>
  </si>
  <si>
    <t>Tarpia</t>
  </si>
  <si>
    <t>TapietÃ©</t>
  </si>
  <si>
    <t>Western Tlapanec</t>
  </si>
  <si>
    <t>Trumai</t>
  </si>
  <si>
    <t>TembÃ©</t>
  </si>
  <si>
    <t>Lehali</t>
  </si>
  <si>
    <t>Tirahi</t>
  </si>
  <si>
    <t>Turi</t>
  </si>
  <si>
    <t>Turaka</t>
  </si>
  <si>
    <t>Toram</t>
  </si>
  <si>
    <t>Tarao</t>
  </si>
  <si>
    <t>Kokborok</t>
  </si>
  <si>
    <t>Taushiro</t>
  </si>
  <si>
    <t>Turoyo</t>
  </si>
  <si>
    <t>Taroko</t>
  </si>
  <si>
    <t>Torwali</t>
  </si>
  <si>
    <t>TorÃ¡</t>
  </si>
  <si>
    <t>Tsakonian</t>
  </si>
  <si>
    <t>Tsimshian</t>
  </si>
  <si>
    <t>Motuo Menba</t>
  </si>
  <si>
    <t>Tshangla</t>
  </si>
  <si>
    <t>Tsou</t>
  </si>
  <si>
    <t>Teko</t>
  </si>
  <si>
    <t>Tuotomb</t>
  </si>
  <si>
    <t>Tobati</t>
  </si>
  <si>
    <t>Tombelala</t>
  </si>
  <si>
    <t>Tsum</t>
  </si>
  <si>
    <t>Tunebo</t>
  </si>
  <si>
    <t>Taulil</t>
  </si>
  <si>
    <t>Trukhmen</t>
  </si>
  <si>
    <t>Tunica</t>
  </si>
  <si>
    <t>Pisamira</t>
  </si>
  <si>
    <t>Tututni</t>
  </si>
  <si>
    <t>Tuvalu</t>
  </si>
  <si>
    <t>Tuvaluan</t>
  </si>
  <si>
    <t>Twana</t>
  </si>
  <si>
    <t>Picuris</t>
  </si>
  <si>
    <t>Taos</t>
  </si>
  <si>
    <t>Cuona Menba</t>
  </si>
  <si>
    <t>Cambap</t>
  </si>
  <si>
    <t>Totoli</t>
  </si>
  <si>
    <t>Ikpeng</t>
  </si>
  <si>
    <t>Tialo</t>
  </si>
  <si>
    <t>Toto</t>
  </si>
  <si>
    <t>Tai Daeng</t>
  </si>
  <si>
    <t>Kua</t>
  </si>
  <si>
    <t>Soyot</t>
  </si>
  <si>
    <t>Tuvan</t>
  </si>
  <si>
    <t>Udege</t>
  </si>
  <si>
    <t>Ujir</t>
  </si>
  <si>
    <t>Udmurt</t>
  </si>
  <si>
    <t>Damal</t>
  </si>
  <si>
    <t>Uhunduni</t>
  </si>
  <si>
    <t>Iyive</t>
  </si>
  <si>
    <t>Ukhwejo</t>
  </si>
  <si>
    <t>Ulcha</t>
  </si>
  <si>
    <t>Usku</t>
  </si>
  <si>
    <t>Ulithian</t>
  </si>
  <si>
    <t>Meriam Mir</t>
  </si>
  <si>
    <t>Ulwa</t>
  </si>
  <si>
    <t>Umutina</t>
  </si>
  <si>
    <t>Umpila</t>
  </si>
  <si>
    <t>Pendau</t>
  </si>
  <si>
    <t>Ngarinyin</t>
  </si>
  <si>
    <t>Unami</t>
  </si>
  <si>
    <t>Bhumji</t>
  </si>
  <si>
    <t>Urarina</t>
  </si>
  <si>
    <t>LÃ¶yÃ¶p</t>
  </si>
  <si>
    <t>Uruava</t>
  </si>
  <si>
    <t>Ushojo</t>
  </si>
  <si>
    <t>Usu</t>
  </si>
  <si>
    <t>Chemehuevi</t>
  </si>
  <si>
    <t>Southern Paiute</t>
  </si>
  <si>
    <t>Kulun</t>
  </si>
  <si>
    <t>Pazeh</t>
  </si>
  <si>
    <t>Vafsi</t>
  </si>
  <si>
    <t>Vehes</t>
  </si>
  <si>
    <t>Hayu</t>
  </si>
  <si>
    <t>Vedda</t>
  </si>
  <si>
    <t>VentureÃ±o</t>
  </si>
  <si>
    <t>Veps</t>
  </si>
  <si>
    <t>Vidunda</t>
  </si>
  <si>
    <t>Vilela</t>
  </si>
  <si>
    <t>Kujarge</t>
  </si>
  <si>
    <t>Kodeoha</t>
  </si>
  <si>
    <t>Kurrama</t>
  </si>
  <si>
    <t>flamand occidental</t>
  </si>
  <si>
    <t>West Flemish</t>
  </si>
  <si>
    <t>Moksela</t>
  </si>
  <si>
    <t>Vano</t>
  </si>
  <si>
    <t>Vote</t>
  </si>
  <si>
    <t>VÃµro-Seto</t>
  </si>
  <si>
    <t>Vumbu</t>
  </si>
  <si>
    <t>Wab</t>
  </si>
  <si>
    <t>Kiksht</t>
  </si>
  <si>
    <t>TÃ¶itschu</t>
  </si>
  <si>
    <t>Wappo</t>
  </si>
  <si>
    <t>Wagiman</t>
  </si>
  <si>
    <t>Washo</t>
  </si>
  <si>
    <t>Warao</t>
  </si>
  <si>
    <t>Waigali</t>
  </si>
  <si>
    <t>Wakhi</t>
  </si>
  <si>
    <t>Warlpiri</t>
  </si>
  <si>
    <t>Warnman</t>
  </si>
  <si>
    <t>Wajarri</t>
  </si>
  <si>
    <t>Wichita</t>
  </si>
  <si>
    <t>Wik Ngathan</t>
  </si>
  <si>
    <t>Wiyot</t>
  </si>
  <si>
    <t>Kunbarlang</t>
  </si>
  <si>
    <t>Wali</t>
  </si>
  <si>
    <t>Walloon</t>
  </si>
  <si>
    <t>wichi</t>
  </si>
  <si>
    <t>Wambaya</t>
  </si>
  <si>
    <t>Wambule</t>
  </si>
  <si>
    <t>Walmajarri</t>
  </si>
  <si>
    <t>Wano</t>
  </si>
  <si>
    <t>Waanyi</t>
  </si>
  <si>
    <t>Woleaian</t>
  </si>
  <si>
    <t>Woria</t>
  </si>
  <si>
    <t>Mako</t>
  </si>
  <si>
    <t>Wiradjuri</t>
  </si>
  <si>
    <t>Garrwa</t>
  </si>
  <si>
    <t>Warumungu</t>
  </si>
  <si>
    <t>Warnang</t>
  </si>
  <si>
    <t>Worrorra</t>
  </si>
  <si>
    <t>Wardaman</t>
  </si>
  <si>
    <t>Waru</t>
  </si>
  <si>
    <t>Wotapuri-Katarqalai</t>
  </si>
  <si>
    <t>Wotu</t>
  </si>
  <si>
    <t>Dorig</t>
  </si>
  <si>
    <t>Wangaaybuwan</t>
  </si>
  <si>
    <t>Vilamovian</t>
  </si>
  <si>
    <t>Sambe</t>
  </si>
  <si>
    <t>MÃ¡ku</t>
  </si>
  <si>
    <t>Oyrat</t>
  </si>
  <si>
    <t>Karami</t>
  </si>
  <si>
    <t>Katawixi</t>
  </si>
  <si>
    <t>Kawaiisu</t>
  </si>
  <si>
    <t>Dharug</t>
  </si>
  <si>
    <t>ÇXegwi</t>
  </si>
  <si>
    <t>Kelo</t>
  </si>
  <si>
    <t>XetÃ¡</t>
  </si>
  <si>
    <t>Xiri</t>
  </si>
  <si>
    <t>Xinka</t>
  </si>
  <si>
    <t>Kalkoti</t>
  </si>
  <si>
    <t>Koroni</t>
  </si>
  <si>
    <t>XakriabÃ¡</t>
  </si>
  <si>
    <t>Kembra</t>
  </si>
  <si>
    <t>Karore</t>
  </si>
  <si>
    <t>KurtÃ¶p</t>
  </si>
  <si>
    <t>Mingrelian</t>
  </si>
  <si>
    <t>Majera</t>
  </si>
  <si>
    <t>Kanakanabu</t>
  </si>
  <si>
    <t>Kanashi</t>
  </si>
  <si>
    <t>Xokleng</t>
  </si>
  <si>
    <t>Kowaki</t>
  </si>
  <si>
    <t>KrahÃ´</t>
  </si>
  <si>
    <t>Sherpa</t>
  </si>
  <si>
    <t>Saisiyat</t>
  </si>
  <si>
    <t>Kunigami</t>
  </si>
  <si>
    <t>Khwe</t>
  </si>
  <si>
    <t>Kwegu</t>
  </si>
  <si>
    <t>Wangkumara</t>
  </si>
  <si>
    <t>Yagua</t>
  </si>
  <si>
    <t>Yahgan</t>
  </si>
  <si>
    <t>Yazgulami</t>
  </si>
  <si>
    <t>Yaghnobi</t>
  </si>
  <si>
    <t>Panamahka</t>
  </si>
  <si>
    <t>Tawahka</t>
  </si>
  <si>
    <t>Tuahka</t>
  </si>
  <si>
    <t>Yawarana</t>
  </si>
  <si>
    <t>Yakkha</t>
  </si>
  <si>
    <t>Chesu</t>
  </si>
  <si>
    <t>Yucuna</t>
  </si>
  <si>
    <t>Chepya</t>
  </si>
  <si>
    <t>Yidgha</t>
  </si>
  <si>
    <t>Yimas</t>
  </si>
  <si>
    <t>Yapunda</t>
  </si>
  <si>
    <t>Yeyi</t>
  </si>
  <si>
    <t>Buyang</t>
  </si>
  <si>
    <t>Yimchungru</t>
  </si>
  <si>
    <t>Miqie</t>
  </si>
  <si>
    <t>Pauwi</t>
  </si>
  <si>
    <t>Yoki</t>
  </si>
  <si>
    <t>Kathu</t>
  </si>
  <si>
    <t>Naluo</t>
  </si>
  <si>
    <t>Yameo</t>
  </si>
  <si>
    <t>Aluo</t>
  </si>
  <si>
    <t>East Cape Yupik</t>
  </si>
  <si>
    <t>Yoba</t>
  </si>
  <si>
    <t>Yonaguni</t>
  </si>
  <si>
    <t>Yerong</t>
  </si>
  <si>
    <t>Yarawata</t>
  </si>
  <si>
    <t>Samatao</t>
  </si>
  <si>
    <t>Old Sirenik</t>
  </si>
  <si>
    <t>Talu</t>
  </si>
  <si>
    <t>Tanglang</t>
  </si>
  <si>
    <t>Yucatec</t>
  </si>
  <si>
    <t>Yuchi</t>
  </si>
  <si>
    <t>Havasupai</t>
  </si>
  <si>
    <t>Hualapai</t>
  </si>
  <si>
    <t>Upland Yuman</t>
  </si>
  <si>
    <t>Yavapai</t>
  </si>
  <si>
    <t>Yug</t>
  </si>
  <si>
    <t>Yuki</t>
  </si>
  <si>
    <t>Yulu</t>
  </si>
  <si>
    <t>Quechan</t>
  </si>
  <si>
    <t>Yukpa</t>
  </si>
  <si>
    <t>Yurok</t>
  </si>
  <si>
    <t>Forest Yukagir</t>
  </si>
  <si>
    <t>Lalo</t>
  </si>
  <si>
    <t>Yir Yoront</t>
  </si>
  <si>
    <t>Ayizi</t>
  </si>
  <si>
    <t>Zaramo</t>
  </si>
  <si>
    <t>Zangskari</t>
  </si>
  <si>
    <t>Magori</t>
  </si>
  <si>
    <t>Ganan</t>
  </si>
  <si>
    <t>Kaurna</t>
  </si>
  <si>
    <t>Makolkol</t>
  </si>
  <si>
    <t>Madngele</t>
  </si>
  <si>
    <t>Maringarr</t>
  </si>
  <si>
    <t>Ayapanec</t>
  </si>
  <si>
    <t>Zirenkel</t>
  </si>
  <si>
    <t>Zaparo</t>
  </si>
  <si>
    <t>Zeem</t>
  </si>
  <si>
    <t>Kumzari</t>
  </si>
  <si>
    <t>Zuni</t>
  </si>
  <si>
    <t>Zumaya</t>
  </si>
  <si>
    <t>Zay</t>
  </si>
  <si>
    <t>KHM</t>
  </si>
  <si>
    <t>Source (downloaded 2021-07-01):</t>
  </si>
  <si>
    <t>http://www.unesco.org/languages-atlas/index.php</t>
  </si>
  <si>
    <t>ISO639-3 codes</t>
  </si>
  <si>
    <t>Name in English</t>
  </si>
  <si>
    <t>Name in French</t>
  </si>
  <si>
    <t>Name in Spanish</t>
  </si>
  <si>
    <t>Countries</t>
  </si>
  <si>
    <t>Country codes alpha 3</t>
  </si>
  <si>
    <t>moghol</t>
  </si>
  <si>
    <t>mogol</t>
  </si>
  <si>
    <t>Afghanistan</t>
  </si>
  <si>
    <t>AFG</t>
  </si>
  <si>
    <t>Critically endangered</t>
  </si>
  <si>
    <t>ashkun</t>
  </si>
  <si>
    <t>askÃºn</t>
  </si>
  <si>
    <t>Definitely endangered</t>
  </si>
  <si>
    <t>Gambiri</t>
  </si>
  <si>
    <t>gambiri</t>
  </si>
  <si>
    <t>gambirÃ­</t>
  </si>
  <si>
    <t>Severely endangered</t>
  </si>
  <si>
    <t>waigali</t>
  </si>
  <si>
    <t>vaigalÃ­</t>
  </si>
  <si>
    <t>shumashti</t>
  </si>
  <si>
    <t>chumashtÃ­</t>
  </si>
  <si>
    <t>prasun</t>
  </si>
  <si>
    <t>prasunÃ­</t>
  </si>
  <si>
    <t>munji</t>
  </si>
  <si>
    <t>munyÃ­</t>
  </si>
  <si>
    <t>ningalami</t>
  </si>
  <si>
    <t>ningalamÃ­</t>
  </si>
  <si>
    <t>parachi</t>
  </si>
  <si>
    <t>parachÃ­</t>
  </si>
  <si>
    <t>aee, glh, psh, psi</t>
  </si>
  <si>
    <t>Pashayi</t>
  </si>
  <si>
    <t>pashai</t>
  </si>
  <si>
    <t>pasayÃ­</t>
  </si>
  <si>
    <t>Vulnerable</t>
  </si>
  <si>
    <t>wotapuri-katarqalai</t>
  </si>
  <si>
    <t>votapurÃ­</t>
  </si>
  <si>
    <t>tirahi</t>
  </si>
  <si>
    <t>tirahÃ­</t>
  </si>
  <si>
    <t>aroumain</t>
  </si>
  <si>
    <t>arrumano</t>
  </si>
  <si>
    <t>Albania, Bulgaria, Greece, The former Yugoslav Republic of Macedonia, Serbia</t>
  </si>
  <si>
    <t>ALB, BGR, GRC, MKD, SRB</t>
  </si>
  <si>
    <t>bos, hrv, srp</t>
  </si>
  <si>
    <t>Torlak</t>
  </si>
  <si>
    <t>torlak</t>
  </si>
  <si>
    <t>Albania, Bulgaria, The former Yugoslav Republic of Macedonia, Romania, Serbia</t>
  </si>
  <si>
    <t>ALB, BGR, MKD, ROU, SRB</t>
  </si>
  <si>
    <t>rmc, rmf, rml, rmn, rmo, rmw, rmy</t>
  </si>
  <si>
    <t>romani</t>
  </si>
  <si>
    <t>romanÃ­</t>
  </si>
  <si>
    <t>Albania, Germany, Austria, Belarus, Bosnia and Herzegovina, Bulgaria, Croatia, Estonia, Finland, France, Greece, Hungary, Italy, Latvia, Lithuania, The former Yugoslav Republic of Macedonia, Netherlands, Poland, Romania, United Kingdom of Great Britain an</t>
  </si>
  <si>
    <t>ALB, DEU, AUT, BRB, BIH, BGR, HRV, EST, FIN, FRA, GRC, HUN, ITA, LVA, LTU, MKD, NLD, POL, ROU, GBR, RUS, SVK, SVN, CHE, CZE, TUR, UKR, SRB, MNE</t>
  </si>
  <si>
    <t>Judezmo (Europe)</t>
  </si>
  <si>
    <t>judÃ©o-espagnol (Europe)</t>
  </si>
  <si>
    <t>sefardÃ­ (Europa)</t>
  </si>
  <si>
    <t>Albania, Algeria, Bosnia and Herzegovina, Bulgaria, Croatia, Greece, The former Yugoslav Republic of Macedonia, Morocco, Romania, Turkey, Serbia</t>
  </si>
  <si>
    <t>ALB, DZA, BIH, BGR, HRV, GRC, MKD, MAR, ROU, TUR, SRB</t>
  </si>
  <si>
    <t>kwadi</t>
  </si>
  <si>
    <t>kuadÃ­</t>
  </si>
  <si>
    <t>Angola</t>
  </si>
  <si>
    <t>Extinct</t>
  </si>
  <si>
    <t>Kwisi</t>
  </si>
  <si>
    <t>kwisi</t>
  </si>
  <si>
    <t>kede</t>
  </si>
  <si>
    <t>bolo</t>
  </si>
  <si>
    <t>gÃ¼nÃ¼na yajich</t>
  </si>
  <si>
    <t>puelche</t>
  </si>
  <si>
    <t>Argentina</t>
  </si>
  <si>
    <t>ARG</t>
  </si>
  <si>
    <t>mocovÃ­</t>
  </si>
  <si>
    <t>pilagÃ¡</t>
  </si>
  <si>
    <t>tehuelche</t>
  </si>
  <si>
    <t>toba</t>
  </si>
  <si>
    <t>vilela</t>
  </si>
  <si>
    <t>Mapuche (Argentina)</t>
  </si>
  <si>
    <t>mapuche (Argentine)</t>
  </si>
  <si>
    <t>mapuche (Argentina)</t>
  </si>
  <si>
    <t>Ava-GuaranÃ­</t>
  </si>
  <si>
    <t>ava-guarani</t>
  </si>
  <si>
    <t>avÃ¡-guaranÃ­</t>
  </si>
  <si>
    <t>ChanÃ¡</t>
  </si>
  <si>
    <t>chanÃ¡</t>
  </si>
  <si>
    <t>Quechua of Santiago del Estero</t>
  </si>
  <si>
    <t>quechua de Santiago del Estero</t>
  </si>
  <si>
    <t>gnw, gui</t>
  </si>
  <si>
    <t>GuaranÃ­ Boliviano</t>
  </si>
  <si>
    <t>guarani de Bolivie</t>
  </si>
  <si>
    <t>guaranÃ­ boliviano</t>
  </si>
  <si>
    <t>Argentina, Bolivia (Plurinational State of)</t>
  </si>
  <si>
    <t>ARG, BOL</t>
  </si>
  <si>
    <t>mzh, wlv, mtp</t>
  </si>
  <si>
    <t>Wichi</t>
  </si>
  <si>
    <t>wichÃ­</t>
  </si>
  <si>
    <t>acatameÃ±o</t>
  </si>
  <si>
    <t>kunza</t>
  </si>
  <si>
    <t>Argentina, Bolivia (Plurinational State of), Chile</t>
  </si>
  <si>
    <t>ARG, BOL, CHL</t>
  </si>
  <si>
    <t>manjui</t>
  </si>
  <si>
    <t>Argentina, Bolivia (Plurinational State of), Paraguay</t>
  </si>
  <si>
    <t>ARG, BOL, PRY</t>
  </si>
  <si>
    <t>tapietÃ©</t>
  </si>
  <si>
    <t>Chorote Iyojwa'ja</t>
  </si>
  <si>
    <t>choroti iyojwa'ja</t>
  </si>
  <si>
    <t>chorote iyojwaâ€™ja</t>
  </si>
  <si>
    <t>Argentina, Paraguay</t>
  </si>
  <si>
    <t>ARG, PRY</t>
  </si>
  <si>
    <t>Mbya Guarani (Argentina, Uruguay)</t>
  </si>
  <si>
    <t>mbyÃ¡ guarani (Argentine, Uruguay)</t>
  </si>
  <si>
    <t>guaranÃ­ mbyÃ¡ (Argentina, Uruguay)</t>
  </si>
  <si>
    <t>Argentina, Uruguay</t>
  </si>
  <si>
    <t>ARG, URY</t>
  </si>
  <si>
    <t>grec pontique</t>
  </si>
  <si>
    <t>pÃ³ntico</t>
  </si>
  <si>
    <t>Armenia, Georgia, Greece, Russian Federation, Turkey, Ukraine</t>
  </si>
  <si>
    <t>ARM, GEO, GRC, RUS, TUR, UKR</t>
  </si>
  <si>
    <t>aii, cld</t>
  </si>
  <si>
    <t>soureth</t>
  </si>
  <si>
    <t>neo-arameo oriental</t>
  </si>
  <si>
    <t>Armenia, Iran (Islamic Republic of), Iraq, Syrian Arab Republic, Turkey</t>
  </si>
  <si>
    <t>ARM, IRN, IRQ, SYR, TUR</t>
  </si>
  <si>
    <t>adnymathanta</t>
  </si>
  <si>
    <t>adiÃ±amantana</t>
  </si>
  <si>
    <t>Australia</t>
  </si>
  <si>
    <t>AUS</t>
  </si>
  <si>
    <t>alawa</t>
  </si>
  <si>
    <t>alava</t>
  </si>
  <si>
    <t>anindilyakwa</t>
  </si>
  <si>
    <t>antakirinya</t>
  </si>
  <si>
    <t>antakariÃ±a</t>
  </si>
  <si>
    <t>aer, are</t>
  </si>
  <si>
    <t>arrernte</t>
  </si>
  <si>
    <t>aranda</t>
  </si>
  <si>
    <t>bardi</t>
  </si>
  <si>
    <t>Badala</t>
  </si>
  <si>
    <t>badala</t>
  </si>
  <si>
    <t>bandjalang</t>
  </si>
  <si>
    <t>banyalango</t>
  </si>
  <si>
    <t>bunuba</t>
  </si>
  <si>
    <t>bunaba</t>
  </si>
  <si>
    <t>Tharkarri</t>
  </si>
  <si>
    <t>tharkarri</t>
  </si>
  <si>
    <t>dalanchi</t>
  </si>
  <si>
    <t>djamindjung</t>
  </si>
  <si>
    <t>djinang</t>
  </si>
  <si>
    <t>jingulu</t>
  </si>
  <si>
    <t>chunguloo</t>
  </si>
  <si>
    <t>Dungidjau</t>
  </si>
  <si>
    <t>dungidjau</t>
  </si>
  <si>
    <t>dyirbal</t>
  </si>
  <si>
    <t>chirbal</t>
  </si>
  <si>
    <t>kadjerong</t>
  </si>
  <si>
    <t>gadjerawang</t>
  </si>
  <si>
    <t>gaagudju</t>
  </si>
  <si>
    <t>gagadÃº</t>
  </si>
  <si>
    <t>Ganggalidda</t>
  </si>
  <si>
    <t>ganggalida</t>
  </si>
  <si>
    <t>gbc</t>
  </si>
  <si>
    <t>garawa</t>
  </si>
  <si>
    <t>garava</t>
  </si>
  <si>
    <t>Koko Bera</t>
  </si>
  <si>
    <t>koko-bera</t>
  </si>
  <si>
    <t>gugubera</t>
  </si>
  <si>
    <t>guugu yimidhirr</t>
  </si>
  <si>
    <t>guguyimidjir</t>
  </si>
  <si>
    <t>gooniyandi</t>
  </si>
  <si>
    <t>guniyandi</t>
  </si>
  <si>
    <t>kunwinjku</t>
  </si>
  <si>
    <t>gunwinggu</t>
  </si>
  <si>
    <t>gupapuyngu</t>
  </si>
  <si>
    <t>Gurrgoni</t>
  </si>
  <si>
    <t>gurrgoni</t>
  </si>
  <si>
    <t>guragone</t>
  </si>
  <si>
    <t>gurdjar</t>
  </si>
  <si>
    <t>Kuurinji</t>
  </si>
  <si>
    <t>gurindji</t>
  </si>
  <si>
    <t>gurinji</t>
  </si>
  <si>
    <t>iwaidja</t>
  </si>
  <si>
    <t>iwaidya</t>
  </si>
  <si>
    <t>djauan</t>
  </si>
  <si>
    <t>jawan</t>
  </si>
  <si>
    <t>Kalaw Lagaw Ya</t>
  </si>
  <si>
    <t>kalaw lagaw ya</t>
  </si>
  <si>
    <t>mabuyago</t>
  </si>
  <si>
    <t>karadjeri</t>
  </si>
  <si>
    <t>karacheri</t>
  </si>
  <si>
    <t>kayardild</t>
  </si>
  <si>
    <t>gayardil</t>
  </si>
  <si>
    <t>kitja</t>
  </si>
  <si>
    <t>kunbarlang</t>
  </si>
  <si>
    <t>kumbarlÃ¡n</t>
  </si>
  <si>
    <t>kunjen</t>
  </si>
  <si>
    <t>kurrama</t>
  </si>
  <si>
    <t>Kuku Yalanji</t>
  </si>
  <si>
    <t>kuku-yalanji</t>
  </si>
  <si>
    <t>yalanyÃ­</t>
  </si>
  <si>
    <t>Kuuku Ya'u</t>
  </si>
  <si>
    <t>kuuku-ya'u</t>
  </si>
  <si>
    <t>lardil</t>
  </si>
  <si>
    <t>madnegele</t>
  </si>
  <si>
    <t>madngele</t>
  </si>
  <si>
    <t>mangarayi</t>
  </si>
  <si>
    <t>mangarai</t>
  </si>
  <si>
    <t>mangala</t>
  </si>
  <si>
    <t>Marrisyefin</t>
  </si>
  <si>
    <t>maridjabin</t>
  </si>
  <si>
    <t>maringarr</t>
  </si>
  <si>
    <t>marithiel</t>
  </si>
  <si>
    <t>margu</t>
  </si>
  <si>
    <t>maung</t>
  </si>
  <si>
    <t>maungo</t>
  </si>
  <si>
    <t>meriam mir</t>
  </si>
  <si>
    <t>meriam</t>
  </si>
  <si>
    <t>miriwung</t>
  </si>
  <si>
    <t>mwd</t>
  </si>
  <si>
    <t>mudbura</t>
  </si>
  <si>
    <t>malak-malak</t>
  </si>
  <si>
    <t>mulukomuluko</t>
  </si>
  <si>
    <t>Wik Mungkan</t>
  </si>
  <si>
    <t>wik mungkan</t>
  </si>
  <si>
    <t>nakara</t>
  </si>
  <si>
    <t>ngarluma</t>
  </si>
  <si>
    <t>engarluma</t>
  </si>
  <si>
    <t>ngalakan</t>
  </si>
  <si>
    <t>engalakÃ¡n</t>
  </si>
  <si>
    <t>ngaliwuru</t>
  </si>
  <si>
    <t>engaliwuru</t>
  </si>
  <si>
    <t>ngalkbun</t>
  </si>
  <si>
    <t>engalbÃºn</t>
  </si>
  <si>
    <t>ngandi</t>
  </si>
  <si>
    <t>engandi</t>
  </si>
  <si>
    <t>Ngangikurunggurr</t>
  </si>
  <si>
    <t>ngangikurunggurr</t>
  </si>
  <si>
    <t>nangikurrunggurr</t>
  </si>
  <si>
    <t>wpb</t>
  </si>
  <si>
    <t>ngardi</t>
  </si>
  <si>
    <t>engardi</t>
  </si>
  <si>
    <t>ngarinman</t>
  </si>
  <si>
    <t>engarinmÃ¡n</t>
  </si>
  <si>
    <t>ngarinyin</t>
  </si>
  <si>
    <t>engariÃ±Ã­n</t>
  </si>
  <si>
    <t>nunggubuyu</t>
  </si>
  <si>
    <t>nyamal</t>
  </si>
  <si>
    <t>Ã±amal</t>
  </si>
  <si>
    <t>nyangumarta</t>
  </si>
  <si>
    <t>Ã±angumarta</t>
  </si>
  <si>
    <t>nyigina</t>
  </si>
  <si>
    <t>banjima</t>
  </si>
  <si>
    <t>panchima</t>
  </si>
  <si>
    <t>rembaranga</t>
  </si>
  <si>
    <t>rembarunga</t>
  </si>
  <si>
    <t>ritarungo</t>
  </si>
  <si>
    <t>tiwi</t>
  </si>
  <si>
    <t>tivÃ­</t>
  </si>
  <si>
    <t>umpila</t>
  </si>
  <si>
    <t>waanji</t>
  </si>
  <si>
    <t>waanyi</t>
  </si>
  <si>
    <t>wagiman</t>
  </si>
  <si>
    <t>wageman</t>
  </si>
  <si>
    <t>walmatjari</t>
  </si>
  <si>
    <t>walmajarri</t>
  </si>
  <si>
    <t>wambaya</t>
  </si>
  <si>
    <t>huambaya</t>
  </si>
  <si>
    <t>vangaybuvÃ¡n</t>
  </si>
  <si>
    <t>warnman</t>
  </si>
  <si>
    <t>wanman</t>
  </si>
  <si>
    <t>wardaman</t>
  </si>
  <si>
    <t>yibwan</t>
  </si>
  <si>
    <t>warlpiri</t>
  </si>
  <si>
    <t>valpiri</t>
  </si>
  <si>
    <t>warumungu</t>
  </si>
  <si>
    <t>wadjari</t>
  </si>
  <si>
    <t>watjari</t>
  </si>
  <si>
    <t>wik-ngathana</t>
  </si>
  <si>
    <t>wik ngathan</t>
  </si>
  <si>
    <t>Wik Ngencherr</t>
  </si>
  <si>
    <t>wik-ngenchera</t>
  </si>
  <si>
    <t>wik ngencherr</t>
  </si>
  <si>
    <t>wiradjuri</t>
  </si>
  <si>
    <t>wiradhuri</t>
  </si>
  <si>
    <t>unp</t>
  </si>
  <si>
    <t>worrorra</t>
  </si>
  <si>
    <t>worora</t>
  </si>
  <si>
    <t>wunambal</t>
  </si>
  <si>
    <t>yanyuwa</t>
  </si>
  <si>
    <t>Yiiji</t>
  </si>
  <si>
    <t>yiiji</t>
  </si>
  <si>
    <t>yiy</t>
  </si>
  <si>
    <t>yir yoront</t>
  </si>
  <si>
    <t>nlr</t>
  </si>
  <si>
    <t>ngarla</t>
  </si>
  <si>
    <t>engarla</t>
  </si>
  <si>
    <t>kaurna</t>
  </si>
  <si>
    <t>martu wangka</t>
  </si>
  <si>
    <t>arabana</t>
  </si>
  <si>
    <t>baagandji</t>
  </si>
  <si>
    <t>dharug</t>
  </si>
  <si>
    <t>iyora</t>
  </si>
  <si>
    <t>dharawal</t>
  </si>
  <si>
    <t>thurawal</t>
  </si>
  <si>
    <t>dhurga</t>
  </si>
  <si>
    <t>Gumbaynggirr</t>
  </si>
  <si>
    <t>gumbaynggirr</t>
  </si>
  <si>
    <t>kumbaingari</t>
  </si>
  <si>
    <t>kamilaroi</t>
  </si>
  <si>
    <t>ngaanyatjarra</t>
  </si>
  <si>
    <t>engaÃ±acharra</t>
  </si>
  <si>
    <t>Ngaatjatjara</t>
  </si>
  <si>
    <t>ngaatjatjara</t>
  </si>
  <si>
    <t>engaachachara</t>
  </si>
  <si>
    <t>thayore</t>
  </si>
  <si>
    <t>tayore</t>
  </si>
  <si>
    <t>kukatja</t>
  </si>
  <si>
    <t>pintupi</t>
  </si>
  <si>
    <t>pintupi-luritja</t>
  </si>
  <si>
    <t>pitjantjatjara</t>
  </si>
  <si>
    <t>pichanchachara</t>
  </si>
  <si>
    <t>yankuntjatjara</t>
  </si>
  <si>
    <t>yankuntachara</t>
  </si>
  <si>
    <t>yan-nhangu</t>
  </si>
  <si>
    <t>yarnango</t>
  </si>
  <si>
    <t>nbx</t>
  </si>
  <si>
    <t>wangkumara</t>
  </si>
  <si>
    <t>croate du Burgenland</t>
  </si>
  <si>
    <t>serbocroata de Burgenland</t>
  </si>
  <si>
    <t>Austria, Hungary, Slovakia</t>
  </si>
  <si>
    <t>AUT, HUN, SVK</t>
  </si>
  <si>
    <t>boudoukh</t>
  </si>
  <si>
    <t>buduj</t>
  </si>
  <si>
    <t>AZE</t>
  </si>
  <si>
    <t>khinalough</t>
  </si>
  <si>
    <t>jinalug</t>
  </si>
  <si>
    <t>kriz</t>
  </si>
  <si>
    <t>kryts</t>
  </si>
  <si>
    <t>Tat</t>
  </si>
  <si>
    <t>tatÃ­ musulmÃ¡n</t>
  </si>
  <si>
    <t>Udi (Azerbaijan)</t>
  </si>
  <si>
    <t>oudi (AzerbaÃ¯djan)</t>
  </si>
  <si>
    <t>udi (AzerbaiyÃ¡n)</t>
  </si>
  <si>
    <t>Kilit</t>
  </si>
  <si>
    <t>kilit</t>
  </si>
  <si>
    <t>talysh</t>
  </si>
  <si>
    <t>talisÃ­</t>
  </si>
  <si>
    <t>Azerbaijan, Iran (Islamic Republic of)</t>
  </si>
  <si>
    <t>AZE, IRN</t>
  </si>
  <si>
    <t>routoul</t>
  </si>
  <si>
    <t>rutul</t>
  </si>
  <si>
    <t>Azerbaijan, Russian Federation</t>
  </si>
  <si>
    <t>AZE, RUS</t>
  </si>
  <si>
    <t>Juhur (Caucasus)</t>
  </si>
  <si>
    <t>juhuri (Caucase)</t>
  </si>
  <si>
    <t>judeo-tatÃ­ (CÃ¡ucaso)</t>
  </si>
  <si>
    <t>tsakhour</t>
  </si>
  <si>
    <t>tsajur</t>
  </si>
  <si>
    <t>lezghien</t>
  </si>
  <si>
    <t>lezguio</t>
  </si>
  <si>
    <t>picard</t>
  </si>
  <si>
    <t>picardo</t>
  </si>
  <si>
    <t>Belgium, France</t>
  </si>
  <si>
    <t>BEL, FRA</t>
  </si>
  <si>
    <t>Lorrain</t>
  </si>
  <si>
    <t>lorrain</t>
  </si>
  <si>
    <t>loreno</t>
  </si>
  <si>
    <t>Champenois</t>
  </si>
  <si>
    <t>champenois</t>
  </si>
  <si>
    <t>champaÃ±Ã©s</t>
  </si>
  <si>
    <t>wallon</t>
  </si>
  <si>
    <t>valÃ³n</t>
  </si>
  <si>
    <t>Belgium, France, Luxembourg</t>
  </si>
  <si>
    <t>BEL, FRA, LUX</t>
  </si>
  <si>
    <t>vls, zea</t>
  </si>
  <si>
    <t>flamenco occidental</t>
  </si>
  <si>
    <t>Belgium, France, Netherlands</t>
  </si>
  <si>
    <t>BEL, FRA, NLD</t>
  </si>
  <si>
    <t>tchumbuli</t>
  </si>
  <si>
    <t>BEN</t>
  </si>
  <si>
    <t>pana</t>
  </si>
  <si>
    <t>Burkina Faso</t>
  </si>
  <si>
    <t>BFA</t>
  </si>
  <si>
    <t>Sak (Bangladesh)</t>
  </si>
  <si>
    <t>sak (Bangladesh)</t>
  </si>
  <si>
    <t>Bangladesh</t>
  </si>
  <si>
    <t>BGD</t>
  </si>
  <si>
    <t>Kurux (Bangladesh)</t>
  </si>
  <si>
    <t>kurux (Bangladesh)</t>
  </si>
  <si>
    <t>kuruj (Bangladesh)</t>
  </si>
  <si>
    <t>bawm</t>
  </si>
  <si>
    <t>chin bom</t>
  </si>
  <si>
    <t>Bangladesh, India</t>
  </si>
  <si>
    <t>BGD, IND</t>
  </si>
  <si>
    <t>kokborok</t>
  </si>
  <si>
    <t>kok borok</t>
  </si>
  <si>
    <t>Bishnupriya Manipuri Creole</t>
  </si>
  <si>
    <t>crÃ©ole bishnupriya manipuri</t>
  </si>
  <si>
    <t>manipurÃ­</t>
  </si>
  <si>
    <t>bgx, gag</t>
  </si>
  <si>
    <t>Gagauz (Deli Orman)</t>
  </si>
  <si>
    <t>gagaouze (Deli Orman)</t>
  </si>
  <si>
    <t>gagauso (Deli Orman)</t>
  </si>
  <si>
    <t>Bulgaria</t>
  </si>
  <si>
    <t>BGR</t>
  </si>
  <si>
    <t>Gagauz (Maritime)</t>
  </si>
  <si>
    <t>gagaouze balkanique</t>
  </si>
  <si>
    <t>gagauso (marÃ­timo)</t>
  </si>
  <si>
    <t>Bulgaria, Romania</t>
  </si>
  <si>
    <t>BGR, ROU</t>
  </si>
  <si>
    <t>crh, jct</t>
  </si>
  <si>
    <t>Crimean Tatar (Dobruja)</t>
  </si>
  <si>
    <t>tatar de CrimÃ©e (Dobroudja)</t>
  </si>
  <si>
    <t>tÃ¡rtaro crimeano (Dobruja)</t>
  </si>
  <si>
    <t>GarÃ­funa (Belize)</t>
  </si>
  <si>
    <t>garifuna (Belize)</t>
  </si>
  <si>
    <t>garÃ­funa (Belize)</t>
  </si>
  <si>
    <t>Belize</t>
  </si>
  <si>
    <t>BLZ</t>
  </si>
  <si>
    <t>MopÃ¡n (Belize)</t>
  </si>
  <si>
    <t>mopÃ¡n (Belize)</t>
  </si>
  <si>
    <t>Q'eqchi' (Belize)</t>
  </si>
  <si>
    <t>qâ€™eqchi' (Belize)</t>
  </si>
  <si>
    <t>cachÃ­ (Belize)</t>
  </si>
  <si>
    <t>yucatÃ¨que</t>
  </si>
  <si>
    <t>yucateco</t>
  </si>
  <si>
    <t>Apolista</t>
  </si>
  <si>
    <t>apolista</t>
  </si>
  <si>
    <t>Bolivia (Plurinational State of)</t>
  </si>
  <si>
    <t>BOL</t>
  </si>
  <si>
    <t>kallawaya</t>
  </si>
  <si>
    <t>callawalla</t>
  </si>
  <si>
    <t>canichana</t>
  </si>
  <si>
    <t>cayuvava</t>
  </si>
  <si>
    <t>cayubaba</t>
  </si>
  <si>
    <t>chipaya</t>
  </si>
  <si>
    <t>Chiquitano (Bolivia)</t>
  </si>
  <si>
    <t>chiquitano (Ã‰tat plurinational de Bolivie)</t>
  </si>
  <si>
    <t>itonama</t>
  </si>
  <si>
    <t>leco</t>
  </si>
  <si>
    <t>mosetÃ©n</t>
  </si>
  <si>
    <t>mosetenan</t>
  </si>
  <si>
    <t>chimanÃ©</t>
  </si>
  <si>
    <t>movima</t>
  </si>
  <si>
    <t>yuki</t>
  </si>
  <si>
    <t>yuquÃ­</t>
  </si>
  <si>
    <t>YuracarÃ©</t>
  </si>
  <si>
    <t>yuracarÃ©</t>
  </si>
  <si>
    <t>cavineÃ±a</t>
  </si>
  <si>
    <t>reyesano</t>
  </si>
  <si>
    <t>sirionÃ³</t>
  </si>
  <si>
    <t>baurÃ©</t>
  </si>
  <si>
    <t>guarayu</t>
  </si>
  <si>
    <t>guarayo</t>
  </si>
  <si>
    <t>morÃ©</t>
  </si>
  <si>
    <t>jorÃ¡</t>
  </si>
  <si>
    <t>ayoreo</t>
  </si>
  <si>
    <t>araona</t>
  </si>
  <si>
    <t>Quechua of Southern Bolivia</t>
  </si>
  <si>
    <t>quechua bolivien du sud</t>
  </si>
  <si>
    <t>quechua boliviano meridional</t>
  </si>
  <si>
    <t>Quechua of Northern Bolivia</t>
  </si>
  <si>
    <t>quechua bolivien du nord</t>
  </si>
  <si>
    <t>quechua boliviano septentrional</t>
  </si>
  <si>
    <t>tacana</t>
  </si>
  <si>
    <t>chÃ¡cobo</t>
  </si>
  <si>
    <t>pacawara</t>
  </si>
  <si>
    <t>acahuara</t>
  </si>
  <si>
    <t>Machineri (Bolivia)</t>
  </si>
  <si>
    <t>maxineri (Ã‰tat plurinational de Bolivie)</t>
  </si>
  <si>
    <t>machinere (Bolivia)</t>
  </si>
  <si>
    <t>ign, trn</t>
  </si>
  <si>
    <t>moxo</t>
  </si>
  <si>
    <t>mojo</t>
  </si>
  <si>
    <t>paunaca</t>
  </si>
  <si>
    <t>ayc, ayr</t>
  </si>
  <si>
    <t>aymara</t>
  </si>
  <si>
    <t>Bolivia (Plurinational State of), Chile, Peru</t>
  </si>
  <si>
    <t>BOL, CHL, PER</t>
  </si>
  <si>
    <t>Ese eja</t>
  </si>
  <si>
    <t>ese ejja</t>
  </si>
  <si>
    <t>tiatinagua</t>
  </si>
  <si>
    <t>Bolivia (Plurinational State of), Peru</t>
  </si>
  <si>
    <t>BOL, PER</t>
  </si>
  <si>
    <t>Yaminahua (Bolivia, Peru)</t>
  </si>
  <si>
    <t>yaminawa (Ã‰tat plurinational de Bolivie, PÃ©rou)</t>
  </si>
  <si>
    <t>Yaminahua (Bolivia, PerÃº)</t>
  </si>
  <si>
    <t>bae, mht</t>
  </si>
  <si>
    <t>BarÃ© (Brazil)</t>
  </si>
  <si>
    <t>barÃ© (BrÃ©sil)</t>
  </si>
  <si>
    <t>barÃ© (Brasil)</t>
  </si>
  <si>
    <t>Brazil</t>
  </si>
  <si>
    <t>BRA</t>
  </si>
  <si>
    <t>wck</t>
  </si>
  <si>
    <t>Yanomami (Brazil)</t>
  </si>
  <si>
    <t>yanomami (BrÃ©sil)</t>
  </si>
  <si>
    <t>yanomamÃ¶ (Brasil)</t>
  </si>
  <si>
    <t>akuntsu</t>
  </si>
  <si>
    <t>Arikapu</t>
  </si>
  <si>
    <t>arikapu</t>
  </si>
  <si>
    <t>arikapÃº</t>
  </si>
  <si>
    <t>aruÃ¡</t>
  </si>
  <si>
    <t>Aweti</t>
  </si>
  <si>
    <t>aweti</t>
  </si>
  <si>
    <t>awetÃ­</t>
  </si>
  <si>
    <t>Ajuru</t>
  </si>
  <si>
    <t>ayuru</t>
  </si>
  <si>
    <t>huayorÃ³</t>
  </si>
  <si>
    <t>Barasana (Brazil)</t>
  </si>
  <si>
    <t>barasana (BrÃ©sil)</t>
  </si>
  <si>
    <t>barasana (Brasil)</t>
  </si>
  <si>
    <t>cinta larga</t>
  </si>
  <si>
    <t>diahÃ³i</t>
  </si>
  <si>
    <t>yathÃª</t>
  </si>
  <si>
    <t>fulniÃ³</t>
  </si>
  <si>
    <t>GaviÃ£o de RondÃ´nia</t>
  </si>
  <si>
    <t>gaviÃ£o du RondÃ´nia</t>
  </si>
  <si>
    <t>gaviÃ£o de RondÃ´nia</t>
  </si>
  <si>
    <t>guatÃ³</t>
  </si>
  <si>
    <t>Machineri (Brazil)</t>
  </si>
  <si>
    <t>maxineri (BrÃ©sil)</t>
  </si>
  <si>
    <t>machinere (Brasil)</t>
  </si>
  <si>
    <t>NukinÃ­</t>
  </si>
  <si>
    <t>nukuini</t>
  </si>
  <si>
    <t>Juma</t>
  </si>
  <si>
    <t>juma</t>
  </si>
  <si>
    <t>yuma</t>
  </si>
  <si>
    <t>YurutÃ­ (Brazil)</t>
  </si>
  <si>
    <t>yurutÃ­ (BrÃ©sil)</t>
  </si>
  <si>
    <t>yurutÃ­ (Brasil)</t>
  </si>
  <si>
    <t>kanoÃª</t>
  </si>
  <si>
    <t>kanoÃ©</t>
  </si>
  <si>
    <t>Carapana (Brazil)</t>
  </si>
  <si>
    <t>carapana (BrÃ©sil)</t>
  </si>
  <si>
    <t>carapana (Brasil)</t>
  </si>
  <si>
    <t>karipuna</t>
  </si>
  <si>
    <t>Karitiana</t>
  </si>
  <si>
    <t>karitiÃ¡na</t>
  </si>
  <si>
    <t>caritiana</t>
  </si>
  <si>
    <t>katawixÃ­</t>
  </si>
  <si>
    <t>catahuichÃ­</t>
  </si>
  <si>
    <t>katukina de l'Acre</t>
  </si>
  <si>
    <t>catuquina del Acre</t>
  </si>
  <si>
    <t>kaingang</t>
  </si>
  <si>
    <t>kaingÃ¡n</t>
  </si>
  <si>
    <t>KrenjÃª</t>
  </si>
  <si>
    <t>krenjÃª</t>
  </si>
  <si>
    <t>kreye</t>
  </si>
  <si>
    <t>KwazÃ¡</t>
  </si>
  <si>
    <t>kwaza</t>
  </si>
  <si>
    <t>Nambiquara do Sul</t>
  </si>
  <si>
    <t>nambikwara du sud</t>
  </si>
  <si>
    <t>nambikuÃ¡ra meridional</t>
  </si>
  <si>
    <t>maku</t>
  </si>
  <si>
    <t>makÃº</t>
  </si>
  <si>
    <t>Makurap</t>
  </si>
  <si>
    <t>makurap</t>
  </si>
  <si>
    <t>makurÃ¡p</t>
  </si>
  <si>
    <t>matipu</t>
  </si>
  <si>
    <t>matipuhy</t>
  </si>
  <si>
    <t>Maxakali</t>
  </si>
  <si>
    <t>maxakali</t>
  </si>
  <si>
    <t>maxacalÃ­</t>
  </si>
  <si>
    <t>sakirabiÃ¡t</t>
  </si>
  <si>
    <t>sakirabiÃ¡</t>
  </si>
  <si>
    <t>MiritÃ­ Tapuia</t>
  </si>
  <si>
    <t>miritÃ­-tapuia</t>
  </si>
  <si>
    <t>miriti tapuya</t>
  </si>
  <si>
    <t>ofayÃ©</t>
  </si>
  <si>
    <t>opayÃ©</t>
  </si>
  <si>
    <t>oro win</t>
  </si>
  <si>
    <t>orovÃ­n</t>
  </si>
  <si>
    <t>panarÃ¡</t>
  </si>
  <si>
    <t>YawanawÃ¡</t>
  </si>
  <si>
    <t>yawanawÃ¡</t>
  </si>
  <si>
    <t>Macushi (Brazil)</t>
  </si>
  <si>
    <t>macushi (BrÃ©sil)</t>
  </si>
  <si>
    <t>macusÃ­ (Brasil)</t>
  </si>
  <si>
    <t>puruborÃ¡</t>
  </si>
  <si>
    <t>SalamÃ£y</t>
  </si>
  <si>
    <t>mondÃ©</t>
  </si>
  <si>
    <t>Tapayuna</t>
  </si>
  <si>
    <t>tapayuna</t>
  </si>
  <si>
    <t>trumai</t>
  </si>
  <si>
    <t>trumaÃ­</t>
  </si>
  <si>
    <t>wari</t>
  </si>
  <si>
    <t>tubarÃ£o/ huarÃ­</t>
  </si>
  <si>
    <t>xetÃ¡</t>
  </si>
  <si>
    <t>Apalai</t>
  </si>
  <si>
    <t>apalai</t>
  </si>
  <si>
    <t>aparaÃ­</t>
  </si>
  <si>
    <t>ArÃ¡ra ShawÃ£dÃ¡wa</t>
  </si>
  <si>
    <t>arara-shawanawa</t>
  </si>
  <si>
    <t>catuquina</t>
  </si>
  <si>
    <t>Kayabi</t>
  </si>
  <si>
    <t>kayabi</t>
  </si>
  <si>
    <t>kayabÃ­</t>
  </si>
  <si>
    <t>Kuikuro</t>
  </si>
  <si>
    <t>kuikuro</t>
  </si>
  <si>
    <t>Yudja</t>
  </si>
  <si>
    <t>yudja</t>
  </si>
  <si>
    <t>kisÃªdjÃª</t>
  </si>
  <si>
    <t>ikpeng</t>
  </si>
  <si>
    <t>Wauja</t>
  </si>
  <si>
    <t>wauja</t>
  </si>
  <si>
    <t>kalapalo</t>
  </si>
  <si>
    <t>nahukwa</t>
  </si>
  <si>
    <t>apiakÃ¡</t>
  </si>
  <si>
    <t>mehinÃ¡ku</t>
  </si>
  <si>
    <t>mehinakÃº</t>
  </si>
  <si>
    <t>Yawalapiti</t>
  </si>
  <si>
    <t>yawalapiti</t>
  </si>
  <si>
    <t>yawalapitÃ­</t>
  </si>
  <si>
    <t>kamaiurÃ¡</t>
  </si>
  <si>
    <t>kamayurÃ¡</t>
  </si>
  <si>
    <t>Guarasu</t>
  </si>
  <si>
    <t>guarasu</t>
  </si>
  <si>
    <t>guarasÃº</t>
  </si>
  <si>
    <t>Djeoromitxi</t>
  </si>
  <si>
    <t>djeoromitxi</t>
  </si>
  <si>
    <t>jabutÃ­</t>
  </si>
  <si>
    <t>kÃ¡ro</t>
  </si>
  <si>
    <t>karo</t>
  </si>
  <si>
    <t>Kaxarari</t>
  </si>
  <si>
    <t>kaxarari</t>
  </si>
  <si>
    <t>kaxararÃ­</t>
  </si>
  <si>
    <t>Kujubim</t>
  </si>
  <si>
    <t>kujubim</t>
  </si>
  <si>
    <t>kuyubÃ­</t>
  </si>
  <si>
    <t>lkd, ltn, xtw, wmd</t>
  </si>
  <si>
    <t>Nambiquara do Norte</t>
  </si>
  <si>
    <t>nambikwara du nord</t>
  </si>
  <si>
    <t>nambikuÃ¡ra septentrional</t>
  </si>
  <si>
    <t>suruÃ­</t>
  </si>
  <si>
    <t>sabanÃª</t>
  </si>
  <si>
    <t>sabanÃªs</t>
  </si>
  <si>
    <t>UrupÃ¡</t>
  </si>
  <si>
    <t>urupÃ¡</t>
  </si>
  <si>
    <t>Tupari</t>
  </si>
  <si>
    <t>tuparÃ­</t>
  </si>
  <si>
    <t>zorÃ³</t>
  </si>
  <si>
    <t>urz, adw</t>
  </si>
  <si>
    <t>Uru-eu-au-au</t>
  </si>
  <si>
    <t>uru-eu-wau-wau</t>
  </si>
  <si>
    <t>uru-eu-uau-uau</t>
  </si>
  <si>
    <t>Desano (Brazil)</t>
  </si>
  <si>
    <t>desano (BrÃ©sil)</t>
  </si>
  <si>
    <t>desano (Brasil)</t>
  </si>
  <si>
    <t>ArapÃ¡so</t>
  </si>
  <si>
    <t>arapÃ¡so</t>
  </si>
  <si>
    <t>arapaso</t>
  </si>
  <si>
    <t>kadiwÃ©u</t>
  </si>
  <si>
    <t>Cashinahua (Brazil)</t>
  </si>
  <si>
    <t>cashinahua (BrÃ©sil)</t>
  </si>
  <si>
    <t>cashinahua (Brasil)</t>
  </si>
  <si>
    <t>shanenawa</t>
  </si>
  <si>
    <t>amanayÃ©</t>
  </si>
  <si>
    <t>anambÃ©</t>
  </si>
  <si>
    <t>Arara do ParÃ¡</t>
  </si>
  <si>
    <t>arara du ParÃ¡</t>
  </si>
  <si>
    <t>arÃ¡ra de ParÃ¡</t>
  </si>
  <si>
    <t>Guajajara</t>
  </si>
  <si>
    <t>guajajÃ¡ra</t>
  </si>
  <si>
    <t>guajajara</t>
  </si>
  <si>
    <t>gaviÃ£o du ParÃ¡</t>
  </si>
  <si>
    <t>gaviÃ£o do Para</t>
  </si>
  <si>
    <t>hixkaryÃ¡na</t>
  </si>
  <si>
    <t>hixkaryana</t>
  </si>
  <si>
    <t>Katxuyana-XikuyÃ¡na</t>
  </si>
  <si>
    <t>kaxuiÃ¢na-xikuyÃ¡na</t>
  </si>
  <si>
    <t>cachuana-warikyana</t>
  </si>
  <si>
    <t>kuruÃ¡ya</t>
  </si>
  <si>
    <t>mundurukÃº</t>
  </si>
  <si>
    <t>mundurucÃº</t>
  </si>
  <si>
    <t>tembÃ©</t>
  </si>
  <si>
    <t>Trio (Brazil)</t>
  </si>
  <si>
    <t>trio (BrÃ©sil)</t>
  </si>
  <si>
    <t>triÃ³ (Brasil)</t>
  </si>
  <si>
    <t>Waiwai (Brazil)</t>
  </si>
  <si>
    <t>waiwai (BrÃ©sil)</t>
  </si>
  <si>
    <t>waiwai (Brasil)</t>
  </si>
  <si>
    <t>Wayana (Brazil)</t>
  </si>
  <si>
    <t>wayana (BrÃ©sil)</t>
  </si>
  <si>
    <t>wayana (Brasil)</t>
  </si>
  <si>
    <t>Mebengokre</t>
  </si>
  <si>
    <t>mebengokre</t>
  </si>
  <si>
    <t>cayapÃ³</t>
  </si>
  <si>
    <t>XipÃ¡ya</t>
  </si>
  <si>
    <t>xipaya</t>
  </si>
  <si>
    <t>Zo'Ã©</t>
  </si>
  <si>
    <t>zo'Ã©</t>
  </si>
  <si>
    <t>poturÃº</t>
  </si>
  <si>
    <t>Ka'apÃ³r</t>
  </si>
  <si>
    <t>ka'apÃ³r</t>
  </si>
  <si>
    <t>urubÃº-kaapor</t>
  </si>
  <si>
    <t>wayÃ£pi</t>
  </si>
  <si>
    <t>AurÃª-AurÃ¡</t>
  </si>
  <si>
    <t>aurÃª-aurÃ¡</t>
  </si>
  <si>
    <t>aurÃ¡</t>
  </si>
  <si>
    <t>car, ciy</t>
  </si>
  <si>
    <t>Kari'Ã±a (Brazil)</t>
  </si>
  <si>
    <t>galibi (BrÃ©sil)</t>
  </si>
  <si>
    <t>galibi (Brasil)</t>
  </si>
  <si>
    <t>Galibi Marworno</t>
  </si>
  <si>
    <t>galibi-marworno</t>
  </si>
  <si>
    <t>caribe-marworno</t>
  </si>
  <si>
    <t>guajÃ¡</t>
  </si>
  <si>
    <t>Kanela Apaniekra</t>
  </si>
  <si>
    <t>canela apaniekra</t>
  </si>
  <si>
    <t>Kanela Rankokamekra</t>
  </si>
  <si>
    <t>canela rankokamekra</t>
  </si>
  <si>
    <t>canela ramkokomekra</t>
  </si>
  <si>
    <t>karipuna de l'AmapÃ¡</t>
  </si>
  <si>
    <t>karipuna del AmapÃ¡</t>
  </si>
  <si>
    <t>Krikati</t>
  </si>
  <si>
    <t>krikati</t>
  </si>
  <si>
    <t>arawetÃ©</t>
  </si>
  <si>
    <t>mdz, pak, asu</t>
  </si>
  <si>
    <t>AkwÃ¡wa</t>
  </si>
  <si>
    <t>akwÃ¡wa</t>
  </si>
  <si>
    <t>assurinÃ­ do Tocantins</t>
  </si>
  <si>
    <t>Asurini do Xingu</t>
  </si>
  <si>
    <t>asurinÃ­ du Xingu</t>
  </si>
  <si>
    <t>assurinÃ­ do XingÃº</t>
  </si>
  <si>
    <t>mawÃ©</t>
  </si>
  <si>
    <t>mawÃ©-saterÃ©</t>
  </si>
  <si>
    <t>denÃ­</t>
  </si>
  <si>
    <t>BanawÃ¡ Yafi</t>
  </si>
  <si>
    <t>banawÃ¡ yafi</t>
  </si>
  <si>
    <t>banahuÃ¡</t>
  </si>
  <si>
    <t>pok, bao</t>
  </si>
  <si>
    <t>Bara (Brazil)</t>
  </si>
  <si>
    <t>barÃ¡ (BrÃ©sil)</t>
  </si>
  <si>
    <t>barÃ¡ (Brasil)</t>
  </si>
  <si>
    <t>dÃ¢w</t>
  </si>
  <si>
    <t>kamÃ¡</t>
  </si>
  <si>
    <t>Hupda (Brazil)</t>
  </si>
  <si>
    <t>hupda (BrÃ©sil)</t>
  </si>
  <si>
    <t>hupdÃ© macÃº (Brasil)</t>
  </si>
  <si>
    <t>jamanadÃ­</t>
  </si>
  <si>
    <t>yamamadÃ­</t>
  </si>
  <si>
    <t>jap</t>
  </si>
  <si>
    <t>JarawÃ¡ra</t>
  </si>
  <si>
    <t>jarawÃ¡ra</t>
  </si>
  <si>
    <t>yarawara</t>
  </si>
  <si>
    <t>KaixÃ¡na</t>
  </si>
  <si>
    <t>kaixana</t>
  </si>
  <si>
    <t>Bakairi</t>
  </si>
  <si>
    <t>bakairi</t>
  </si>
  <si>
    <t>bakairÃ­</t>
  </si>
  <si>
    <t>Omagua (Brazil)</t>
  </si>
  <si>
    <t>omagua (BrÃ©sil)</t>
  </si>
  <si>
    <t>omagua (Brasil)</t>
  </si>
  <si>
    <t>cjo, cni, cpb, cpc, cpu, cpy, prq</t>
  </si>
  <si>
    <t>Ashaninka (Brazil)</t>
  </si>
  <si>
    <t>ashaninca (BrÃ©sil)</t>
  </si>
  <si>
    <t>ashÃ©ninca</t>
  </si>
  <si>
    <t>Cocama-Cocamilla (Brazil)</t>
  </si>
  <si>
    <t>cocama-cocamilla (BrÃ©sil)</t>
  </si>
  <si>
    <t>cocama-cocamilla (Brasil)</t>
  </si>
  <si>
    <t>KorÃºbo</t>
  </si>
  <si>
    <t>korÃºbo</t>
  </si>
  <si>
    <t>korubo</t>
  </si>
  <si>
    <t>kinikinau</t>
  </si>
  <si>
    <t>Cubeo (Brazil)</t>
  </si>
  <si>
    <t>cubeo (BrÃ©sil)</t>
  </si>
  <si>
    <t>cubeo (Brasil)</t>
  </si>
  <si>
    <t>Culina (Brazil)</t>
  </si>
  <si>
    <t>culina (BrÃ©sil)</t>
  </si>
  <si>
    <t>culina (Brasil)</t>
  </si>
  <si>
    <t>bororo</t>
  </si>
  <si>
    <t>borÃ´ro</t>
  </si>
  <si>
    <t>Kulina PÃ¡no</t>
  </si>
  <si>
    <t>kulina pÃ¡no</t>
  </si>
  <si>
    <t>culina</t>
  </si>
  <si>
    <t>Kurripako (Brazil)</t>
  </si>
  <si>
    <t>kurripako (BrÃ©sil)</t>
  </si>
  <si>
    <t>curripaco (Brasil)</t>
  </si>
  <si>
    <t>Macuna (Brazil)</t>
  </si>
  <si>
    <t>macuna (BrÃ©sil)</t>
  </si>
  <si>
    <t>macuna (Brasil)</t>
  </si>
  <si>
    <t>MarÃºbo</t>
  </si>
  <si>
    <t>marubo</t>
  </si>
  <si>
    <t>marÃºbu</t>
  </si>
  <si>
    <t>matis</t>
  </si>
  <si>
    <t>umutina</t>
  </si>
  <si>
    <t>Mayoruna (Brazil)</t>
  </si>
  <si>
    <t>mayoruna (BrÃ©sil)</t>
  </si>
  <si>
    <t>matsÃ©s (Brasil)</t>
  </si>
  <si>
    <t>MiraÃ±a (Brazil)</t>
  </si>
  <si>
    <t>miraÃ±a (BrÃ©sil)</t>
  </si>
  <si>
    <t>miraÃ±a (Brasil)</t>
  </si>
  <si>
    <t>Pareci</t>
  </si>
  <si>
    <t>pareci</t>
  </si>
  <si>
    <t>parecÃ­s</t>
  </si>
  <si>
    <t>torÃ¡</t>
  </si>
  <si>
    <t>Xavante</t>
  </si>
  <si>
    <t>xavante</t>
  </si>
  <si>
    <t>xavantÃ©</t>
  </si>
  <si>
    <t>hto, huu, hux</t>
  </si>
  <si>
    <t>Huitoto (Brazil)</t>
  </si>
  <si>
    <t>huitoto (BrÃ©sil)</t>
  </si>
  <si>
    <t>huitoto (Brasil)</t>
  </si>
  <si>
    <t>Nheengatu / Yeral (Brazil)</t>
  </si>
  <si>
    <t>nheengatÃº / yeral (BrÃ©sil)</t>
  </si>
  <si>
    <t>nheengatÃº (Brasil)</t>
  </si>
  <si>
    <t>rikbaktsa</t>
  </si>
  <si>
    <t>EnawenÃª-NawÃª</t>
  </si>
  <si>
    <t>enawenÃª-nawÃª</t>
  </si>
  <si>
    <t>salumÃ¡</t>
  </si>
  <si>
    <t>mÃºra</t>
  </si>
  <si>
    <t>mura</t>
  </si>
  <si>
    <t>nadÃ«b</t>
  </si>
  <si>
    <t>macÃº nadeb</t>
  </si>
  <si>
    <t>Parintintin</t>
  </si>
  <si>
    <t>parintintÃ­n</t>
  </si>
  <si>
    <t>parintintin</t>
  </si>
  <si>
    <t>paumarÃ­</t>
  </si>
  <si>
    <t>pirahÃ£</t>
  </si>
  <si>
    <t>mura-piraha</t>
  </si>
  <si>
    <t>Piratapuya (Brazil)</t>
  </si>
  <si>
    <t>piratapuya (BrÃ©sil)</t>
  </si>
  <si>
    <t>pira-tapuya (Brasil)</t>
  </si>
  <si>
    <t>Tariana (Brazil)</t>
  </si>
  <si>
    <t>tariana (BrÃ©sil)</t>
  </si>
  <si>
    <t>tariano (Brasil)</t>
  </si>
  <si>
    <t>tenharÃ­m</t>
  </si>
  <si>
    <t>tenharim</t>
  </si>
  <si>
    <t>Tucano (Brazil)</t>
  </si>
  <si>
    <t>tucano (BrÃ©sil)</t>
  </si>
  <si>
    <t>tucano (Brasil)</t>
  </si>
  <si>
    <t>Tuyuca (Brazil)</t>
  </si>
  <si>
    <t>tuyaca (BrÃ©sil)</t>
  </si>
  <si>
    <t>tuyuca (Brasil)</t>
  </si>
  <si>
    <t>WaimirÃ­-AtroarÃ­</t>
  </si>
  <si>
    <t>waimirÃ­-atroarÃ­</t>
  </si>
  <si>
    <t>atroarÃ­</t>
  </si>
  <si>
    <t>Wanano / Kotiria (Brazil)</t>
  </si>
  <si>
    <t>wanano / kotirya (BrÃ©sil)</t>
  </si>
  <si>
    <t>guanano / kÃ³tedia (Brasil)</t>
  </si>
  <si>
    <t>Warekena (Brazil)</t>
  </si>
  <si>
    <t>warekena (BrÃ©sil)</t>
  </si>
  <si>
    <t>guarequena (Brasil)</t>
  </si>
  <si>
    <t>Yuhup (Brazil)</t>
  </si>
  <si>
    <t>yuhup (BrÃ©sil)</t>
  </si>
  <si>
    <t>yuhupo (Brasil)</t>
  </si>
  <si>
    <t>suruahÃ¡</t>
  </si>
  <si>
    <t>irantxe-mynky</t>
  </si>
  <si>
    <t>irantxe</t>
  </si>
  <si>
    <t>myky</t>
  </si>
  <si>
    <t>karajÃ¡</t>
  </si>
  <si>
    <t>Xerente</t>
  </si>
  <si>
    <t>xerente</t>
  </si>
  <si>
    <t>xerÃ©nte</t>
  </si>
  <si>
    <t>tapirapÃ©</t>
  </si>
  <si>
    <t>xokleng</t>
  </si>
  <si>
    <t>kgk, pta</t>
  </si>
  <si>
    <t>KaiowÃ¡ Guarani</t>
  </si>
  <si>
    <t>guarani-kaiowÃ¡</t>
  </si>
  <si>
    <t>guaranÃ­ kaiowÃ¡</t>
  </si>
  <si>
    <t>Mbya Guarani (Brazil)</t>
  </si>
  <si>
    <t>mbyÃ¡ guarani (BrÃ©sil)</t>
  </si>
  <si>
    <t>guaranÃ­ mbyÃ¡ (Brasil)</t>
  </si>
  <si>
    <t>krenÃ¡k</t>
  </si>
  <si>
    <t>botokudo</t>
  </si>
  <si>
    <t>xakriabÃ¡</t>
  </si>
  <si>
    <t>sakiriabÃ¡</t>
  </si>
  <si>
    <t>Yaminahua (Brazil)</t>
  </si>
  <si>
    <t>yaminawa (BrÃ©sil)</t>
  </si>
  <si>
    <t>yaminahua (Brasil)</t>
  </si>
  <si>
    <t>Ninam (Brazil)</t>
  </si>
  <si>
    <t>ninam (BrÃ©sil)</t>
  </si>
  <si>
    <t>ninam (Brasil)</t>
  </si>
  <si>
    <t>Patamona (Brazil)</t>
  </si>
  <si>
    <t>patamona (BrÃ©sil)</t>
  </si>
  <si>
    <t>patamona (Brasil)</t>
  </si>
  <si>
    <t>Sanema (Brazil)</t>
  </si>
  <si>
    <t>sanema (BrÃ©sil)</t>
  </si>
  <si>
    <t>sanemÃ¡</t>
  </si>
  <si>
    <t>Pemon (Brazil)</t>
  </si>
  <si>
    <t>pemon (BrÃ©sil)</t>
  </si>
  <si>
    <t>pemÃ³n (Brasil)</t>
  </si>
  <si>
    <t>Wapishana (Brazil)</t>
  </si>
  <si>
    <t>wapishana (BrÃ©sil)</t>
  </si>
  <si>
    <t>wapishana (Brasil)</t>
  </si>
  <si>
    <t>Yecuana (Brazil)</t>
  </si>
  <si>
    <t>yecuana (BrÃ©sil)</t>
  </si>
  <si>
    <t>ye'cuana (Brasil)</t>
  </si>
  <si>
    <t>Akawaio (Brazil)</t>
  </si>
  <si>
    <t>akawaio (BrÃ©sil)</t>
  </si>
  <si>
    <t>akawaio (Brasil)</t>
  </si>
  <si>
    <t>YanomÃ¡m</t>
  </si>
  <si>
    <t>yanomam</t>
  </si>
  <si>
    <t>yanomÃ¡mi</t>
  </si>
  <si>
    <t>kav, knm</t>
  </si>
  <si>
    <t>KatukÃ­na-KanamarÃ­</t>
  </si>
  <si>
    <t>katukÃ­na-kanamarÃ­</t>
  </si>
  <si>
    <t>canamarÃ­</t>
  </si>
  <si>
    <t>Siriano (Brazil)</t>
  </si>
  <si>
    <t>siriano (BrÃ©sil)</t>
  </si>
  <si>
    <t>siriano (Brasil)</t>
  </si>
  <si>
    <t>apurinÃ£</t>
  </si>
  <si>
    <t>PukobyÃª</t>
  </si>
  <si>
    <t>pukobyÃª</t>
  </si>
  <si>
    <t>gaviÃ£o pukobiÃª</t>
  </si>
  <si>
    <t>javaÃ©</t>
  </si>
  <si>
    <t>kaparajÃ¡</t>
  </si>
  <si>
    <t>chamboa</t>
  </si>
  <si>
    <t>Ã‘andeva Guarani</t>
  </si>
  <si>
    <t>guarani-Ã±andeva</t>
  </si>
  <si>
    <t>guaranÃ­ Ã±andeva</t>
  </si>
  <si>
    <t>apinajÃ©</t>
  </si>
  <si>
    <t>apinayÃ©</t>
  </si>
  <si>
    <t>Ava-Canoeiro</t>
  </si>
  <si>
    <t>avÃ¡-canoeiro</t>
  </si>
  <si>
    <t>Terena</t>
  </si>
  <si>
    <t>terÃªna</t>
  </si>
  <si>
    <t>tereno</t>
  </si>
  <si>
    <t>Aikana</t>
  </si>
  <si>
    <t>aikanÃ¡</t>
  </si>
  <si>
    <t>Chiquitano (Brazil)</t>
  </si>
  <si>
    <t>chiquitano (BrÃ©sil)</t>
  </si>
  <si>
    <t>Chiquitano (Brasil)</t>
  </si>
  <si>
    <t>krahÃ´</t>
  </si>
  <si>
    <t>krahÃ³</t>
  </si>
  <si>
    <t>Palikur (Brazil)</t>
  </si>
  <si>
    <t>palikur (BrÃ©sil)</t>
  </si>
  <si>
    <t>palikur (Brasil)</t>
  </si>
  <si>
    <t>Poyanawa</t>
  </si>
  <si>
    <t>poyanawa</t>
  </si>
  <si>
    <t>poyanÃ¡wa</t>
  </si>
  <si>
    <t>tikuna</t>
  </si>
  <si>
    <t>ticuna</t>
  </si>
  <si>
    <t>Brazil, Colombia, Peru</t>
  </si>
  <si>
    <t>BRA, COL, PER</t>
  </si>
  <si>
    <t>baniwa de l'IÃ§ana</t>
  </si>
  <si>
    <t>baniwa</t>
  </si>
  <si>
    <t>Brazil, Colombia, Venezuela (Bolivarian Republic of)</t>
  </si>
  <si>
    <t>BRA, COL, VEN</t>
  </si>
  <si>
    <t>chamacoco</t>
  </si>
  <si>
    <t>Brazil, Paraguay</t>
  </si>
  <si>
    <t>BRA, PRY</t>
  </si>
  <si>
    <t>mpw, mzx</t>
  </si>
  <si>
    <t>Mawayana (Brazil)</t>
  </si>
  <si>
    <t>mawayana (BrÃ©sil)</t>
  </si>
  <si>
    <t>mawayana (Brasil)</t>
  </si>
  <si>
    <t>Brazil, Suriname</t>
  </si>
  <si>
    <t>BRA, SUR</t>
  </si>
  <si>
    <t>biÃ©lorusse</t>
  </si>
  <si>
    <t>bielorruso</t>
  </si>
  <si>
    <t>Belarus, Latvia, Lithuania, Poland, Russian Federation, Ukraine</t>
  </si>
  <si>
    <t>BRB, LVA, LTU, POL, RUS, UKR</t>
  </si>
  <si>
    <t>Polesian</t>
  </si>
  <si>
    <t>polÃ©sien</t>
  </si>
  <si>
    <t>polesio</t>
  </si>
  <si>
    <t>Belarus, Poland, Ukraine</t>
  </si>
  <si>
    <t>BRB, POL, UKR</t>
  </si>
  <si>
    <t>brokpa</t>
  </si>
  <si>
    <t>sagtenpa</t>
  </si>
  <si>
    <t>Bhutan</t>
  </si>
  <si>
    <t>brokkat</t>
  </si>
  <si>
    <t>Black Mountain</t>
  </si>
  <si>
    <t>olekha</t>
  </si>
  <si>
    <t>monpa</t>
  </si>
  <si>
    <t>bumthangkha</t>
  </si>
  <si>
    <t>kebumtamp</t>
  </si>
  <si>
    <t>kurtÃ¶p</t>
  </si>
  <si>
    <t>khengkha</t>
  </si>
  <si>
    <t>kheng</t>
  </si>
  <si>
    <t>nyenkha</t>
  </si>
  <si>
    <t>chalikha</t>
  </si>
  <si>
    <t>chalimpa</t>
  </si>
  <si>
    <t>dzalakha</t>
  </si>
  <si>
    <t>Cho-ca-nga-ca-kha</t>
  </si>
  <si>
    <t>chocangacakha</t>
  </si>
  <si>
    <t>dzongkha</t>
  </si>
  <si>
    <t>butanÃ©s</t>
  </si>
  <si>
    <t>gongduk</t>
  </si>
  <si>
    <t>lakha</t>
  </si>
  <si>
    <t>lhokpu</t>
  </si>
  <si>
    <t>lokpu</t>
  </si>
  <si>
    <t>nupbikha</t>
  </si>
  <si>
    <t>tshangla</t>
  </si>
  <si>
    <t>changla</t>
  </si>
  <si>
    <t>Bhutan, China, India</t>
  </si>
  <si>
    <t>BTN, CHN, IND</t>
  </si>
  <si>
    <t>cuona menba</t>
  </si>
  <si>
    <t>monpa de Cuona</t>
  </si>
  <si>
    <t>dakpakha</t>
  </si>
  <si>
    <t>dakpa</t>
  </si>
  <si>
    <t>Bhutan, India</t>
  </si>
  <si>
    <t>BTN, IND</t>
  </si>
  <si>
    <t>lepcha</t>
  </si>
  <si>
    <t>Bhutan, India, Nepal</t>
  </si>
  <si>
    <t>BTN, IND, NPL</t>
  </si>
  <si>
    <t>deti</t>
  </si>
  <si>
    <t>cuengo deti</t>
  </si>
  <si>
    <t>Botswana</t>
  </si>
  <si>
    <t>BWA</t>
  </si>
  <si>
    <t>|Gui</t>
  </si>
  <si>
    <t>|gui</t>
  </si>
  <si>
    <t>gÃ¼ikue</t>
  </si>
  <si>
    <t>Çgana</t>
  </si>
  <si>
    <t>ganakue</t>
  </si>
  <si>
    <t>Çani</t>
  </si>
  <si>
    <t>handÃ¡</t>
  </si>
  <si>
    <t>Ç‚Hoa</t>
  </si>
  <si>
    <t>Ç‚hoa</t>
  </si>
  <si>
    <t>|hua-owani</t>
  </si>
  <si>
    <t>yeyi</t>
  </si>
  <si>
    <t>|Xaise</t>
  </si>
  <si>
    <t>|xaise</t>
  </si>
  <si>
    <t>Ts'Ã¨xa</t>
  </si>
  <si>
    <t>ts'Ã¨xa</t>
  </si>
  <si>
    <t>macua</t>
  </si>
  <si>
    <t>danisi</t>
  </si>
  <si>
    <t>danisa</t>
  </si>
  <si>
    <t>engamanÃ­</t>
  </si>
  <si>
    <t>birri</t>
  </si>
  <si>
    <t>Central African Republic</t>
  </si>
  <si>
    <t>CAF</t>
  </si>
  <si>
    <t>gemÃ©</t>
  </si>
  <si>
    <t>gueme</t>
  </si>
  <si>
    <t>ngombÃ©</t>
  </si>
  <si>
    <t>engombÃ©</t>
  </si>
  <si>
    <t>ukhwejo</t>
  </si>
  <si>
    <t>yulu</t>
  </si>
  <si>
    <t>Central African Republic, Democratic Republic of the Congo, Sudan</t>
  </si>
  <si>
    <t>CAF, ZAI, SDN</t>
  </si>
  <si>
    <t>lillooet</t>
  </si>
  <si>
    <t>liluet</t>
  </si>
  <si>
    <t>CAN</t>
  </si>
  <si>
    <t>lakota</t>
  </si>
  <si>
    <t>Kivallirmiutut</t>
  </si>
  <si>
    <t>kivallirmiut</t>
  </si>
  <si>
    <t>kivallirmiutut</t>
  </si>
  <si>
    <t>kaska</t>
  </si>
  <si>
    <t>North Alaskan Inupiaq (Canada)</t>
  </si>
  <si>
    <t>inupiaq du nord de l'Alaska (Canada)</t>
  </si>
  <si>
    <t>inuÃ­ alaskiano septentrional (CanadÃ¡)</t>
  </si>
  <si>
    <t>inuinnaqtun</t>
  </si>
  <si>
    <t>heiltsuk</t>
  </si>
  <si>
    <t>heilchuco</t>
  </si>
  <si>
    <t>haisla</t>
  </si>
  <si>
    <t>Southern Haida</t>
  </si>
  <si>
    <t>haida mÃ©ridional</t>
  </si>
  <si>
    <t>haida meridional</t>
  </si>
  <si>
    <t>Gwich'in (Canada)</t>
  </si>
  <si>
    <t>gwichin (Canada)</t>
  </si>
  <si>
    <t>gÃ¼ichÃ­n (CanadÃ¡)</t>
  </si>
  <si>
    <t>gitskan</t>
  </si>
  <si>
    <t>nass-gitskan</t>
  </si>
  <si>
    <t>montagnais de l'est</t>
  </si>
  <si>
    <t>montaÃ±Ã©s oriental</t>
  </si>
  <si>
    <t>dogrib</t>
  </si>
  <si>
    <t>dogrÃ­</t>
  </si>
  <si>
    <t>Dene Suline</t>
  </si>
  <si>
    <t>dene suline</t>
  </si>
  <si>
    <t>denÃ© sulinÃ©</t>
  </si>
  <si>
    <t>dakota</t>
  </si>
  <si>
    <t>Woods Cree</t>
  </si>
  <si>
    <t>cree des bois</t>
  </si>
  <si>
    <t>clisteno del bosque</t>
  </si>
  <si>
    <t>Swampy Cree</t>
  </si>
  <si>
    <t>swampy cree</t>
  </si>
  <si>
    <t>clisteno occidental</t>
  </si>
  <si>
    <t>cree des plaines</t>
  </si>
  <si>
    <t>clisteno de las llanuras</t>
  </si>
  <si>
    <t>Moose Cree</t>
  </si>
  <si>
    <t>cree de Moose</t>
  </si>
  <si>
    <t>clisteno moose</t>
  </si>
  <si>
    <t>Southern East Cree</t>
  </si>
  <si>
    <t>cree du sud-est</t>
  </si>
  <si>
    <t>clisteno suroriental</t>
  </si>
  <si>
    <t>Northern East Cree</t>
  </si>
  <si>
    <t>cree du nord-est</t>
  </si>
  <si>
    <t>clisteno nororiental</t>
  </si>
  <si>
    <t>Comox/Sliammon</t>
  </si>
  <si>
    <t>comox/sliammon</t>
  </si>
  <si>
    <t>cÃ³mox</t>
  </si>
  <si>
    <t>michif</t>
  </si>
  <si>
    <t>chilcotin</t>
  </si>
  <si>
    <t>chilcotÃ­n</t>
  </si>
  <si>
    <t>Cayuga (Canada)</t>
  </si>
  <si>
    <t>cayuga (Canada)</t>
  </si>
  <si>
    <t>cayuga (CanadÃ¡)</t>
  </si>
  <si>
    <t>bcr, caf, crx</t>
  </si>
  <si>
    <t>carrier</t>
  </si>
  <si>
    <t>Blackfoot (Canada)</t>
  </si>
  <si>
    <t>pied-noir (Canada)</t>
  </si>
  <si>
    <t>pies negros (CanadÃ¡)</t>
  </si>
  <si>
    <t>Micmac (Canada)</t>
  </si>
  <si>
    <t>micmac (Canada)</t>
  </si>
  <si>
    <t>micmac (CanadÃ¡)</t>
  </si>
  <si>
    <t>Maniwaki Algonquin</t>
  </si>
  <si>
    <t>algonquin maniwaki</t>
  </si>
  <si>
    <t>algonquino de Maniwaki</t>
  </si>
  <si>
    <t>Mohawk (Wahta)</t>
  </si>
  <si>
    <t>mohawk (Wahta)</t>
  </si>
  <si>
    <t>mohaquÃ©s (Wahta)</t>
  </si>
  <si>
    <t>Mohawk (Tyendinega)</t>
  </si>
  <si>
    <t>mohawk (Tyendinaga)</t>
  </si>
  <si>
    <t>mohaquÃ©s (Tyendinega)</t>
  </si>
  <si>
    <t>Munsee (Canada)</t>
  </si>
  <si>
    <t>munsee (Canada)</t>
  </si>
  <si>
    <t>unamÃ­ (CanadÃ¡)</t>
  </si>
  <si>
    <t>Mohawk (Kanesatake)</t>
  </si>
  <si>
    <t>mohawk (Kanesatake)</t>
  </si>
  <si>
    <t>mohaquÃ©s (Kanesatake)</t>
  </si>
  <si>
    <t>bella coola</t>
  </si>
  <si>
    <t>bilcula</t>
  </si>
  <si>
    <t>atikamekw</t>
  </si>
  <si>
    <t>atikamek</t>
  </si>
  <si>
    <t>beaver</t>
  </si>
  <si>
    <t>castor</t>
  </si>
  <si>
    <t>Aivilingmiutut</t>
  </si>
  <si>
    <t>aivilingmiut</t>
  </si>
  <si>
    <t>aivilingmiutut</t>
  </si>
  <si>
    <t>Assiniboine (Canada)</t>
  </si>
  <si>
    <t>assiniboine (Canada)</t>
  </si>
  <si>
    <t>asinibÃ³in (CanadÃ¡)</t>
  </si>
  <si>
    <t>naskapi</t>
  </si>
  <si>
    <t>naskapÃ­</t>
  </si>
  <si>
    <t>natsilingmiutut</t>
  </si>
  <si>
    <t>Nisga'a</t>
  </si>
  <si>
    <t>nisgaâ€™a</t>
  </si>
  <si>
    <t>nasguixiÃ¡n niska</t>
  </si>
  <si>
    <t>noo</t>
  </si>
  <si>
    <t>nootka</t>
  </si>
  <si>
    <t>nutka</t>
  </si>
  <si>
    <t>North Slavey</t>
  </si>
  <si>
    <t>slavey du nord</t>
  </si>
  <si>
    <t>eslavi septentrional</t>
  </si>
  <si>
    <t>algonquin du nord</t>
  </si>
  <si>
    <t>algonquino septentrional</t>
  </si>
  <si>
    <t>Northern Tutchone</t>
  </si>
  <si>
    <t>tutchone du nord</t>
  </si>
  <si>
    <t>tutchone septentrional</t>
  </si>
  <si>
    <t>Nunatsiavummiutut</t>
  </si>
  <si>
    <t>nunatsiavummiutut</t>
  </si>
  <si>
    <t>Nunavimmiutitut</t>
  </si>
  <si>
    <t>nunavimmiutitut</t>
  </si>
  <si>
    <t>ojibwe central</t>
  </si>
  <si>
    <t>oyibua central</t>
  </si>
  <si>
    <t>Eastern Ojibwe</t>
  </si>
  <si>
    <t>ojibwe de l'est</t>
  </si>
  <si>
    <t>oyibua oriental</t>
  </si>
  <si>
    <t>Northwestern Ojibwe</t>
  </si>
  <si>
    <t>ojibwe du nord-ouest</t>
  </si>
  <si>
    <t>oyibua noroccidental</t>
  </si>
  <si>
    <t>oji-cree</t>
  </si>
  <si>
    <t>oyi-clisteno</t>
  </si>
  <si>
    <t>Potawatomi (Canada)</t>
  </si>
  <si>
    <t>potawatomi (Canada)</t>
  </si>
  <si>
    <t>potahuatomÃ­ (CanadÃ¡)</t>
  </si>
  <si>
    <t>Qikiqtaaluk nigiani</t>
  </si>
  <si>
    <t>nigiani de Qikiqtaaluk</t>
  </si>
  <si>
    <t>qikiqtaaluk nigiani</t>
  </si>
  <si>
    <t>Qikiqtaaluk uannangani</t>
  </si>
  <si>
    <t>uannangani de Qikiqtaaluk</t>
  </si>
  <si>
    <t>qikiqtaaluk uannangani</t>
  </si>
  <si>
    <t>sarcee</t>
  </si>
  <si>
    <t>sarsi</t>
  </si>
  <si>
    <t>saulteau</t>
  </si>
  <si>
    <t>saulteaux</t>
  </si>
  <si>
    <t>sechelt</t>
  </si>
  <si>
    <t>sekani</t>
  </si>
  <si>
    <t>sekanÃ­</t>
  </si>
  <si>
    <t>Seneca (Canada)</t>
  </si>
  <si>
    <t>seneca (Canada)</t>
  </si>
  <si>
    <t>seneca (CanadÃ¡)</t>
  </si>
  <si>
    <t>shuswap</t>
  </si>
  <si>
    <t>chusvapo</t>
  </si>
  <si>
    <t>siglitun</t>
  </si>
  <si>
    <t>South Slavey</t>
  </si>
  <si>
    <t>slavey du sud</t>
  </si>
  <si>
    <t>eslavi meridional</t>
  </si>
  <si>
    <t>Southern Tutchone</t>
  </si>
  <si>
    <t>tutchone du sud</t>
  </si>
  <si>
    <t>tutchone meridional</t>
  </si>
  <si>
    <t>squamish</t>
  </si>
  <si>
    <t>esquihuamÃ©s</t>
  </si>
  <si>
    <t>stoney</t>
  </si>
  <si>
    <t>estoni</t>
  </si>
  <si>
    <t>tagish</t>
  </si>
  <si>
    <t>tagÃ­s</t>
  </si>
  <si>
    <t>tahltan</t>
  </si>
  <si>
    <t>thompson</t>
  </si>
  <si>
    <t>nikutamÃº</t>
  </si>
  <si>
    <t>Tlingit (Canada)</t>
  </si>
  <si>
    <t>tlingit (Canada)</t>
  </si>
  <si>
    <t>coluchano (CanadÃ¡)</t>
  </si>
  <si>
    <t>tshimsian</t>
  </si>
  <si>
    <t>chimesiano</t>
  </si>
  <si>
    <t>Tuscarora (Canada)</t>
  </si>
  <si>
    <t>tuscarora (Canada)</t>
  </si>
  <si>
    <t>tuscarora (CanadÃ¡)</t>
  </si>
  <si>
    <t>Upper Tanana (Canada)</t>
  </si>
  <si>
    <t>haut-tanana (Canada)</t>
  </si>
  <si>
    <t>tanana alto (CanadÃ¡)</t>
  </si>
  <si>
    <t>Western Abenaki (Canada)</t>
  </si>
  <si>
    <t>abÃ©naqui occidental (Canada)</t>
  </si>
  <si>
    <t>abenakÃ­ occidental (CanadÃ¡)</t>
  </si>
  <si>
    <t>montagnais de l'ouest</t>
  </si>
  <si>
    <t>montaÃ±Ã©s occidental</t>
  </si>
  <si>
    <t>Han (Canada)</t>
  </si>
  <si>
    <t>han (Canada)</t>
  </si>
  <si>
    <t>han (CanadÃ¡)</t>
  </si>
  <si>
    <t>Bungee</t>
  </si>
  <si>
    <t>bungee</t>
  </si>
  <si>
    <t>bungui</t>
  </si>
  <si>
    <t>Huron-Wyandot (Canada)</t>
  </si>
  <si>
    <t>huron-wyandot (Canada)</t>
  </si>
  <si>
    <t>huron (CanadÃ¡)</t>
  </si>
  <si>
    <t>inuktitut rigolet</t>
  </si>
  <si>
    <t>inuÃ­ rigolet</t>
  </si>
  <si>
    <t>ptw</t>
  </si>
  <si>
    <t>Pentlatch</t>
  </si>
  <si>
    <t>pentlatch</t>
  </si>
  <si>
    <t>txc</t>
  </si>
  <si>
    <t>Tsetsaut</t>
  </si>
  <si>
    <t>tsetsaut</t>
  </si>
  <si>
    <t>Mohawk (Six nations)</t>
  </si>
  <si>
    <t>mohawk (Six nations)</t>
  </si>
  <si>
    <t>mohaquÃ©s (seis naciones)</t>
  </si>
  <si>
    <t>Mohawk (Kahnawake)</t>
  </si>
  <si>
    <t>mohawk (Kahnawake)</t>
  </si>
  <si>
    <t>mohaquÃ©s (Kahnawake)</t>
  </si>
  <si>
    <t>Kwak'wala</t>
  </si>
  <si>
    <t>kwak'wala</t>
  </si>
  <si>
    <t>kwakwala</t>
  </si>
  <si>
    <t>Canada, United States of America</t>
  </si>
  <si>
    <t>CAN, USA</t>
  </si>
  <si>
    <t>kutenai</t>
  </si>
  <si>
    <t>kutenÃ¡i</t>
  </si>
  <si>
    <t>halkomelem</t>
  </si>
  <si>
    <t>halkomelÃ©n</t>
  </si>
  <si>
    <t>Northern Haida</t>
  </si>
  <si>
    <t>haida septentrional</t>
  </si>
  <si>
    <t>Ottawa (Walpole Island)</t>
  </si>
  <si>
    <t>ottawa (Ã®le Walpole)</t>
  </si>
  <si>
    <t>oyibua odahua (Isla de Walpole)</t>
  </si>
  <si>
    <t>malÃ©cite</t>
  </si>
  <si>
    <t>malesÃ­</t>
  </si>
  <si>
    <t>okanagan</t>
  </si>
  <si>
    <t>okanogÃ¡n</t>
  </si>
  <si>
    <t>Oneida (Canada)</t>
  </si>
  <si>
    <t>oneida (Canada)</t>
  </si>
  <si>
    <t>oneida (CanadÃ¡)</t>
  </si>
  <si>
    <t>Onondaga (Canada)</t>
  </si>
  <si>
    <t>onondaga (Canada)</t>
  </si>
  <si>
    <t>onondaga (CanadÃ¡)</t>
  </si>
  <si>
    <t>Ottawa (Canada)</t>
  </si>
  <si>
    <t>ottawa (Canada)</t>
  </si>
  <si>
    <t>oyibua odahua (CanadÃ¡)</t>
  </si>
  <si>
    <t>Straits Salish</t>
  </si>
  <si>
    <t>salish straits</t>
  </si>
  <si>
    <t>straits salish</t>
  </si>
  <si>
    <t>romanche</t>
  </si>
  <si>
    <t>huilliche</t>
  </si>
  <si>
    <t>Chile</t>
  </si>
  <si>
    <t>CHL</t>
  </si>
  <si>
    <t>Mapuche (Chile)</t>
  </si>
  <si>
    <t>mapuche (Chile)</t>
  </si>
  <si>
    <t>kawesqar</t>
  </si>
  <si>
    <t>kahuÃ©skar</t>
  </si>
  <si>
    <t>yahgan</t>
  </si>
  <si>
    <t>yÃ¡mana</t>
  </si>
  <si>
    <t>rapanui</t>
  </si>
  <si>
    <t>Dagur (Amur)</t>
  </si>
  <si>
    <t>dagour (Amour)</t>
  </si>
  <si>
    <t>daguro (Amur)</t>
  </si>
  <si>
    <t>China</t>
  </si>
  <si>
    <t>CHN</t>
  </si>
  <si>
    <t>Dagur (Hailar)</t>
  </si>
  <si>
    <t>dagour (Hailar)</t>
  </si>
  <si>
    <t>daguro (Hailar)</t>
  </si>
  <si>
    <t>Dagur (Nonni)</t>
  </si>
  <si>
    <t>dagour (Nonni)</t>
  </si>
  <si>
    <t>daguro (Nonni)</t>
  </si>
  <si>
    <t>juc, mnc</t>
  </si>
  <si>
    <t>Manchu (Nonni)</t>
  </si>
  <si>
    <t>mandchou (Nonni)</t>
  </si>
  <si>
    <t>manchÃº (Nonni)</t>
  </si>
  <si>
    <t>Manchu (Amur)</t>
  </si>
  <si>
    <t>mandchou (Amour)</t>
  </si>
  <si>
    <t>manchÃº (Amur)</t>
  </si>
  <si>
    <t>kirghiz de Mandchourie</t>
  </si>
  <si>
    <t>quirguÃ­s manchuriano</t>
  </si>
  <si>
    <t>Manchurian Ã–lÃ¶t</t>
  </si>
  <si>
    <t>eleuthe mandchou</t>
  </si>
  <si>
    <t>oirato</t>
  </si>
  <si>
    <t>evn, orh</t>
  </si>
  <si>
    <t>Evenki (Manchuria)</t>
  </si>
  <si>
    <t>Ã©venki (Mandchourie)</t>
  </si>
  <si>
    <t>evenki (Manchuria)</t>
  </si>
  <si>
    <t>Kyakala</t>
  </si>
  <si>
    <t>solon</t>
  </si>
  <si>
    <t>ayizi</t>
  </si>
  <si>
    <t>gazhuo</t>
  </si>
  <si>
    <t>kaduo</t>
  </si>
  <si>
    <t>katou</t>
  </si>
  <si>
    <t>gasu</t>
  </si>
  <si>
    <t>paliu</t>
  </si>
  <si>
    <t>palyu</t>
  </si>
  <si>
    <t>yik, ywt, yit, ywl</t>
  </si>
  <si>
    <t>lalo</t>
  </si>
  <si>
    <t>lamu</t>
  </si>
  <si>
    <t>Laomian (China)</t>
  </si>
  <si>
    <t>laomian (Chine)</t>
  </si>
  <si>
    <t>laomian (China)</t>
  </si>
  <si>
    <t>pupeo</t>
  </si>
  <si>
    <t>samatao</t>
  </si>
  <si>
    <t>samaduo</t>
  </si>
  <si>
    <t>sani</t>
  </si>
  <si>
    <t>samei</t>
  </si>
  <si>
    <t>Sanyi</t>
  </si>
  <si>
    <t>sanyi</t>
  </si>
  <si>
    <t>sanie</t>
  </si>
  <si>
    <t>tanglang</t>
  </si>
  <si>
    <t>Zaozou</t>
  </si>
  <si>
    <t>zaozou</t>
  </si>
  <si>
    <t>drh, khk, mvf</t>
  </si>
  <si>
    <t>ordos</t>
  </si>
  <si>
    <t>ordoso</t>
  </si>
  <si>
    <t>kangjia</t>
  </si>
  <si>
    <t>Huzhu Monguor</t>
  </si>
  <si>
    <t>monguor de Huzhu</t>
  </si>
  <si>
    <t>Minhe Monguor</t>
  </si>
  <si>
    <t>minhe monguor</t>
  </si>
  <si>
    <t>monguor de Minhe</t>
  </si>
  <si>
    <t>dongxiang</t>
  </si>
  <si>
    <t>santa</t>
  </si>
  <si>
    <t>bonan</t>
  </si>
  <si>
    <t>wutun</t>
  </si>
  <si>
    <t>wutunhua</t>
  </si>
  <si>
    <t>Saryg Yugur</t>
  </si>
  <si>
    <t>sari yougour</t>
  </si>
  <si>
    <t>yugur sarig</t>
  </si>
  <si>
    <t>Shira Yugur</t>
  </si>
  <si>
    <t>shira yougur</t>
  </si>
  <si>
    <t>yugur sira</t>
  </si>
  <si>
    <t>salar</t>
  </si>
  <si>
    <t>xibe</t>
  </si>
  <si>
    <t>xibo</t>
  </si>
  <si>
    <t>Sinkiang Dagur</t>
  </si>
  <si>
    <t>dagour du Sinkiang</t>
  </si>
  <si>
    <t>daguro de Xinjiang</t>
  </si>
  <si>
    <t>Ongkor Solon</t>
  </si>
  <si>
    <t>solon d'Ongkor</t>
  </si>
  <si>
    <t>solon ongkor</t>
  </si>
  <si>
    <t>ili turki</t>
  </si>
  <si>
    <t>sarikoli</t>
  </si>
  <si>
    <t>Waxiang</t>
  </si>
  <si>
    <t>waxiang</t>
  </si>
  <si>
    <t>vasianhuÃ¡</t>
  </si>
  <si>
    <t>Jiongnai Bunu</t>
  </si>
  <si>
    <t>bunu jiongnai</t>
  </si>
  <si>
    <t>bunÃº jiongnai</t>
  </si>
  <si>
    <t>choni</t>
  </si>
  <si>
    <t>Tangwang</t>
  </si>
  <si>
    <t>tangwang</t>
  </si>
  <si>
    <t>yami</t>
  </si>
  <si>
    <t>tayal</t>
  </si>
  <si>
    <t>atayal</t>
  </si>
  <si>
    <t>taroko</t>
  </si>
  <si>
    <t>bunun</t>
  </si>
  <si>
    <t>bunÃºn</t>
  </si>
  <si>
    <t>amis</t>
  </si>
  <si>
    <t>paiwan</t>
  </si>
  <si>
    <t>pyuma</t>
  </si>
  <si>
    <t>rukai</t>
  </si>
  <si>
    <t>rukÃ¡i</t>
  </si>
  <si>
    <t>tsou</t>
  </si>
  <si>
    <t>saisiyat</t>
  </si>
  <si>
    <t>ais</t>
  </si>
  <si>
    <t>Nataoran</t>
  </si>
  <si>
    <t>nataoran</t>
  </si>
  <si>
    <t>amÃ­ nataorano</t>
  </si>
  <si>
    <t>kavalan</t>
  </si>
  <si>
    <t>kavalano</t>
  </si>
  <si>
    <t>saaroa</t>
  </si>
  <si>
    <t>kanakanabu</t>
  </si>
  <si>
    <t>thao</t>
  </si>
  <si>
    <t>babuza</t>
  </si>
  <si>
    <t>taokas</t>
  </si>
  <si>
    <t>papora</t>
  </si>
  <si>
    <t>hoanya</t>
  </si>
  <si>
    <t>kulun</t>
  </si>
  <si>
    <t>pazeh</t>
  </si>
  <si>
    <t>basay</t>
  </si>
  <si>
    <t>siraya</t>
  </si>
  <si>
    <t>siraiya</t>
  </si>
  <si>
    <t>ketangalan</t>
  </si>
  <si>
    <t>ketangalano</t>
  </si>
  <si>
    <t>Mang (China)</t>
  </si>
  <si>
    <t>mang (Chine)</t>
  </si>
  <si>
    <t>mang (China)</t>
  </si>
  <si>
    <t>Khmin</t>
  </si>
  <si>
    <t>khmin</t>
  </si>
  <si>
    <t>hu</t>
  </si>
  <si>
    <t>u</t>
  </si>
  <si>
    <t>Cosung (China)</t>
  </si>
  <si>
    <t>cosung (Chine)</t>
  </si>
  <si>
    <t>cosung (China)</t>
  </si>
  <si>
    <t>ypa, ypg, ypo, yip, ypn, yhl, ypb, phh, ypm, ypp, yph, ypz</t>
  </si>
  <si>
    <t>Phula (China)</t>
  </si>
  <si>
    <t>phula (Chine)</t>
  </si>
  <si>
    <t>pula (China)</t>
  </si>
  <si>
    <t>Baheng (China)</t>
  </si>
  <si>
    <t>baheng (Chine)</t>
  </si>
  <si>
    <t>baheng (China)</t>
  </si>
  <si>
    <t>Wunai Bunu</t>
  </si>
  <si>
    <t>bunu wunai</t>
  </si>
  <si>
    <t>bunÃº wunai</t>
  </si>
  <si>
    <t>Numao Bunu</t>
  </si>
  <si>
    <t>bunu numao</t>
  </si>
  <si>
    <t>bunÃº bunao</t>
  </si>
  <si>
    <t>Younuo Bunu</t>
  </si>
  <si>
    <t>bunu younuo</t>
  </si>
  <si>
    <t>bunÃº yunuo</t>
  </si>
  <si>
    <t>Mok (China)</t>
  </si>
  <si>
    <t>mok (Chine)</t>
  </si>
  <si>
    <t>mok (China)</t>
  </si>
  <si>
    <t>pakan</t>
  </si>
  <si>
    <t>bugÃ¡n</t>
  </si>
  <si>
    <t>Wuse</t>
  </si>
  <si>
    <t>wuse</t>
  </si>
  <si>
    <t>wusehuÃ¡</t>
  </si>
  <si>
    <t>patua</t>
  </si>
  <si>
    <t>macanÃ©s</t>
  </si>
  <si>
    <t>talu</t>
  </si>
  <si>
    <t>sangkong</t>
  </si>
  <si>
    <t>muda</t>
  </si>
  <si>
    <t>Mo'ang (China)</t>
  </si>
  <si>
    <t>moâ€™ang (Chine)</t>
  </si>
  <si>
    <t>moang (China)</t>
  </si>
  <si>
    <t>ymx, ymq, ymc, ymi, ymz</t>
  </si>
  <si>
    <t>muji</t>
  </si>
  <si>
    <t>muyi</t>
  </si>
  <si>
    <t>utsat</t>
  </si>
  <si>
    <t>yzg, yha, yin</t>
  </si>
  <si>
    <t>buyang</t>
  </si>
  <si>
    <t>buyÃ¡n</t>
  </si>
  <si>
    <t>gio</t>
  </si>
  <si>
    <t>Aqaw Gelao</t>
  </si>
  <si>
    <t>gelao aqaw</t>
  </si>
  <si>
    <t>aqao</t>
  </si>
  <si>
    <t>Green Gelao (China)</t>
  </si>
  <si>
    <t>gelao vert (Chine)</t>
  </si>
  <si>
    <t>gelao (China)</t>
  </si>
  <si>
    <t>Red Gelao (China)</t>
  </si>
  <si>
    <t>gelao rouge (Chine)</t>
  </si>
  <si>
    <t>gelao rojo (China)</t>
  </si>
  <si>
    <t>White Gelao (China)</t>
  </si>
  <si>
    <t>gelao blanc (China)</t>
  </si>
  <si>
    <t>gelao blanco (China)</t>
  </si>
  <si>
    <t>laji</t>
  </si>
  <si>
    <t>lajÃ­</t>
  </si>
  <si>
    <t>mulao</t>
  </si>
  <si>
    <t>yerong</t>
  </si>
  <si>
    <t>yerÃ³n</t>
  </si>
  <si>
    <t>lajia</t>
  </si>
  <si>
    <t>lakia</t>
  </si>
  <si>
    <t>mulam</t>
  </si>
  <si>
    <t>mulamo</t>
  </si>
  <si>
    <t>ching</t>
  </si>
  <si>
    <t>maonan</t>
  </si>
  <si>
    <t>Anung (China)</t>
  </si>
  <si>
    <t>anong (Chine)</t>
  </si>
  <si>
    <t>anung (China)</t>
  </si>
  <si>
    <t>baima</t>
  </si>
  <si>
    <t>Choyi</t>
  </si>
  <si>
    <t>choyi</t>
  </si>
  <si>
    <t>queyu</t>
  </si>
  <si>
    <t>ersu</t>
  </si>
  <si>
    <t>guiqiong</t>
  </si>
  <si>
    <t>guichiÃ³n</t>
  </si>
  <si>
    <t>Laemae</t>
  </si>
  <si>
    <t>laemae</t>
  </si>
  <si>
    <t>lama</t>
  </si>
  <si>
    <t>mvm</t>
  </si>
  <si>
    <t>muya</t>
  </si>
  <si>
    <t>namuyi</t>
  </si>
  <si>
    <t>shixing</t>
  </si>
  <si>
    <t>sichÃ­n</t>
  </si>
  <si>
    <t>zhaba</t>
  </si>
  <si>
    <t>chaba</t>
  </si>
  <si>
    <t>Northern Tujia</t>
  </si>
  <si>
    <t>tujia du nord</t>
  </si>
  <si>
    <t>tujia septentrional</t>
  </si>
  <si>
    <t>Southern Tujia</t>
  </si>
  <si>
    <t>tujia du sud</t>
  </si>
  <si>
    <t>tujia meridional</t>
  </si>
  <si>
    <t>bola</t>
  </si>
  <si>
    <t>bela</t>
  </si>
  <si>
    <t>xia</t>
  </si>
  <si>
    <t>chintaw</t>
  </si>
  <si>
    <t>chaunta</t>
  </si>
  <si>
    <t>aluo</t>
  </si>
  <si>
    <t>laka</t>
  </si>
  <si>
    <t>chesu</t>
  </si>
  <si>
    <t>hlersu</t>
  </si>
  <si>
    <t>sansu</t>
  </si>
  <si>
    <t>jiy, jiu</t>
  </si>
  <si>
    <t>Jinuo</t>
  </si>
  <si>
    <t>jinuo</t>
  </si>
  <si>
    <t>yinuo</t>
  </si>
  <si>
    <t>yi de miqie</t>
  </si>
  <si>
    <t>michal miqie</t>
  </si>
  <si>
    <t>naluo</t>
  </si>
  <si>
    <t>Samatu</t>
  </si>
  <si>
    <t>samatu</t>
  </si>
  <si>
    <t>Gangou</t>
  </si>
  <si>
    <t>gangou</t>
  </si>
  <si>
    <t>China, India</t>
  </si>
  <si>
    <t>CHN, IND</t>
  </si>
  <si>
    <t>bokar</t>
  </si>
  <si>
    <t>bori</t>
  </si>
  <si>
    <t>chulikata</t>
  </si>
  <si>
    <t>miju</t>
  </si>
  <si>
    <t>sulung</t>
  </si>
  <si>
    <t>cna, lbj, tkk</t>
  </si>
  <si>
    <t>ladakhi</t>
  </si>
  <si>
    <t>na</t>
  </si>
  <si>
    <t>Tinan</t>
  </si>
  <si>
    <t>tinan</t>
  </si>
  <si>
    <t>menba de Motuo</t>
  </si>
  <si>
    <t>monpa de Motuo</t>
  </si>
  <si>
    <t>khamba</t>
  </si>
  <si>
    <t>Mra</t>
  </si>
  <si>
    <t>zaiwa</t>
  </si>
  <si>
    <t>Taruang</t>
  </si>
  <si>
    <t>darang deng</t>
  </si>
  <si>
    <t>digarÃº</t>
  </si>
  <si>
    <t>China, India, Myanmar</t>
  </si>
  <si>
    <t>CHN, IND, MMR</t>
  </si>
  <si>
    <t>sherpa</t>
  </si>
  <si>
    <t>China, India, Nepal</t>
  </si>
  <si>
    <t>CHN, IND, NPL</t>
  </si>
  <si>
    <t>oÃ¯rat</t>
  </si>
  <si>
    <t>China, Kyrgyzstan, Mongolia</t>
  </si>
  <si>
    <t>CHN, KGZ, MNG</t>
  </si>
  <si>
    <t>Amok</t>
  </si>
  <si>
    <t>amok</t>
  </si>
  <si>
    <t>China, Lao People's Democratic Republic, Myanmar, Thailand</t>
  </si>
  <si>
    <t>CHN, LAO, MMR, THA</t>
  </si>
  <si>
    <t>bxm, bxr, bxu</t>
  </si>
  <si>
    <t>Buryat (Manchuria)</t>
  </si>
  <si>
    <t>bouriate (Mandchourie)</t>
  </si>
  <si>
    <t>buriato (Manchuria)</t>
  </si>
  <si>
    <t>China, Mongolia</t>
  </si>
  <si>
    <t>CHN, MNG</t>
  </si>
  <si>
    <t>khamnigan mongol</t>
  </si>
  <si>
    <t>mongol jamnigan</t>
  </si>
  <si>
    <t>China, Mongolia, Russian Federation</t>
  </si>
  <si>
    <t>CHN, MNG, RUS</t>
  </si>
  <si>
    <t>touvain</t>
  </si>
  <si>
    <t>tuva</t>
  </si>
  <si>
    <t>Shingsaba</t>
  </si>
  <si>
    <t>lhomi</t>
  </si>
  <si>
    <t>China, Nepal</t>
  </si>
  <si>
    <t>CHN, NPL</t>
  </si>
  <si>
    <t>wakhi</t>
  </si>
  <si>
    <t>vakÃ­</t>
  </si>
  <si>
    <t>China, Pakistan, Tajikistan, Afghanistan</t>
  </si>
  <si>
    <t>CHN, PAK, TJK, AFG</t>
  </si>
  <si>
    <t>kilen</t>
  </si>
  <si>
    <t>China, Russian Federation</t>
  </si>
  <si>
    <t>CHN, RUS</t>
  </si>
  <si>
    <t>nanaÃ¯</t>
  </si>
  <si>
    <t>nanÃ¡i</t>
  </si>
  <si>
    <t>Jeri</t>
  </si>
  <si>
    <t>jeri kuo</t>
  </si>
  <si>
    <t>jeri</t>
  </si>
  <si>
    <t>CÃ´te d'Ivoire</t>
  </si>
  <si>
    <t>CIV</t>
  </si>
  <si>
    <t>tonjon</t>
  </si>
  <si>
    <t>Ã©otilÃ©</t>
  </si>
  <si>
    <t>beti</t>
  </si>
  <si>
    <t>bati</t>
  </si>
  <si>
    <t>Cameroon</t>
  </si>
  <si>
    <t>CMR</t>
  </si>
  <si>
    <t>nagumi</t>
  </si>
  <si>
    <t>cambap</t>
  </si>
  <si>
    <t>bung</t>
  </si>
  <si>
    <t>njerep</t>
  </si>
  <si>
    <t>Ã±erup</t>
  </si>
  <si>
    <t>nnx</t>
  </si>
  <si>
    <t>ngong</t>
  </si>
  <si>
    <t>ndai</t>
  </si>
  <si>
    <t>duli</t>
  </si>
  <si>
    <t>guv</t>
  </si>
  <si>
    <t>gueve</t>
  </si>
  <si>
    <t>baldamou</t>
  </si>
  <si>
    <t>baldamu</t>
  </si>
  <si>
    <t>zumaya</t>
  </si>
  <si>
    <t>majera</t>
  </si>
  <si>
    <t>mayera</t>
  </si>
  <si>
    <t>mono</t>
  </si>
  <si>
    <t>mon-non</t>
  </si>
  <si>
    <t>bikya</t>
  </si>
  <si>
    <t>bishuo</t>
  </si>
  <si>
    <t>busuu</t>
  </si>
  <si>
    <t>busÃº</t>
  </si>
  <si>
    <t>beezen</t>
  </si>
  <si>
    <t>langa</t>
  </si>
  <si>
    <t>kung</t>
  </si>
  <si>
    <t>cungo</t>
  </si>
  <si>
    <t>iyive</t>
  </si>
  <si>
    <t>eman</t>
  </si>
  <si>
    <t>emÃ¡n</t>
  </si>
  <si>
    <t>kendem</t>
  </si>
  <si>
    <t>dimbong</t>
  </si>
  <si>
    <t>dimbongo</t>
  </si>
  <si>
    <t>tuotomb</t>
  </si>
  <si>
    <t>tuotombo</t>
  </si>
  <si>
    <t>hijuk</t>
  </si>
  <si>
    <t>nubaca</t>
  </si>
  <si>
    <t>bakole</t>
  </si>
  <si>
    <t>bubia</t>
  </si>
  <si>
    <t>gyele</t>
  </si>
  <si>
    <t>guiele</t>
  </si>
  <si>
    <t>Cameroon, Equatorial Guinea</t>
  </si>
  <si>
    <t>CMR, GNQ</t>
  </si>
  <si>
    <t>yasa</t>
  </si>
  <si>
    <t>somyewe</t>
  </si>
  <si>
    <t>somieve</t>
  </si>
  <si>
    <t>Cameroon, Nigeria</t>
  </si>
  <si>
    <t>CMR, NGA</t>
  </si>
  <si>
    <t>akum</t>
  </si>
  <si>
    <t>maslam</t>
  </si>
  <si>
    <t>Cameroon, Chad</t>
  </si>
  <si>
    <t>CMR, TCD</t>
  </si>
  <si>
    <t>bonjo</t>
  </si>
  <si>
    <t>COG</t>
  </si>
  <si>
    <t>bwisi</t>
  </si>
  <si>
    <t>talinga-bwisi</t>
  </si>
  <si>
    <t>Congo, Gabon</t>
  </si>
  <si>
    <t>COG, GAB</t>
  </si>
  <si>
    <t>rarotongien</t>
  </si>
  <si>
    <t>rarotongano</t>
  </si>
  <si>
    <t>Cook Islands</t>
  </si>
  <si>
    <t>COK</t>
  </si>
  <si>
    <t>Manihiki</t>
  </si>
  <si>
    <t>manihiki</t>
  </si>
  <si>
    <t>manihiki-rakahanga</t>
  </si>
  <si>
    <t>pukapuka</t>
  </si>
  <si>
    <t>pukapukano</t>
  </si>
  <si>
    <t>penrhyn</t>
  </si>
  <si>
    <t>achagua</t>
  </si>
  <si>
    <t>Colombia</t>
  </si>
  <si>
    <t>COL</t>
  </si>
  <si>
    <t>aruaco</t>
  </si>
  <si>
    <t>barÃ­</t>
  </si>
  <si>
    <t>motilÃ³n</t>
  </si>
  <si>
    <t>carijona</t>
  </si>
  <si>
    <t>chimila</t>
  </si>
  <si>
    <t>kogui</t>
  </si>
  <si>
    <t>cogui</t>
  </si>
  <si>
    <t>emp, cmi, cto, sja, bdc, tdc, crf</t>
  </si>
  <si>
    <t>Embera (Colombia)</t>
  </si>
  <si>
    <t>embera (Colombie)</t>
  </si>
  <si>
    <t>embera (Colombia)</t>
  </si>
  <si>
    <t>Opon-Carare</t>
  </si>
  <si>
    <t>opon-carare</t>
  </si>
  <si>
    <t>opÃ³n-carare</t>
  </si>
  <si>
    <t>tinigua</t>
  </si>
  <si>
    <t>Waunana (Colombia)</t>
  </si>
  <si>
    <t>waunana (Colombie)</t>
  </si>
  <si>
    <t>waumeo (Colombia)</t>
  </si>
  <si>
    <t>andoque, 'Gens de la Hache'</t>
  </si>
  <si>
    <t>andoque</t>
  </si>
  <si>
    <t>camsÃ¡</t>
  </si>
  <si>
    <t>Awa Cuaiquer</t>
  </si>
  <si>
    <t>awa-cuaiquer</t>
  </si>
  <si>
    <t>cuaiquer</t>
  </si>
  <si>
    <t>guambiano</t>
  </si>
  <si>
    <t>pÃ¡ez</t>
  </si>
  <si>
    <t>pijao</t>
  </si>
  <si>
    <t>TotorÃ³</t>
  </si>
  <si>
    <t>totorÃ³</t>
  </si>
  <si>
    <t>inb, inj</t>
  </si>
  <si>
    <t>inga</t>
  </si>
  <si>
    <t>kakwa</t>
  </si>
  <si>
    <t>cacua</t>
  </si>
  <si>
    <t>A'ingae / Cofan (Colombia)</t>
  </si>
  <si>
    <t>cofÃ¡n (Colombie)</t>
  </si>
  <si>
    <t>cofÃ¡n (Colombia)</t>
  </si>
  <si>
    <t>Palenque Creole</t>
  </si>
  <si>
    <t>crÃ©ole de Palenque</t>
  </si>
  <si>
    <t>palenquero</t>
  </si>
  <si>
    <t>damana</t>
  </si>
  <si>
    <t>malayo</t>
  </si>
  <si>
    <t>guayabero</t>
  </si>
  <si>
    <t>Bara (Colombia)</t>
  </si>
  <si>
    <t>barÃ¡ (Colombie)</t>
  </si>
  <si>
    <t>barÃ¡ (Colombia)</t>
  </si>
  <si>
    <t>nukak</t>
  </si>
  <si>
    <t>nukak-makÃº</t>
  </si>
  <si>
    <t>Barasana (Colombia)</t>
  </si>
  <si>
    <t>barasana (Colombie)</t>
  </si>
  <si>
    <t>barasana (Colombia)</t>
  </si>
  <si>
    <t>Hupda (Colombia)</t>
  </si>
  <si>
    <t>hupda (Colombie)</t>
  </si>
  <si>
    <t>hupdÃ© macÃº (Colombia)</t>
  </si>
  <si>
    <t>Yuhup (Colombia)</t>
  </si>
  <si>
    <t>yuhup (Colombie)</t>
  </si>
  <si>
    <t>yuhupo (Colombia)</t>
  </si>
  <si>
    <t>Cubeo (Colombia)</t>
  </si>
  <si>
    <t>cubeo (Colombie)</t>
  </si>
  <si>
    <t>cubeo (Colombia)</t>
  </si>
  <si>
    <t>Carapana (Colombia)</t>
  </si>
  <si>
    <t>carapana (Colombie)</t>
  </si>
  <si>
    <t>carapana (Colombia)</t>
  </si>
  <si>
    <t>Desano (Colombia)</t>
  </si>
  <si>
    <t>desano (Colombie)</t>
  </si>
  <si>
    <t>desano (Colombia)</t>
  </si>
  <si>
    <t>Macuna (Colombia)</t>
  </si>
  <si>
    <t>macuna (Colombie)</t>
  </si>
  <si>
    <t>macuna (Colombia)</t>
  </si>
  <si>
    <t>pisamira</t>
  </si>
  <si>
    <t>macaguaje</t>
  </si>
  <si>
    <t>Siriano (Colombia)</t>
  </si>
  <si>
    <t>siriano (Colombie)</t>
  </si>
  <si>
    <t>siriano (Colombia)</t>
  </si>
  <si>
    <t>Tucano (Colombia)</t>
  </si>
  <si>
    <t>tucano (Colombie)</t>
  </si>
  <si>
    <t>tucano (Colombia)</t>
  </si>
  <si>
    <t>Piratapuya (Colombia)</t>
  </si>
  <si>
    <t>piratapuya (Colombie)</t>
  </si>
  <si>
    <t>pira-tapuya (Colombia)</t>
  </si>
  <si>
    <t>tanimuca-letuama</t>
  </si>
  <si>
    <t>tanimuca-retuarÃ£</t>
  </si>
  <si>
    <t>tatuyo</t>
  </si>
  <si>
    <t>Tuyuca (Colombia)</t>
  </si>
  <si>
    <t>tuyuca (Colombie)</t>
  </si>
  <si>
    <t>tuyuca (Colombia)</t>
  </si>
  <si>
    <t>Wanano / Kotiria (Colombia)</t>
  </si>
  <si>
    <t>wanano / kotirya (Colombie)</t>
  </si>
  <si>
    <t>guanano / kÃ³tedia (Colombia)</t>
  </si>
  <si>
    <t>YurutÃ­ (Colombia)</t>
  </si>
  <si>
    <t>yurutÃ­ (Colombie)</t>
  </si>
  <si>
    <t>yurutÃ­ (Colombia)</t>
  </si>
  <si>
    <t>cabiyarÃ­</t>
  </si>
  <si>
    <t>Tariana (Colombia)</t>
  </si>
  <si>
    <t>tariana (Colombie)</t>
  </si>
  <si>
    <t>tariano (Colombia)</t>
  </si>
  <si>
    <t>yucuna</t>
  </si>
  <si>
    <t>jitnu (macaguÃ¡n)</t>
  </si>
  <si>
    <t>macaguÃ¡n</t>
  </si>
  <si>
    <t>MiraÃ±a (Colombia)</t>
  </si>
  <si>
    <t>miraÃ±a (Colombie)</t>
  </si>
  <si>
    <t>miraÃ±a (Colombia)</t>
  </si>
  <si>
    <t>nonuya</t>
  </si>
  <si>
    <t>nonuya / nonuÃ±a</t>
  </si>
  <si>
    <t>muiname</t>
  </si>
  <si>
    <t>muinane</t>
  </si>
  <si>
    <t>carabayo</t>
  </si>
  <si>
    <t>koreguaje</t>
  </si>
  <si>
    <t>coreguaje</t>
  </si>
  <si>
    <t>Ocaina (Colombia)</t>
  </si>
  <si>
    <t>ocaina (Colombie)</t>
  </si>
  <si>
    <t>ocaina (Colombia)</t>
  </si>
  <si>
    <t>Piaroa (Colombia)</t>
  </si>
  <si>
    <t>piaroa (Colombie)</t>
  </si>
  <si>
    <t>piaroa (Colombia)</t>
  </si>
  <si>
    <t>sey, snn</t>
  </si>
  <si>
    <t>Siona / Secoya (Colombia)</t>
  </si>
  <si>
    <t>siona / secoya (Colombie)</t>
  </si>
  <si>
    <t>siona / secoya (Colombia)</t>
  </si>
  <si>
    <t>Romani (Colombia)</t>
  </si>
  <si>
    <t>RomanÃ­ (Colombia)</t>
  </si>
  <si>
    <t>San Andres Creole</t>
  </si>
  <si>
    <t>crÃ©ole de San AndrÃ©s</t>
  </si>
  <si>
    <t>criollo sanandresano</t>
  </si>
  <si>
    <t>kvn, cuk</t>
  </si>
  <si>
    <t>Kuna (Colombia)</t>
  </si>
  <si>
    <t>kuna (Colombie)</t>
  </si>
  <si>
    <t>kuna (Colombia)</t>
  </si>
  <si>
    <t>Huitoto (Colombia, Peru)</t>
  </si>
  <si>
    <t>huitoto (Colombie, PÃ©rou)</t>
  </si>
  <si>
    <t>huitoto (Colombia, PerÃº)</t>
  </si>
  <si>
    <t>Colombia, Peru</t>
  </si>
  <si>
    <t>COL, PER</t>
  </si>
  <si>
    <t>bora</t>
  </si>
  <si>
    <t>guajiro</t>
  </si>
  <si>
    <t>Colombia, Venezuela (Bolivarian Republic of)</t>
  </si>
  <si>
    <t>COL, VEN</t>
  </si>
  <si>
    <t>guh, gob</t>
  </si>
  <si>
    <t>sikuani</t>
  </si>
  <si>
    <t>guahibo</t>
  </si>
  <si>
    <t>cuiba</t>
  </si>
  <si>
    <t>Kurripako (Colombia, Venezuela)</t>
  </si>
  <si>
    <t>kurripako (Colombie, RÃ©publique bolivarienne du Venezuela)</t>
  </si>
  <si>
    <t>curripaco (Colombia, Venezuela)</t>
  </si>
  <si>
    <t>piapoko</t>
  </si>
  <si>
    <t>puinave</t>
  </si>
  <si>
    <t>sÃ¡liba</t>
  </si>
  <si>
    <t>sÃ¡liva</t>
  </si>
  <si>
    <t>tnd, tbn, tuf, tnb</t>
  </si>
  <si>
    <t>tunebo</t>
  </si>
  <si>
    <t>crÃ©ole de LimÃ³n</t>
  </si>
  <si>
    <t>criollo limonense</t>
  </si>
  <si>
    <t>Costa Rica</t>
  </si>
  <si>
    <t>CRI</t>
  </si>
  <si>
    <t>Bribri (Costa Rica)</t>
  </si>
  <si>
    <t>bribri (Costa Rica)</t>
  </si>
  <si>
    <t>talamanca (Costa Rica)</t>
  </si>
  <si>
    <t>boruca</t>
  </si>
  <si>
    <t>borunca</t>
  </si>
  <si>
    <t>cabecar</t>
  </si>
  <si>
    <t>cabÃ©car</t>
  </si>
  <si>
    <t>chorotega</t>
  </si>
  <si>
    <t>NgÃ¤bere (Costa Rica)</t>
  </si>
  <si>
    <t>ngÃ¤bere (Costa Rica)</t>
  </si>
  <si>
    <t>guaymÃ­ (Costa Rica)</t>
  </si>
  <si>
    <t>guatuso</t>
  </si>
  <si>
    <t>Teribe (Costa Rica)</t>
  </si>
  <si>
    <t>teribe (Costa Rica)</t>
  </si>
  <si>
    <t>naso (Costa Rica)</t>
  </si>
  <si>
    <t>Cypriot Arabic</t>
  </si>
  <si>
    <t>arabe chypriote</t>
  </si>
  <si>
    <t>Ã¡rabe chipriota</t>
  </si>
  <si>
    <t>Cyprus</t>
  </si>
  <si>
    <t>CYP</t>
  </si>
  <si>
    <t>frison oriental</t>
  </si>
  <si>
    <t>frisÃ³n oriental</t>
  </si>
  <si>
    <t>DEU</t>
  </si>
  <si>
    <t>dsb, hsb</t>
  </si>
  <si>
    <t>Sorbian</t>
  </si>
  <si>
    <t>sorbien</t>
  </si>
  <si>
    <t>sorbio</t>
  </si>
  <si>
    <t>North Frisian</t>
  </si>
  <si>
    <t>frison du nord</t>
  </si>
  <si>
    <t>frisÃ³n septentrional</t>
  </si>
  <si>
    <t>Polabian</t>
  </si>
  <si>
    <t>Yiddish (Europe)</t>
  </si>
  <si>
    <t>yiddish (Europe)</t>
  </si>
  <si>
    <t>yiddish (Europa)</t>
  </si>
  <si>
    <t>Germany, Austria, Belarus, Belgium, Denmark, Estonia, Finland, France, Hungary, Italy, Latvia, Lithuania, Luxembourg, Republic of Moldova, Norway, Netherlands, Poland, Romania, United Kingdom of Great Britain and Northern Ireland, Russian Federation, Slov</t>
  </si>
  <si>
    <t>DEU, AUT, BRB, BEL, DNK, EST, FIN, FRA, HUN, ITA, LVA, LTU, LUX, MDA, NOR, NLD, POL, ROU, GBR, RUS, SVK, SWE, CHE, CZE, UKR</t>
  </si>
  <si>
    <t>gsw, swg, wae</t>
  </si>
  <si>
    <t>alÃ©manique</t>
  </si>
  <si>
    <t>alemÃ¡nico</t>
  </si>
  <si>
    <t>Germany, Austria, France, Italy, Liechtenstein, Switzerland</t>
  </si>
  <si>
    <t>DEU, AUT, FRA, ITA, LIE, CHE</t>
  </si>
  <si>
    <t>bavarois</t>
  </si>
  <si>
    <t>bÃ¡varo</t>
  </si>
  <si>
    <t>Germany, Austria, Hungary, Italy, Switzerland, Czech Republic</t>
  </si>
  <si>
    <t>DEU, AUT, HUN, ITA, CHE, CZE</t>
  </si>
  <si>
    <t>francique mosellan</t>
  </si>
  <si>
    <t>franconio del Mosela</t>
  </si>
  <si>
    <t>Germany, Belgium, France, Luxembourg</t>
  </si>
  <si>
    <t>DEU, BEL, FRA, LUX</t>
  </si>
  <si>
    <t>ksh, lim</t>
  </si>
  <si>
    <t>Limburgian-Ripuarian</t>
  </si>
  <si>
    <t>francique ripuaire -limbourgeois</t>
  </si>
  <si>
    <t>limburguÃ©s-ripuarino</t>
  </si>
  <si>
    <t>Germany, Belgium, Netherlands</t>
  </si>
  <si>
    <t>DEU, BEL, NLD</t>
  </si>
  <si>
    <t>East Franconian</t>
  </si>
  <si>
    <t>francique oriental</t>
  </si>
  <si>
    <t>franconio oriental</t>
  </si>
  <si>
    <t>Germany, Czech Republic</t>
  </si>
  <si>
    <t>DEU, CZE</t>
  </si>
  <si>
    <t>jut</t>
  </si>
  <si>
    <t>South Jutish</t>
  </si>
  <si>
    <t>jute mÃ©ridional</t>
  </si>
  <si>
    <t>juto meridional</t>
  </si>
  <si>
    <t>Germany, Denmark</t>
  </si>
  <si>
    <t>DEU, DNK</t>
  </si>
  <si>
    <t>act, drt, frs, gos, nds, sdz, stl, twd, vel, wep</t>
  </si>
  <si>
    <t>Low Saxon</t>
  </si>
  <si>
    <t>bas-saxon</t>
  </si>
  <si>
    <t>bajo sajÃ³n</t>
  </si>
  <si>
    <t>Germany, Denmark, Netherlands, Poland, Russian Federation</t>
  </si>
  <si>
    <t>DEU, DNK, NLD, POL, RUS</t>
  </si>
  <si>
    <t>Rhenish Franconian</t>
  </si>
  <si>
    <t>francique rhÃ©nan</t>
  </si>
  <si>
    <t>franconio renano</t>
  </si>
  <si>
    <t>Germany, France</t>
  </si>
  <si>
    <t>DEU, FRA</t>
  </si>
  <si>
    <t>crb</t>
  </si>
  <si>
    <t>caraÃ¯be</t>
  </si>
  <si>
    <t>caribe isleÃ±o</t>
  </si>
  <si>
    <t>Dominica</t>
  </si>
  <si>
    <t>DMA</t>
  </si>
  <si>
    <t>scanien</t>
  </si>
  <si>
    <t>escaniano</t>
  </si>
  <si>
    <t>Denmark, Sweden</t>
  </si>
  <si>
    <t>DNK, SWE</t>
  </si>
  <si>
    <t>Tamazight (Arzew)</t>
  </si>
  <si>
    <t>tamazight (Arzew)</t>
  </si>
  <si>
    <t>Algeria</t>
  </si>
  <si>
    <t>DZA</t>
  </si>
  <si>
    <t>Tasnusit</t>
  </si>
  <si>
    <t>tasnusit</t>
  </si>
  <si>
    <t>Tamahaq (Algeria)</t>
  </si>
  <si>
    <t>tamahaq (AlgÃ©rie)</t>
  </si>
  <si>
    <t>tamahaq (Argelia)</t>
  </si>
  <si>
    <t>tagargrent</t>
  </si>
  <si>
    <t>wargla</t>
  </si>
  <si>
    <t>Tacenwit</t>
  </si>
  <si>
    <t>tacenwit</t>
  </si>
  <si>
    <t>Tamzabit</t>
  </si>
  <si>
    <t>tamzabit</t>
  </si>
  <si>
    <t>Tayurayt</t>
  </si>
  <si>
    <t>tayurayt</t>
  </si>
  <si>
    <t>taznatit</t>
  </si>
  <si>
    <t>Zenatiya</t>
  </si>
  <si>
    <t>zenatiya</t>
  </si>
  <si>
    <t>tidikelt</t>
  </si>
  <si>
    <t>Touggourt Tamazight</t>
  </si>
  <si>
    <t>touggourt</t>
  </si>
  <si>
    <t>tougourt</t>
  </si>
  <si>
    <t>korandje</t>
  </si>
  <si>
    <t>Cha'palaa</t>
  </si>
  <si>
    <t>chapalaa</t>
  </si>
  <si>
    <t>cayapa</t>
  </si>
  <si>
    <t>Ecuador</t>
  </si>
  <si>
    <t>ECU</t>
  </si>
  <si>
    <t>qxr, qug, qvi, qvj, qvo, qvz, qxl</t>
  </si>
  <si>
    <t>Quichua (Salasaca)</t>
  </si>
  <si>
    <t>quichua (Salasaca)</t>
  </si>
  <si>
    <t>tsaâ€™fiki</t>
  </si>
  <si>
    <t>tsafiki</t>
  </si>
  <si>
    <t>Andoa (Ecuador)</t>
  </si>
  <si>
    <t>andoa (Ã‰quateur)</t>
  </si>
  <si>
    <t>andoa (Ecuador)</t>
  </si>
  <si>
    <t>Siona / Secoya (Ecuador)</t>
  </si>
  <si>
    <t>paicoca /secoya (Ã‰quateur)</t>
  </si>
  <si>
    <t>siona / secoya (Ecuador)</t>
  </si>
  <si>
    <t>huaotededo</t>
  </si>
  <si>
    <t>huao terero</t>
  </si>
  <si>
    <t>Shuar chicham</t>
  </si>
  <si>
    <t>shuar chicham</t>
  </si>
  <si>
    <t>Sia Pedee</t>
  </si>
  <si>
    <t>sia pedee</t>
  </si>
  <si>
    <t>awapit</t>
  </si>
  <si>
    <t>awap'it</t>
  </si>
  <si>
    <t>Quichua (Napo)</t>
  </si>
  <si>
    <t>quichua (Napo)</t>
  </si>
  <si>
    <t>Quichua (Pastaza)</t>
  </si>
  <si>
    <t>quichua (Pastaza)</t>
  </si>
  <si>
    <t>A'ingae / Cofan (Ecuador)</t>
  </si>
  <si>
    <t>aâ€™ingae (Ã‰quateur)</t>
  </si>
  <si>
    <t>cofÃ¡n (Ecuador)</t>
  </si>
  <si>
    <t>Quichua (Imbabura)</t>
  </si>
  <si>
    <t>quichua (Imbabura)</t>
  </si>
  <si>
    <t>Quichua (CaÃ±ar and Azuay)</t>
  </si>
  <si>
    <t>quichua (CaÃ±ar et Azuay)</t>
  </si>
  <si>
    <t>quichua (CaÃ±ar y Azuay)</t>
  </si>
  <si>
    <t>Quichua (Loja)</t>
  </si>
  <si>
    <t>quichua (Loja)</t>
  </si>
  <si>
    <t>Quichua (Cotopaxi, Tungurahua and Chimborazo)</t>
  </si>
  <si>
    <t>quichua (Cotopaxi, Tungurahua et Chimborazo)</t>
  </si>
  <si>
    <t>quichua (sierra central)</t>
  </si>
  <si>
    <t>shiwiar chicham</t>
  </si>
  <si>
    <t>tetete</t>
  </si>
  <si>
    <t>achuar chicham</t>
  </si>
  <si>
    <t>Ecuador, Peru</t>
  </si>
  <si>
    <t>ECU, PER</t>
  </si>
  <si>
    <t>zaparo</t>
  </si>
  <si>
    <t>zÃ¡paro</t>
  </si>
  <si>
    <t>siwi</t>
  </si>
  <si>
    <t>sivÃ­</t>
  </si>
  <si>
    <t>Egypt</t>
  </si>
  <si>
    <t>EGY</t>
  </si>
  <si>
    <t>copte</t>
  </si>
  <si>
    <t>copto</t>
  </si>
  <si>
    <t>domari</t>
  </si>
  <si>
    <t>domarÃ­</t>
  </si>
  <si>
    <t>Egypt, Israel, Jordan, Lebanon, Libyan Arab Jamahiriya, Palestine, Syrian Arab Republic</t>
  </si>
  <si>
    <t>EGY, ISR, JOR, LBN, LBY, PSE, SYR</t>
  </si>
  <si>
    <t>Dahaalik</t>
  </si>
  <si>
    <t>dahlik</t>
  </si>
  <si>
    <t>dahaalik</t>
  </si>
  <si>
    <t>Eritrea</t>
  </si>
  <si>
    <t>ERI</t>
  </si>
  <si>
    <t>Zenaga (Western Sahara)</t>
  </si>
  <si>
    <t>zenaga (Sahara occidental)</t>
  </si>
  <si>
    <t>zenaga (SÃ¡hara Occidental)</t>
  </si>
  <si>
    <t>Western Sahara</t>
  </si>
  <si>
    <t>ESH</t>
  </si>
  <si>
    <t>Guanche</t>
  </si>
  <si>
    <t>guanche</t>
  </si>
  <si>
    <t>Spain</t>
  </si>
  <si>
    <t>ESP</t>
  </si>
  <si>
    <t>aragonais</t>
  </si>
  <si>
    <t>aragonÃ©s</t>
  </si>
  <si>
    <t>Mozarabic</t>
  </si>
  <si>
    <t>gascon</t>
  </si>
  <si>
    <t>gascÃ³n</t>
  </si>
  <si>
    <t>Spain, France</t>
  </si>
  <si>
    <t>ESP, FRA</t>
  </si>
  <si>
    <t>basque</t>
  </si>
  <si>
    <t>euskera</t>
  </si>
  <si>
    <t>ast, ext, mwl</t>
  </si>
  <si>
    <t>asturien-lÃ©onais</t>
  </si>
  <si>
    <t>astur-leonÃ©s</t>
  </si>
  <si>
    <t>Spain, Portugal</t>
  </si>
  <si>
    <t>ESP, PRT</t>
  </si>
  <si>
    <t>est</t>
  </si>
  <si>
    <t>vÃµro-seto</t>
  </si>
  <si>
    <t>vorÃ» setu</t>
  </si>
  <si>
    <t>Estonia, Russian Federation</t>
  </si>
  <si>
    <t>EST, RUS</t>
  </si>
  <si>
    <t>hozo</t>
  </si>
  <si>
    <t>hozo-seco</t>
  </si>
  <si>
    <t>Ethiopia</t>
  </si>
  <si>
    <t>ETH</t>
  </si>
  <si>
    <t>ongota</t>
  </si>
  <si>
    <t>birale</t>
  </si>
  <si>
    <t>kwegu</t>
  </si>
  <si>
    <t>Gats'ama - Ganjule - Harro</t>
  </si>
  <si>
    <t>harro</t>
  </si>
  <si>
    <t>gatsama - ganjule - harro</t>
  </si>
  <si>
    <t>bayso</t>
  </si>
  <si>
    <t>shabo</t>
  </si>
  <si>
    <t>Dimme</t>
  </si>
  <si>
    <t>dime</t>
  </si>
  <si>
    <t>dimÃ©</t>
  </si>
  <si>
    <t>zaisÃ©</t>
  </si>
  <si>
    <t>nayi</t>
  </si>
  <si>
    <t>nayÃ­</t>
  </si>
  <si>
    <t>anfillo</t>
  </si>
  <si>
    <t>Qwarenya</t>
  </si>
  <si>
    <t>qwarenya</t>
  </si>
  <si>
    <t>argobba</t>
  </si>
  <si>
    <t>gft</t>
  </si>
  <si>
    <t>Gafat</t>
  </si>
  <si>
    <t>gafat</t>
  </si>
  <si>
    <t>K'emant</t>
  </si>
  <si>
    <t>k'emant</t>
  </si>
  <si>
    <t>kemant</t>
  </si>
  <si>
    <t>bambassi</t>
  </si>
  <si>
    <t>bambeshi</t>
  </si>
  <si>
    <t>arbore</t>
  </si>
  <si>
    <t>bussa</t>
  </si>
  <si>
    <t>busa</t>
  </si>
  <si>
    <t>chara</t>
  </si>
  <si>
    <t>mursi</t>
  </si>
  <si>
    <t>kwama</t>
  </si>
  <si>
    <t>opuo</t>
  </si>
  <si>
    <t>opÃºo</t>
  </si>
  <si>
    <t>oyda</t>
  </si>
  <si>
    <t>Ts'amay</t>
  </si>
  <si>
    <t>ts'amakko</t>
  </si>
  <si>
    <t>tsamai</t>
  </si>
  <si>
    <t>yem</t>
  </si>
  <si>
    <t>yemsa</t>
  </si>
  <si>
    <t>Ge'ez</t>
  </si>
  <si>
    <t>gueez</t>
  </si>
  <si>
    <t>komo</t>
  </si>
  <si>
    <t>como</t>
  </si>
  <si>
    <t>Ethiopia, Sudan</t>
  </si>
  <si>
    <t>ETH, SDN</t>
  </si>
  <si>
    <t>boro</t>
  </si>
  <si>
    <t>karaboro</t>
  </si>
  <si>
    <t>Ethiopia, Togo</t>
  </si>
  <si>
    <t>ETH, TGO</t>
  </si>
  <si>
    <t>Inari Saami</t>
  </si>
  <si>
    <t>saami inari</t>
  </si>
  <si>
    <t>saamÃ­ de Inari</t>
  </si>
  <si>
    <t>Finland</t>
  </si>
  <si>
    <t>FIN</t>
  </si>
  <si>
    <t>Kemi Saami</t>
  </si>
  <si>
    <t>Skolt Saami</t>
  </si>
  <si>
    <t>saami skolt</t>
  </si>
  <si>
    <t>saamÃ­ de Skolt</t>
  </si>
  <si>
    <t>Finland, Norway, Russian Federation</t>
  </si>
  <si>
    <t>FIN, NOR, RUS</t>
  </si>
  <si>
    <t>North Saami</t>
  </si>
  <si>
    <t>saami nord</t>
  </si>
  <si>
    <t>saamÃ­ septentrional</t>
  </si>
  <si>
    <t>Finland, Norway, Russian Federation, Sweden</t>
  </si>
  <si>
    <t>FIN, NOR, RUS, SWE</t>
  </si>
  <si>
    <t>Karelian (Karelia)</t>
  </si>
  <si>
    <t>carÃ©lien (CarÃ©lie)</t>
  </si>
  <si>
    <t>carelio (Carelia)</t>
  </si>
  <si>
    <t>Finland, Russian Federation</t>
  </si>
  <si>
    <t>FIN, RUS</t>
  </si>
  <si>
    <t>olonetsien</t>
  </si>
  <si>
    <t>olonetsiano</t>
  </si>
  <si>
    <t>rotuman</t>
  </si>
  <si>
    <t>rotumano</t>
  </si>
  <si>
    <t>FJI</t>
  </si>
  <si>
    <t>auvergnat</t>
  </si>
  <si>
    <t>auvernÃ©s</t>
  </si>
  <si>
    <t>France</t>
  </si>
  <si>
    <t>FRA</t>
  </si>
  <si>
    <t>breton</t>
  </si>
  <si>
    <t>bretÃ³n</t>
  </si>
  <si>
    <t>gallo</t>
  </si>
  <si>
    <t>Languedocian</t>
  </si>
  <si>
    <t>languedocien</t>
  </si>
  <si>
    <t>languedociano</t>
  </si>
  <si>
    <t>limousin</t>
  </si>
  <si>
    <t>lemosÃ­n</t>
  </si>
  <si>
    <t>nrn</t>
  </si>
  <si>
    <t>normand</t>
  </si>
  <si>
    <t>normando</t>
  </si>
  <si>
    <t>Poitevin-Saintongeais</t>
  </si>
  <si>
    <t>poitevin-saintongeais</t>
  </si>
  <si>
    <t>poitevino-santongÃ©s</t>
  </si>
  <si>
    <t>provenÃ§al</t>
  </si>
  <si>
    <t>provenzal</t>
  </si>
  <si>
    <t>Burgundian</t>
  </si>
  <si>
    <t>bourguignon</t>
  </si>
  <si>
    <t>borgoÃ±Ã³n</t>
  </si>
  <si>
    <t>franc-comtois</t>
  </si>
  <si>
    <t>franco-condado</t>
  </si>
  <si>
    <t>France, Switzerland</t>
  </si>
  <si>
    <t>FRA, CHE</t>
  </si>
  <si>
    <t>corse</t>
  </si>
  <si>
    <t>corso</t>
  </si>
  <si>
    <t>France, Italy</t>
  </si>
  <si>
    <t>FRA, ITA</t>
  </si>
  <si>
    <t>provenÃ§al alpin</t>
  </si>
  <si>
    <t>provenzal alpino</t>
  </si>
  <si>
    <t>francoprovenzal</t>
  </si>
  <si>
    <t>France, Italy, Switzerland</t>
  </si>
  <si>
    <t>FRA, ITA, CHE</t>
  </si>
  <si>
    <t>ligurien</t>
  </si>
  <si>
    <t>ligur</t>
  </si>
  <si>
    <t>France, Italy, Monaco</t>
  </si>
  <si>
    <t>FRA, ITA, MCO</t>
  </si>
  <si>
    <t>fÃ©roÃ¯en</t>
  </si>
  <si>
    <t>faroÃ©s</t>
  </si>
  <si>
    <t>Faroe Islands</t>
  </si>
  <si>
    <t>FRO</t>
  </si>
  <si>
    <t>kapingamarangi</t>
  </si>
  <si>
    <t>Micronesia (Federated States of)</t>
  </si>
  <si>
    <t>FSM</t>
  </si>
  <si>
    <t>mokil</t>
  </si>
  <si>
    <t>moquilÃ©s</t>
  </si>
  <si>
    <t>mortlock</t>
  </si>
  <si>
    <t>namonuito</t>
  </si>
  <si>
    <t>nukuoro</t>
  </si>
  <si>
    <t>Paafang</t>
  </si>
  <si>
    <t>paafang</t>
  </si>
  <si>
    <t>pÃ¡Ã¡fango</t>
  </si>
  <si>
    <t>pingelap</t>
  </si>
  <si>
    <t>pingilapÃ©s</t>
  </si>
  <si>
    <t>puluwat</t>
  </si>
  <si>
    <t>satawal</t>
  </si>
  <si>
    <t>satawalÃ©s</t>
  </si>
  <si>
    <t>woleai</t>
  </si>
  <si>
    <t>woleayano</t>
  </si>
  <si>
    <t>ulithi</t>
  </si>
  <si>
    <t>ulitiano</t>
  </si>
  <si>
    <t>Ngatikese Men's Creole</t>
  </si>
  <si>
    <t>crÃ©ole de Ngatik</t>
  </si>
  <si>
    <t>ngatik</t>
  </si>
  <si>
    <t>kosrae</t>
  </si>
  <si>
    <t>kosreano</t>
  </si>
  <si>
    <t>Micronesia (Federated States of), Nauru</t>
  </si>
  <si>
    <t>FSM, NRU</t>
  </si>
  <si>
    <t>kaande</t>
  </si>
  <si>
    <t>kande</t>
  </si>
  <si>
    <t>Gabon</t>
  </si>
  <si>
    <t>GAB</t>
  </si>
  <si>
    <t>vumba</t>
  </si>
  <si>
    <t>vumbu</t>
  </si>
  <si>
    <t>sakÃ©</t>
  </si>
  <si>
    <t>sake</t>
  </si>
  <si>
    <t>mahongwe</t>
  </si>
  <si>
    <t>mahongÃ¼e</t>
  </si>
  <si>
    <t>sighu</t>
  </si>
  <si>
    <t>tchitchege</t>
  </si>
  <si>
    <t>benga</t>
  </si>
  <si>
    <t>Gabon, Equatorial Guinea</t>
  </si>
  <si>
    <t>GAB, GNQ</t>
  </si>
  <si>
    <t>cornique</t>
  </si>
  <si>
    <t>cÃ³rnico</t>
  </si>
  <si>
    <t>United Kingdom of Great Britain and Northern Ireland</t>
  </si>
  <si>
    <t>GBR</t>
  </si>
  <si>
    <t>Norn</t>
  </si>
  <si>
    <t>mannois</t>
  </si>
  <si>
    <t>manx</t>
  </si>
  <si>
    <t>scots</t>
  </si>
  <si>
    <t>escocÃ©s</t>
  </si>
  <si>
    <t>gaÃ©lique Ã©cossais</t>
  </si>
  <si>
    <t>gaÃ©lico escocÃ©s</t>
  </si>
  <si>
    <t>gallois</t>
  </si>
  <si>
    <t>galÃ©s</t>
  </si>
  <si>
    <t>jersiais</t>
  </si>
  <si>
    <t>francÃ©s de Jersey</t>
  </si>
  <si>
    <t>guernesiais</t>
  </si>
  <si>
    <t>francÃ©s de Guernesey</t>
  </si>
  <si>
    <t>Alderney French</t>
  </si>
  <si>
    <t>auregnais</t>
  </si>
  <si>
    <t>francÃ©s de Alderney</t>
  </si>
  <si>
    <t>bats</t>
  </si>
  <si>
    <t>bÃ¡cico</t>
  </si>
  <si>
    <t>Georgia</t>
  </si>
  <si>
    <t>GEO</t>
  </si>
  <si>
    <t>mingrÃ©lien</t>
  </si>
  <si>
    <t>mingrelio</t>
  </si>
  <si>
    <t>svane</t>
  </si>
  <si>
    <t>svan</t>
  </si>
  <si>
    <t>Udi (Georgia)</t>
  </si>
  <si>
    <t>udi (GÃ©orgie)</t>
  </si>
  <si>
    <t>udi (Rep. de Georgia)</t>
  </si>
  <si>
    <t>ossÃ¨te</t>
  </si>
  <si>
    <t>osÃ©tico</t>
  </si>
  <si>
    <t>Georgia, Russian Federation</t>
  </si>
  <si>
    <t>GEO, RUS</t>
  </si>
  <si>
    <t>Homshetsma (Caucasus)</t>
  </si>
  <si>
    <t>homshetsma (Caucase)</t>
  </si>
  <si>
    <t>homshetsma (CÃ¡ucaso)</t>
  </si>
  <si>
    <t>nÃ©o-aramÃ©en du Bhotan</t>
  </si>
  <si>
    <t>neo-arameo de Bohtan</t>
  </si>
  <si>
    <t>abkhaze</t>
  </si>
  <si>
    <t>abjaso</t>
  </si>
  <si>
    <t>Georgia, Russian Federation, Turkey</t>
  </si>
  <si>
    <t>GEO, RUS, TUR</t>
  </si>
  <si>
    <t>urum</t>
  </si>
  <si>
    <t>urumo</t>
  </si>
  <si>
    <t>Georgia, Russian Federation, Ukraine</t>
  </si>
  <si>
    <t>GEO, RUS, UKR</t>
  </si>
  <si>
    <t>laze</t>
  </si>
  <si>
    <t>Georgia, Turkey</t>
  </si>
  <si>
    <t>GEO, TUR</t>
  </si>
  <si>
    <t>animere</t>
  </si>
  <si>
    <t>Ghana</t>
  </si>
  <si>
    <t>GHA</t>
  </si>
  <si>
    <t>bowili</t>
  </si>
  <si>
    <t>bowiri</t>
  </si>
  <si>
    <t>kamara</t>
  </si>
  <si>
    <t>koma</t>
  </si>
  <si>
    <t>konni</t>
  </si>
  <si>
    <t>tafi</t>
  </si>
  <si>
    <t>bgm</t>
  </si>
  <si>
    <t>baga mboteni</t>
  </si>
  <si>
    <t>baga emboteni</t>
  </si>
  <si>
    <t>Guinea</t>
  </si>
  <si>
    <t>GIN</t>
  </si>
  <si>
    <t>nalu</t>
  </si>
  <si>
    <t>Baga Kalem</t>
  </si>
  <si>
    <t>baga kaloum</t>
  </si>
  <si>
    <t>baga kalem</t>
  </si>
  <si>
    <t>baga sitemou</t>
  </si>
  <si>
    <t>baga sitemu</t>
  </si>
  <si>
    <t>Badiaranke</t>
  </si>
  <si>
    <t>badiarankÃ©</t>
  </si>
  <si>
    <t>badiara / badyara</t>
  </si>
  <si>
    <t>pukur</t>
  </si>
  <si>
    <t>baga de Binari</t>
  </si>
  <si>
    <t>baga manduri</t>
  </si>
  <si>
    <t>baga maduri</t>
  </si>
  <si>
    <t>mani</t>
  </si>
  <si>
    <t>Guinea, Sierra Leone</t>
  </si>
  <si>
    <t>GIN, SLE</t>
  </si>
  <si>
    <t>ediamat</t>
  </si>
  <si>
    <t>eyamat</t>
  </si>
  <si>
    <t>Guinea-Bissau</t>
  </si>
  <si>
    <t>GNB</t>
  </si>
  <si>
    <t>kasanga</t>
  </si>
  <si>
    <t>kobiana</t>
  </si>
  <si>
    <t>Guinea-Bissau, Senegal</t>
  </si>
  <si>
    <t>GNB, SEN</t>
  </si>
  <si>
    <t>Corfiot Italkian</t>
  </si>
  <si>
    <t>italkien de Corfou</t>
  </si>
  <si>
    <t>italkiano de CorfÃº</t>
  </si>
  <si>
    <t>GRC</t>
  </si>
  <si>
    <t>tsakonien</t>
  </si>
  <si>
    <t>tsakoniano</t>
  </si>
  <si>
    <t>arvanitika</t>
  </si>
  <si>
    <t>Cappadocian Greek (Greece)</t>
  </si>
  <si>
    <t>grec cappadocien (GrÃ¨ce)</t>
  </si>
  <si>
    <t>griego capadocio (Grecia)</t>
  </si>
  <si>
    <t>Megleno-Romanian</t>
  </si>
  <si>
    <t>mÃ©glÃ©no-roumain</t>
  </si>
  <si>
    <t>rumano meglenita</t>
  </si>
  <si>
    <t>Greece, The former Yugoslav Republic of Macedonia</t>
  </si>
  <si>
    <t>GRC, MKD</t>
  </si>
  <si>
    <t>Gagauz (South Balkans)</t>
  </si>
  <si>
    <t>gagaouze (Balkans du sud)</t>
  </si>
  <si>
    <t>gagauso (sur de los Balcanes)</t>
  </si>
  <si>
    <t>Greece, The former Yugoslav Republic of Macedonia, Turkey</t>
  </si>
  <si>
    <t>GRC, MKD, TUR</t>
  </si>
  <si>
    <t>avanersuarmiutut</t>
  </si>
  <si>
    <t>groenlandÃ©s septentrional</t>
  </si>
  <si>
    <t>Greenland (Kingdom of Denmark)</t>
  </si>
  <si>
    <t>GRL</t>
  </si>
  <si>
    <t>tunumiit oraasiat</t>
  </si>
  <si>
    <t>groenlandÃ©s oriental</t>
  </si>
  <si>
    <t>kalaallisut</t>
  </si>
  <si>
    <t>groenlandÃ©s occidental</t>
  </si>
  <si>
    <t>Achi'</t>
  </si>
  <si>
    <t>achi'</t>
  </si>
  <si>
    <t>achÃ­</t>
  </si>
  <si>
    <t>Guatemala</t>
  </si>
  <si>
    <t>GTM</t>
  </si>
  <si>
    <t>Akatek (Guatemala)</t>
  </si>
  <si>
    <t>acatÃ¨que (Guatemala)</t>
  </si>
  <si>
    <t>canjobalÃ©s occidental (Guatemala)</t>
  </si>
  <si>
    <t>Awakatek (Guatemala)</t>
  </si>
  <si>
    <t>awacatÃ¨que (Guatemala)</t>
  </si>
  <si>
    <t>aguacateco (Guatemala)</t>
  </si>
  <si>
    <t>Ch'orti' (Guatemala)</t>
  </si>
  <si>
    <t>châ€™orti' (Guatemala)</t>
  </si>
  <si>
    <t>chortÃ­ (Guatemala)</t>
  </si>
  <si>
    <t>cnm, cac</t>
  </si>
  <si>
    <t>Chuj (Guatemala)</t>
  </si>
  <si>
    <t>chuj (Guatemala)</t>
  </si>
  <si>
    <t>ItzÃ¡</t>
  </si>
  <si>
    <t>itzÃ¡</t>
  </si>
  <si>
    <t>Ixil (Guatemala)</t>
  </si>
  <si>
    <t>ixil (Guatemala)</t>
  </si>
  <si>
    <t>ijilo (Guatemala)</t>
  </si>
  <si>
    <t>jai</t>
  </si>
  <si>
    <t>Jakaltek (Guatemala)</t>
  </si>
  <si>
    <t>jacaltÃ¨que (Guatemala)</t>
  </si>
  <si>
    <t>jacalteko (Guatemala)</t>
  </si>
  <si>
    <t>Kaqchikel (Guatemala)</t>
  </si>
  <si>
    <t>kaqchikel (Guatemala)</t>
  </si>
  <si>
    <t>cachiquel (Guatemala)</t>
  </si>
  <si>
    <t>K'iche' (Guatemala)</t>
  </si>
  <si>
    <t>kâ€™iche' (Guatemala)</t>
  </si>
  <si>
    <t>quichÃ© (Guatemala)</t>
  </si>
  <si>
    <t>Mam (Guatemala)</t>
  </si>
  <si>
    <t>mam (Guatemala)</t>
  </si>
  <si>
    <t>MopÃ¡n (Guatemala)</t>
  </si>
  <si>
    <t>mopÃ¡n (Guatemala)</t>
  </si>
  <si>
    <t>pokomam</t>
  </si>
  <si>
    <t>pob</t>
  </si>
  <si>
    <t>Poqomchi'</t>
  </si>
  <si>
    <t>poqomchi'</t>
  </si>
  <si>
    <t>PoqomchÃ­</t>
  </si>
  <si>
    <t>Q'aanjob'al</t>
  </si>
  <si>
    <t>qâ€™aanjob'al</t>
  </si>
  <si>
    <t>canjobalÃ©s</t>
  </si>
  <si>
    <t>Q'eqchi' (Guatemala)</t>
  </si>
  <si>
    <t>qâ€™eqchi' (Guatemala)</t>
  </si>
  <si>
    <t>cachÃ­ (Guatemala)</t>
  </si>
  <si>
    <t>Sakapultek</t>
  </si>
  <si>
    <t>sakapultÃ¨que</t>
  </si>
  <si>
    <t>sacapulteco</t>
  </si>
  <si>
    <t>sipakapense</t>
  </si>
  <si>
    <t>sipacapense</t>
  </si>
  <si>
    <t>Tektitek</t>
  </si>
  <si>
    <t>tektitÃ¨que</t>
  </si>
  <si>
    <t>tectiteco</t>
  </si>
  <si>
    <t>tzj, tzt</t>
  </si>
  <si>
    <t>Tz'utujil</t>
  </si>
  <si>
    <t>tzâ€™utujil</t>
  </si>
  <si>
    <t>zutuguilÃ©s</t>
  </si>
  <si>
    <t>Uspantek</t>
  </si>
  <si>
    <t>uspantÃ¨que</t>
  </si>
  <si>
    <t>uspanteco</t>
  </si>
  <si>
    <t>xinka</t>
  </si>
  <si>
    <t>GarÃ­funa (Guatemala)</t>
  </si>
  <si>
    <t>garifuna (Guatemala)</t>
  </si>
  <si>
    <t>garÃ­funa (Guatemala)</t>
  </si>
  <si>
    <t>Ã‰mÃ©rillon</t>
  </si>
  <si>
    <t>Ã©mÃ©rillon</t>
  </si>
  <si>
    <t>emerilÃ³n</t>
  </si>
  <si>
    <t>French Guiana (France)</t>
  </si>
  <si>
    <t>GUF</t>
  </si>
  <si>
    <t>Palikur (French Guyana)</t>
  </si>
  <si>
    <t>palikur (Guyane FranÃ§aise)</t>
  </si>
  <si>
    <t>palikur (Guayana Francesa)</t>
  </si>
  <si>
    <t>Kari'Ã±a (French Guyana)</t>
  </si>
  <si>
    <t>galibi (Guyane FranÃ§aise)</t>
  </si>
  <si>
    <t>galibi (Guayana Francesa)</t>
  </si>
  <si>
    <t>Lokono (Suriname)</t>
  </si>
  <si>
    <t>lokono (Suriname)</t>
  </si>
  <si>
    <t>lokono (Surinam)</t>
  </si>
  <si>
    <t>French Guiana (France), Suriname</t>
  </si>
  <si>
    <t>GUF, SUR</t>
  </si>
  <si>
    <t>chamorro</t>
  </si>
  <si>
    <t>Guam (U.S.A.)</t>
  </si>
  <si>
    <t>GUM</t>
  </si>
  <si>
    <t>Patamona (Guyana)</t>
  </si>
  <si>
    <t>patamona (Guyane)</t>
  </si>
  <si>
    <t>patamona (Guyana)</t>
  </si>
  <si>
    <t>Guyana</t>
  </si>
  <si>
    <t>GUY</t>
  </si>
  <si>
    <t>Waiwai (Guyana)</t>
  </si>
  <si>
    <t>tunayana (Guyane)</t>
  </si>
  <si>
    <t>waiwai (Guyana)</t>
  </si>
  <si>
    <t>Wapishana (Guyana)</t>
  </si>
  <si>
    <t>wapishana (Guyane)</t>
  </si>
  <si>
    <t>wapishana (Guyana)</t>
  </si>
  <si>
    <t>taruma</t>
  </si>
  <si>
    <t>Macushi (Guyana)</t>
  </si>
  <si>
    <t>macushi (Guyane)</t>
  </si>
  <si>
    <t>macusÃ­ (Guyana)</t>
  </si>
  <si>
    <t>Mawayana (Guyana)</t>
  </si>
  <si>
    <t>mawayana (Guyane)</t>
  </si>
  <si>
    <t>mawayana (Guyana)</t>
  </si>
  <si>
    <t>crÃ©ole nÃ©erlandais de Berbice</t>
  </si>
  <si>
    <t>berbice</t>
  </si>
  <si>
    <t>Kari'Ã±a (Guyana, Suriname)</t>
  </si>
  <si>
    <t>galibi (Guyane, Suriname)</t>
  </si>
  <si>
    <t>galibi (Guyana, Surinam)</t>
  </si>
  <si>
    <t>Guyana, Suriname</t>
  </si>
  <si>
    <t>GUY, SUR</t>
  </si>
  <si>
    <t>Akawaio (Guyana, Venezuela)</t>
  </si>
  <si>
    <t>akawaio (Guyane, RÃ©publique bolivarienne du Venezuela)</t>
  </si>
  <si>
    <t>akawaio (Guyana, Venezuela)</t>
  </si>
  <si>
    <t>Guyana, Venezuela (Bolivarian Republic of)</t>
  </si>
  <si>
    <t>GUY, VEN</t>
  </si>
  <si>
    <t>Lokono (Guyana)</t>
  </si>
  <si>
    <t>arawak lokono (Guyane)</t>
  </si>
  <si>
    <t>lokono (Guyana)</t>
  </si>
  <si>
    <t>warao</t>
  </si>
  <si>
    <t>Pemon (Venezuela)</t>
  </si>
  <si>
    <t>pemon (RÃ©publique bolivarienne du Venezuela)</t>
  </si>
  <si>
    <t>pemÃ³n (Venezuela)</t>
  </si>
  <si>
    <t>GarÃ­funa (Honduras)</t>
  </si>
  <si>
    <t>garifuna (Honduras)</t>
  </si>
  <si>
    <t>garÃ­funa (Honduras)</t>
  </si>
  <si>
    <t>Honduras</t>
  </si>
  <si>
    <t>HND</t>
  </si>
  <si>
    <t>Miskito (Honduras)</t>
  </si>
  <si>
    <t>miskito (Honduras)</t>
  </si>
  <si>
    <t>misquito (Honduras)</t>
  </si>
  <si>
    <t>tolupan</t>
  </si>
  <si>
    <t>Ch'orti' (Honduras)</t>
  </si>
  <si>
    <t>châ€™orti' (Honduras)</t>
  </si>
  <si>
    <t>chortÃ­ (Honduras)</t>
  </si>
  <si>
    <t>pech</t>
  </si>
  <si>
    <t>pechÃ­</t>
  </si>
  <si>
    <t>sum</t>
  </si>
  <si>
    <t>tawahka</t>
  </si>
  <si>
    <t>Bay Islands Creole</t>
  </si>
  <si>
    <t>crÃ©ole des Iles-de-la-Baie (Islas de la BahÃ­a)</t>
  </si>
  <si>
    <t>criollo de las Islas de la BahÃ­a</t>
  </si>
  <si>
    <t>dlm</t>
  </si>
  <si>
    <t>Dalmatian</t>
  </si>
  <si>
    <t>dalmate</t>
  </si>
  <si>
    <t>dÃ¡lmata</t>
  </si>
  <si>
    <t>Croatia</t>
  </si>
  <si>
    <t>HRV</t>
  </si>
  <si>
    <t>istriot</t>
  </si>
  <si>
    <t>istriano</t>
  </si>
  <si>
    <t>istro-roumain</t>
  </si>
  <si>
    <t>istro-rumano</t>
  </si>
  <si>
    <t>Arbanasi</t>
  </si>
  <si>
    <t>arbanasi</t>
  </si>
  <si>
    <t>Venetan</t>
  </si>
  <si>
    <t>vÃ©nitien</t>
  </si>
  <si>
    <t>veneciano</t>
  </si>
  <si>
    <t>Croatia, Italy, Slovenia</t>
  </si>
  <si>
    <t>HRV, ITA, SVN</t>
  </si>
  <si>
    <t>Vojvodina Rusyn</t>
  </si>
  <si>
    <t>ruthÃ¨ne de VoÃ¯vodine</t>
  </si>
  <si>
    <t>rutenio de Voivodina</t>
  </si>
  <si>
    <t>Croatia, Serbia</t>
  </si>
  <si>
    <t>HRV, SRB</t>
  </si>
  <si>
    <t>Cuman</t>
  </si>
  <si>
    <t>Hungary</t>
  </si>
  <si>
    <t>HUN</t>
  </si>
  <si>
    <t>ruthÃ¨ne</t>
  </si>
  <si>
    <t>rutenio</t>
  </si>
  <si>
    <t>Hungary, Poland, Romania, Slovakia, Ukraine</t>
  </si>
  <si>
    <t>HUN, POL, ROU, SVK, UKR</t>
  </si>
  <si>
    <t>anus</t>
  </si>
  <si>
    <t>sobei</t>
  </si>
  <si>
    <t>Indonesia</t>
  </si>
  <si>
    <t>IDN</t>
  </si>
  <si>
    <t>arguni</t>
  </si>
  <si>
    <t>as</t>
  </si>
  <si>
    <t>lengilu</t>
  </si>
  <si>
    <t>enggano</t>
  </si>
  <si>
    <t>belom, mapor</t>
  </si>
  <si>
    <t>Ampibabo Lauje</t>
  </si>
  <si>
    <t>ampibabo-lauje</t>
  </si>
  <si>
    <t>lauje</t>
  </si>
  <si>
    <t>andio</t>
  </si>
  <si>
    <t>bahonsuai</t>
  </si>
  <si>
    <t>bahonsuÃ¡i</t>
  </si>
  <si>
    <t>Baleasang</t>
  </si>
  <si>
    <t>baleasang</t>
  </si>
  <si>
    <t>balaesano</t>
  </si>
  <si>
    <t>baras</t>
  </si>
  <si>
    <t>behoa</t>
  </si>
  <si>
    <t>bada</t>
  </si>
  <si>
    <t>boano</t>
  </si>
  <si>
    <t>budong-budong</t>
  </si>
  <si>
    <t>budÃ³n-budÃ³n</t>
  </si>
  <si>
    <t>dakka</t>
  </si>
  <si>
    <t>Dampel</t>
  </si>
  <si>
    <t>dampal</t>
  </si>
  <si>
    <t>dondo</t>
  </si>
  <si>
    <t>kalao</t>
  </si>
  <si>
    <t>kodeoha</t>
  </si>
  <si>
    <t>koroni</t>
  </si>
  <si>
    <t>laiyolo</t>
  </si>
  <si>
    <t>lemolang</t>
  </si>
  <si>
    <t>lemolango</t>
  </si>
  <si>
    <t>lolak</t>
  </si>
  <si>
    <t>napu</t>
  </si>
  <si>
    <t>padoe</t>
  </si>
  <si>
    <t>panasuan</t>
  </si>
  <si>
    <t>panasuano</t>
  </si>
  <si>
    <t>pendau</t>
  </si>
  <si>
    <t>rahambuu</t>
  </si>
  <si>
    <t>slb</t>
  </si>
  <si>
    <t>saluan</t>
  </si>
  <si>
    <t>taje</t>
  </si>
  <si>
    <t>taloki</t>
  </si>
  <si>
    <t>Talondo</t>
  </si>
  <si>
    <t>talondo</t>
  </si>
  <si>
    <t>talondo'</t>
  </si>
  <si>
    <t>tialo</t>
  </si>
  <si>
    <t>tomini</t>
  </si>
  <si>
    <t>tomadino</t>
  </si>
  <si>
    <t>tombelala</t>
  </si>
  <si>
    <t>totoli</t>
  </si>
  <si>
    <t>tolitoli</t>
  </si>
  <si>
    <t>waru</t>
  </si>
  <si>
    <t>wotu</t>
  </si>
  <si>
    <t>alune</t>
  </si>
  <si>
    <t>amahai</t>
  </si>
  <si>
    <t>aputai</t>
  </si>
  <si>
    <t>benggoi</t>
  </si>
  <si>
    <t>Taba</t>
  </si>
  <si>
    <t>taba</t>
  </si>
  <si>
    <t>emplawas</t>
  </si>
  <si>
    <t>emplavas</t>
  </si>
  <si>
    <t>gebe</t>
  </si>
  <si>
    <t>kadai</t>
  </si>
  <si>
    <t>kaibobo</t>
  </si>
  <si>
    <t>lisela</t>
  </si>
  <si>
    <t>auye</t>
  </si>
  <si>
    <t>awera</t>
  </si>
  <si>
    <t>awyi</t>
  </si>
  <si>
    <t>aviÃº</t>
  </si>
  <si>
    <t>bedoanas</t>
  </si>
  <si>
    <t>bonerif</t>
  </si>
  <si>
    <t>bonggo</t>
  </si>
  <si>
    <t>burate</t>
  </si>
  <si>
    <t>damal</t>
  </si>
  <si>
    <t>biak</t>
  </si>
  <si>
    <t>biaco</t>
  </si>
  <si>
    <t>dabra</t>
  </si>
  <si>
    <t>demisa</t>
  </si>
  <si>
    <t>doutai</t>
  </si>
  <si>
    <t>tolitai</t>
  </si>
  <si>
    <t>dubu</t>
  </si>
  <si>
    <t>duriankere</t>
  </si>
  <si>
    <t>dusner</t>
  </si>
  <si>
    <t>erokwanas</t>
  </si>
  <si>
    <t>fayu</t>
  </si>
  <si>
    <t>foya</t>
  </si>
  <si>
    <t>iresim</t>
  </si>
  <si>
    <t>isirawa</t>
  </si>
  <si>
    <t>itik</t>
  </si>
  <si>
    <t>kapauri</t>
  </si>
  <si>
    <t>kapori</t>
  </si>
  <si>
    <t>karas</t>
  </si>
  <si>
    <t>kayupulau</t>
  </si>
  <si>
    <t>kayapulau</t>
  </si>
  <si>
    <t>keder</t>
  </si>
  <si>
    <t>kembra</t>
  </si>
  <si>
    <t>kofei</t>
  </si>
  <si>
    <t>kifei</t>
  </si>
  <si>
    <t>koneraw</t>
  </si>
  <si>
    <t>kowiai</t>
  </si>
  <si>
    <t>kuansu</t>
  </si>
  <si>
    <t>kwerisa</t>
  </si>
  <si>
    <t>legenyem</t>
  </si>
  <si>
    <t>liki</t>
  </si>
  <si>
    <t>mander</t>
  </si>
  <si>
    <t>mansim</t>
  </si>
  <si>
    <t>borai</t>
  </si>
  <si>
    <t>mapia</t>
  </si>
  <si>
    <t>maremgi</t>
  </si>
  <si>
    <t>massep</t>
  </si>
  <si>
    <t>masepo</t>
  </si>
  <si>
    <t>momuna</t>
  </si>
  <si>
    <t>moraori</t>
  </si>
  <si>
    <t>nxu</t>
  </si>
  <si>
    <t>Narau</t>
  </si>
  <si>
    <t>narau</t>
  </si>
  <si>
    <t>narÃ¡u</t>
  </si>
  <si>
    <t>obokuitai</t>
  </si>
  <si>
    <t>obokuitÃ¡i</t>
  </si>
  <si>
    <t>onin</t>
  </si>
  <si>
    <t>ormu</t>
  </si>
  <si>
    <t>pauwi</t>
  </si>
  <si>
    <t>saponi</t>
  </si>
  <si>
    <t>sause</t>
  </si>
  <si>
    <t>senggi</t>
  </si>
  <si>
    <t>taikat</t>
  </si>
  <si>
    <t>tandia</t>
  </si>
  <si>
    <t>suf</t>
  </si>
  <si>
    <t>tarpia</t>
  </si>
  <si>
    <t>tause</t>
  </si>
  <si>
    <t>taworta</t>
  </si>
  <si>
    <t>tobati</t>
  </si>
  <si>
    <t>tofanma</t>
  </si>
  <si>
    <t>uhunduni</t>
  </si>
  <si>
    <t>uhundunÃ­</t>
  </si>
  <si>
    <t>usku</t>
  </si>
  <si>
    <t>wano</t>
  </si>
  <si>
    <t>woria</t>
  </si>
  <si>
    <t>yoki</t>
  </si>
  <si>
    <t>helong</t>
  </si>
  <si>
    <t>kaiy</t>
  </si>
  <si>
    <t>Javindo Creole</t>
  </si>
  <si>
    <t>crÃ©ole javindo</t>
  </si>
  <si>
    <t>criollo javindo</t>
  </si>
  <si>
    <t>Peco' Creole</t>
  </si>
  <si>
    <t>crÃ©ole pecok</t>
  </si>
  <si>
    <t>criollo petjo</t>
  </si>
  <si>
    <t>gorap</t>
  </si>
  <si>
    <t>hoti</t>
  </si>
  <si>
    <t>hukumina</t>
  </si>
  <si>
    <t>hulung</t>
  </si>
  <si>
    <t>kamarian</t>
  </si>
  <si>
    <t>kayeli</t>
  </si>
  <si>
    <t>liliali</t>
  </si>
  <si>
    <t>buru</t>
  </si>
  <si>
    <t>lola</t>
  </si>
  <si>
    <t>loun</t>
  </si>
  <si>
    <t>moksela</t>
  </si>
  <si>
    <t>Naka'ela</t>
  </si>
  <si>
    <t>naka'ela</t>
  </si>
  <si>
    <t>Nila (Seram Island)</t>
  </si>
  <si>
    <t>nila (Ã®le de Seram)</t>
  </si>
  <si>
    <t>nila (isla Seram)</t>
  </si>
  <si>
    <t>Nila (Nila Island)</t>
  </si>
  <si>
    <t>nila (Ã®le de Nila)</t>
  </si>
  <si>
    <t>nila (isla Nila)</t>
  </si>
  <si>
    <t>nusa laut</t>
  </si>
  <si>
    <t>oirata</t>
  </si>
  <si>
    <t>pmc</t>
  </si>
  <si>
    <t>palumata</t>
  </si>
  <si>
    <t>paulohi</t>
  </si>
  <si>
    <t>solehua</t>
  </si>
  <si>
    <t>ppr</t>
  </si>
  <si>
    <t>piru</t>
  </si>
  <si>
    <t>salas</t>
  </si>
  <si>
    <t>salas gunung</t>
  </si>
  <si>
    <t>saparua</t>
  </si>
  <si>
    <t>serili</t>
  </si>
  <si>
    <t>Te'un (Te'un Island)</t>
  </si>
  <si>
    <t>te'un (Ã®le de Te'un)</t>
  </si>
  <si>
    <t>teun (isla Te'un)</t>
  </si>
  <si>
    <t>Te'un (Seram Island)</t>
  </si>
  <si>
    <t>te'un (Ã®le de Seram)</t>
  </si>
  <si>
    <t>teun (isla Seram)</t>
  </si>
  <si>
    <t>ujir</t>
  </si>
  <si>
    <t>busoa</t>
  </si>
  <si>
    <t>dampelas</t>
  </si>
  <si>
    <t>dampelasa</t>
  </si>
  <si>
    <t>tajio</t>
  </si>
  <si>
    <t>Tobada'</t>
  </si>
  <si>
    <t>tobada</t>
  </si>
  <si>
    <t>tobada'</t>
  </si>
  <si>
    <t>ratahan</t>
  </si>
  <si>
    <t>Palu'e</t>
  </si>
  <si>
    <t>palu'e</t>
  </si>
  <si>
    <t>ahom</t>
  </si>
  <si>
    <t>India</t>
  </si>
  <si>
    <t>IND</t>
  </si>
  <si>
    <t>rangkas</t>
  </si>
  <si>
    <t>Tolcha</t>
  </si>
  <si>
    <t>tolcha</t>
  </si>
  <si>
    <t>toto</t>
  </si>
  <si>
    <t>aimol</t>
  </si>
  <si>
    <t>Andro</t>
  </si>
  <si>
    <t>andro</t>
  </si>
  <si>
    <t>Chairel</t>
  </si>
  <si>
    <t>koireng</t>
  </si>
  <si>
    <t>liangmai</t>
  </si>
  <si>
    <t>lamgang</t>
  </si>
  <si>
    <t>lamkang</t>
  </si>
  <si>
    <t>langrong</t>
  </si>
  <si>
    <t>moyon</t>
  </si>
  <si>
    <t>purum</t>
  </si>
  <si>
    <t>Sengmai</t>
  </si>
  <si>
    <t>sengmai</t>
  </si>
  <si>
    <t>tarao</t>
  </si>
  <si>
    <t>apatani</t>
  </si>
  <si>
    <t>dap</t>
  </si>
  <si>
    <t>nyishi</t>
  </si>
  <si>
    <t>nisi</t>
  </si>
  <si>
    <t>bangni</t>
  </si>
  <si>
    <t>tagin</t>
  </si>
  <si>
    <t>padam</t>
  </si>
  <si>
    <t>minyong</t>
  </si>
  <si>
    <t>pasi (adi)</t>
  </si>
  <si>
    <t>pasi</t>
  </si>
  <si>
    <t>gallong</t>
  </si>
  <si>
    <t>adi-galo</t>
  </si>
  <si>
    <t>Hill Miri</t>
  </si>
  <si>
    <t>miri</t>
  </si>
  <si>
    <t>hill miri</t>
  </si>
  <si>
    <t>mising</t>
  </si>
  <si>
    <t>miji</t>
  </si>
  <si>
    <t>sherdukpen</t>
  </si>
  <si>
    <t>khowa</t>
  </si>
  <si>
    <t>bugun</t>
  </si>
  <si>
    <t>singpho</t>
  </si>
  <si>
    <t>yingpho</t>
  </si>
  <si>
    <t>tangsa</t>
  </si>
  <si>
    <t>nocte</t>
  </si>
  <si>
    <t>wancho</t>
  </si>
  <si>
    <t>konyak</t>
  </si>
  <si>
    <t>coÃ±ac</t>
  </si>
  <si>
    <t>phom</t>
  </si>
  <si>
    <t>ngo</t>
  </si>
  <si>
    <t>ao</t>
  </si>
  <si>
    <t>chang</t>
  </si>
  <si>
    <t>lhota</t>
  </si>
  <si>
    <t>lota</t>
  </si>
  <si>
    <t>sangtam</t>
  </si>
  <si>
    <t>nky</t>
  </si>
  <si>
    <t>khiamngan</t>
  </si>
  <si>
    <t>yimchungru</t>
  </si>
  <si>
    <t>simi</t>
  </si>
  <si>
    <t>simÃ­</t>
  </si>
  <si>
    <t>nnl, nre</t>
  </si>
  <si>
    <t>rengma</t>
  </si>
  <si>
    <t>angami</t>
  </si>
  <si>
    <t>chokri</t>
  </si>
  <si>
    <t>chokrÃ­</t>
  </si>
  <si>
    <t>pochuri</t>
  </si>
  <si>
    <t>Kheza</t>
  </si>
  <si>
    <t>kheza</t>
  </si>
  <si>
    <t>khezha</t>
  </si>
  <si>
    <t>mao</t>
  </si>
  <si>
    <t>mzieme</t>
  </si>
  <si>
    <t>zemi</t>
  </si>
  <si>
    <t>zeme</t>
  </si>
  <si>
    <t>maram</t>
  </si>
  <si>
    <t>khoirao</t>
  </si>
  <si>
    <t>tangkhul</t>
  </si>
  <si>
    <t>rongmei</t>
  </si>
  <si>
    <t>maring</t>
  </si>
  <si>
    <t>naga maring</t>
  </si>
  <si>
    <t>pck, smt</t>
  </si>
  <si>
    <t>paite</t>
  </si>
  <si>
    <t>chin paite</t>
  </si>
  <si>
    <t>thado</t>
  </si>
  <si>
    <t>chin tado</t>
  </si>
  <si>
    <t>kabui</t>
  </si>
  <si>
    <t>anal</t>
  </si>
  <si>
    <t>karbi</t>
  </si>
  <si>
    <t>miquirÃ©s</t>
  </si>
  <si>
    <t>dimasa</t>
  </si>
  <si>
    <t>khampti</t>
  </si>
  <si>
    <t>jamtÃ­</t>
  </si>
  <si>
    <t>deori</t>
  </si>
  <si>
    <t>koch</t>
  </si>
  <si>
    <t>tiwa</t>
  </si>
  <si>
    <t>tigua</t>
  </si>
  <si>
    <t>rabha</t>
  </si>
  <si>
    <t>ruga</t>
  </si>
  <si>
    <t>A'tong</t>
  </si>
  <si>
    <t>a'tong</t>
  </si>
  <si>
    <t>atong</t>
  </si>
  <si>
    <t>mara</t>
  </si>
  <si>
    <t>chin mara</t>
  </si>
  <si>
    <t>gangte</t>
  </si>
  <si>
    <t>bunan</t>
  </si>
  <si>
    <t>bunÃ¡n</t>
  </si>
  <si>
    <t>rongpo</t>
  </si>
  <si>
    <t>rangpo</t>
  </si>
  <si>
    <t>jna, scu, ssk</t>
  </si>
  <si>
    <t>jangshung</t>
  </si>
  <si>
    <t>yansÃºn</t>
  </si>
  <si>
    <t>kanashi</t>
  </si>
  <si>
    <t>manchad</t>
  </si>
  <si>
    <t>lahuli de Chamba</t>
  </si>
  <si>
    <t>kachari</t>
  </si>
  <si>
    <t>biete</t>
  </si>
  <si>
    <t>kom</t>
  </si>
  <si>
    <t>hrangkhol</t>
  </si>
  <si>
    <t>rancol</t>
  </si>
  <si>
    <t>milang</t>
  </si>
  <si>
    <t>Pu</t>
  </si>
  <si>
    <t>pu</t>
  </si>
  <si>
    <t>mech</t>
  </si>
  <si>
    <t>bodo</t>
  </si>
  <si>
    <t>Sanenyo</t>
  </si>
  <si>
    <t>sanenyo</t>
  </si>
  <si>
    <t>chaura</t>
  </si>
  <si>
    <t>Luro</t>
  </si>
  <si>
    <t>luro</t>
  </si>
  <si>
    <t>teressa</t>
  </si>
  <si>
    <t>Muot</t>
  </si>
  <si>
    <t>muot</t>
  </si>
  <si>
    <t>nicobarÃ©s central</t>
  </si>
  <si>
    <t>shompen</t>
  </si>
  <si>
    <t>shom peng</t>
  </si>
  <si>
    <t>Lamongse</t>
  </si>
  <si>
    <t>lamongse</t>
  </si>
  <si>
    <t>lamongshÃ©</t>
  </si>
  <si>
    <t>Takahanyilang</t>
  </si>
  <si>
    <t>takahanyilang</t>
  </si>
  <si>
    <t>juang</t>
  </si>
  <si>
    <t>yuango</t>
  </si>
  <si>
    <t>kharia</t>
  </si>
  <si>
    <t>jariÃ¡</t>
  </si>
  <si>
    <t>sora</t>
  </si>
  <si>
    <t>gorum</t>
  </si>
  <si>
    <t>gorumo</t>
  </si>
  <si>
    <t>remo</t>
  </si>
  <si>
    <t>goutob</t>
  </si>
  <si>
    <t>gutob</t>
  </si>
  <si>
    <t>Geta?</t>
  </si>
  <si>
    <t>geta?</t>
  </si>
  <si>
    <t>geta</t>
  </si>
  <si>
    <t>korku</t>
  </si>
  <si>
    <t>koraku</t>
  </si>
  <si>
    <t>muw</t>
  </si>
  <si>
    <t>mundari</t>
  </si>
  <si>
    <t>mundarÃ­</t>
  </si>
  <si>
    <t>ho</t>
  </si>
  <si>
    <t>bij</t>
  </si>
  <si>
    <t>bhumji</t>
  </si>
  <si>
    <t>birhor</t>
  </si>
  <si>
    <t>koda</t>
  </si>
  <si>
    <t>turi</t>
  </si>
  <si>
    <t>Asur</t>
  </si>
  <si>
    <t>asuri</t>
  </si>
  <si>
    <t>korwa</t>
  </si>
  <si>
    <t>tangam</t>
  </si>
  <si>
    <t>tai phake</t>
  </si>
  <si>
    <t>phake</t>
  </si>
  <si>
    <t>tai nora</t>
  </si>
  <si>
    <t>nora</t>
  </si>
  <si>
    <t>Tai Rong</t>
  </si>
  <si>
    <t>tai-rong</t>
  </si>
  <si>
    <t>tairong</t>
  </si>
  <si>
    <t>aiton</t>
  </si>
  <si>
    <t>aitÃ³n</t>
  </si>
  <si>
    <t>lishpa</t>
  </si>
  <si>
    <t>meitei</t>
  </si>
  <si>
    <t>mitei</t>
  </si>
  <si>
    <t>mizo</t>
  </si>
  <si>
    <t>lushai</t>
  </si>
  <si>
    <t>khasi</t>
  </si>
  <si>
    <t>jasÃ­</t>
  </si>
  <si>
    <t>hmar</t>
  </si>
  <si>
    <t>nahali</t>
  </si>
  <si>
    <t>nahalÃ­</t>
  </si>
  <si>
    <t>nihali</t>
  </si>
  <si>
    <t>Sentilese</t>
  </si>
  <si>
    <t>sentinelese</t>
  </si>
  <si>
    <t>sentinel</t>
  </si>
  <si>
    <t>ang</t>
  </si>
  <si>
    <t>jarawa</t>
  </si>
  <si>
    <t>baghati</t>
  </si>
  <si>
    <t>bharmauri</t>
  </si>
  <si>
    <t>gaddi</t>
  </si>
  <si>
    <t>chambeali</t>
  </si>
  <si>
    <t>chameali</t>
  </si>
  <si>
    <t>churahi</t>
  </si>
  <si>
    <t>handuri</t>
  </si>
  <si>
    <t>Kangdi</t>
  </si>
  <si>
    <t>kangdi</t>
  </si>
  <si>
    <t>kului</t>
  </si>
  <si>
    <t>paharÃ­ de Kullu</t>
  </si>
  <si>
    <t>mahasui</t>
  </si>
  <si>
    <t>paharÃ­ mahasu</t>
  </si>
  <si>
    <t>mandeali</t>
  </si>
  <si>
    <t>Pangvali</t>
  </si>
  <si>
    <t>pangvali</t>
  </si>
  <si>
    <t>paharÃ­ pangwalÃ­</t>
  </si>
  <si>
    <t>Sirmaudi</t>
  </si>
  <si>
    <t>sirmauri</t>
  </si>
  <si>
    <t>kns, kfk, cif, tpq</t>
  </si>
  <si>
    <t>kinnauri</t>
  </si>
  <si>
    <t>kinaurÃ­</t>
  </si>
  <si>
    <t>garhwali</t>
  </si>
  <si>
    <t>jaunsari</t>
  </si>
  <si>
    <t>Padri</t>
  </si>
  <si>
    <t>padari</t>
  </si>
  <si>
    <t>bhadri</t>
  </si>
  <si>
    <t>badaga</t>
  </si>
  <si>
    <t>irula</t>
  </si>
  <si>
    <t>cota</t>
  </si>
  <si>
    <t>Kurru</t>
  </si>
  <si>
    <t>kurru</t>
  </si>
  <si>
    <t>yerukala</t>
  </si>
  <si>
    <t>toda</t>
  </si>
  <si>
    <t>gdb, gau</t>
  </si>
  <si>
    <t>gadaba</t>
  </si>
  <si>
    <t>kxu</t>
  </si>
  <si>
    <t>kouvi</t>
  </si>
  <si>
    <t>kuvi</t>
  </si>
  <si>
    <t>manda</t>
  </si>
  <si>
    <t>pengo</t>
  </si>
  <si>
    <t>bellari</t>
  </si>
  <si>
    <t>belarÃ­</t>
  </si>
  <si>
    <t>kodagu</t>
  </si>
  <si>
    <t>codagÃº</t>
  </si>
  <si>
    <t>Koraga</t>
  </si>
  <si>
    <t>koraga</t>
  </si>
  <si>
    <t>kuruba</t>
  </si>
  <si>
    <t>kurumba</t>
  </si>
  <si>
    <t>tulu</t>
  </si>
  <si>
    <t>tulÃº</t>
  </si>
  <si>
    <t>gon</t>
  </si>
  <si>
    <t>gondi</t>
  </si>
  <si>
    <t>gondÃ­</t>
  </si>
  <si>
    <t>parji</t>
  </si>
  <si>
    <t>duruwa</t>
  </si>
  <si>
    <t>kolami</t>
  </si>
  <si>
    <t>colami</t>
  </si>
  <si>
    <t>naiki</t>
  </si>
  <si>
    <t>naiquÃ­</t>
  </si>
  <si>
    <t>konda</t>
  </si>
  <si>
    <t>conda-dora</t>
  </si>
  <si>
    <t>Kurux (India)</t>
  </si>
  <si>
    <t>kurux (Inde)</t>
  </si>
  <si>
    <t>kuruj (India)</t>
  </si>
  <si>
    <t>malto</t>
  </si>
  <si>
    <t>Bangani</t>
  </si>
  <si>
    <t>bangani</t>
  </si>
  <si>
    <t>bhalesi</t>
  </si>
  <si>
    <t>Khasali</t>
  </si>
  <si>
    <t>khasali</t>
  </si>
  <si>
    <t>khasÄlÄ«</t>
  </si>
  <si>
    <t>Onge</t>
  </si>
  <si>
    <t>onge</t>
  </si>
  <si>
    <t>Ã¶nge</t>
  </si>
  <si>
    <t>Brokshat</t>
  </si>
  <si>
    <t>broskatÃ­</t>
  </si>
  <si>
    <t>Great andamanese</t>
  </si>
  <si>
    <t>grand andamanais</t>
  </si>
  <si>
    <t>andamanÃ©s</t>
  </si>
  <si>
    <t>koro</t>
  </si>
  <si>
    <t>byangsi</t>
  </si>
  <si>
    <t>India, Nepal</t>
  </si>
  <si>
    <t>IND, NPL</t>
  </si>
  <si>
    <t>darma</t>
  </si>
  <si>
    <t>limbu</t>
  </si>
  <si>
    <t>taj, tge, tmk, tsf, tdg</t>
  </si>
  <si>
    <t>tamang</t>
  </si>
  <si>
    <t>angika</t>
  </si>
  <si>
    <t>anga</t>
  </si>
  <si>
    <t>kumaoni</t>
  </si>
  <si>
    <t>cumaunÃ­</t>
  </si>
  <si>
    <t>Bhadravahi</t>
  </si>
  <si>
    <t>bhadravahi</t>
  </si>
  <si>
    <t>India, Pakistan</t>
  </si>
  <si>
    <t>IND, PAK</t>
  </si>
  <si>
    <t>kundal shahi</t>
  </si>
  <si>
    <t>kundalshahi</t>
  </si>
  <si>
    <t>balti</t>
  </si>
  <si>
    <t>Spiti</t>
  </si>
  <si>
    <t>spiti</t>
  </si>
  <si>
    <t>zangskari</t>
  </si>
  <si>
    <t>purik</t>
  </si>
  <si>
    <t>India, Sudan</t>
  </si>
  <si>
    <t>IND, SDN</t>
  </si>
  <si>
    <t>Ireland</t>
  </si>
  <si>
    <t>IRL</t>
  </si>
  <si>
    <t>irlandais</t>
  </si>
  <si>
    <t>irlandÃ©s</t>
  </si>
  <si>
    <t>Ireland, United Kingdom of Great Britain and Northern Ireland</t>
  </si>
  <si>
    <t>IRL, GBR</t>
  </si>
  <si>
    <t>Khorasani Turk</t>
  </si>
  <si>
    <t>turc du Khorassan</t>
  </si>
  <si>
    <t>turco jorasanÃ­</t>
  </si>
  <si>
    <t>Iran (Islamic Republic of)</t>
  </si>
  <si>
    <t>IRN</t>
  </si>
  <si>
    <t>avd, esh, goz, hrz, kgn, okh, rat, rdb, shm, tks, tov, vmh, xkj, xkc, xkp</t>
  </si>
  <si>
    <t>tati</t>
  </si>
  <si>
    <t>tatÃ­</t>
  </si>
  <si>
    <t>lrl, fay</t>
  </si>
  <si>
    <t>lari</t>
  </si>
  <si>
    <t>dzhidi</t>
  </si>
  <si>
    <t>dari</t>
  </si>
  <si>
    <t>darÃ­</t>
  </si>
  <si>
    <t>ashtiani</t>
  </si>
  <si>
    <t>astianÃ­</t>
  </si>
  <si>
    <t>nayini</t>
  </si>
  <si>
    <t>nayinÃ­</t>
  </si>
  <si>
    <t>natanzi</t>
  </si>
  <si>
    <t>natanzÃ­</t>
  </si>
  <si>
    <t>koroshi</t>
  </si>
  <si>
    <t>korochÃ­</t>
  </si>
  <si>
    <t>senaya</t>
  </si>
  <si>
    <t>neo-arameo cristiano</t>
  </si>
  <si>
    <t>siy, faz</t>
  </si>
  <si>
    <t>sivandi</t>
  </si>
  <si>
    <t>vafsi</t>
  </si>
  <si>
    <t>vafsÃ­</t>
  </si>
  <si>
    <t>khunsari</t>
  </si>
  <si>
    <t>junsarÃ­</t>
  </si>
  <si>
    <t>khalaj</t>
  </si>
  <si>
    <t>jalÃ¡i</t>
  </si>
  <si>
    <t>gazi</t>
  </si>
  <si>
    <t>Hulaula (Iran)</t>
  </si>
  <si>
    <t>hulaula (RÃ©publique islamique d'Iran)</t>
  </si>
  <si>
    <t>hulaulÃ¡ (Iran)</t>
  </si>
  <si>
    <t>Lishan Didan (Iran)</t>
  </si>
  <si>
    <t>lishan didan (RÃ©publique islamique d'Iran)</t>
  </si>
  <si>
    <t>lishanÃ¡n (IrÃ¡n)</t>
  </si>
  <si>
    <t>lsa, sgr, smy, sqo</t>
  </si>
  <si>
    <t>semnani</t>
  </si>
  <si>
    <t>bashkardi</t>
  </si>
  <si>
    <t>baskardÃ­</t>
  </si>
  <si>
    <t>mandÃ©en</t>
  </si>
  <si>
    <t>mandeo</t>
  </si>
  <si>
    <t>Iran (Islamic Republic of), Iraq</t>
  </si>
  <si>
    <t>IRN, IRQ</t>
  </si>
  <si>
    <t>bjm, hac, sdb, sdf</t>
  </si>
  <si>
    <t>hawrami</t>
  </si>
  <si>
    <t>brahui</t>
  </si>
  <si>
    <t>birahuÃ­</t>
  </si>
  <si>
    <t>Iran (Islamic Republic of), Pakistan, Afghanistan</t>
  </si>
  <si>
    <t>IRN, PAK, AFG</t>
  </si>
  <si>
    <t>Lishanid Noshan (Iraq)</t>
  </si>
  <si>
    <t>lishanid noshan (Iraq)</t>
  </si>
  <si>
    <t>lisÃ¡nido nosÃ¡n (Iraq)</t>
  </si>
  <si>
    <t>Iraq</t>
  </si>
  <si>
    <t>IRQ</t>
  </si>
  <si>
    <t>Lishana Deni (Iraq)</t>
  </si>
  <si>
    <t>lishana deni (Iraq)</t>
  </si>
  <si>
    <t>Barzani Jewish Neo-Aramaic (Iraq)</t>
  </si>
  <si>
    <t>judÃ©o-aramÃ©en barszani (Iraq)</t>
  </si>
  <si>
    <t>neo-arameo judÃ­o barzani (Iraq)</t>
  </si>
  <si>
    <t>adyguÃ©en</t>
  </si>
  <si>
    <t>adiga</t>
  </si>
  <si>
    <t>Iraq, Israel, Jordan, The former Yugoslav Republic of Macedonia, Russian Federation, Syrian Arab Republic, Turkey</t>
  </si>
  <si>
    <t>IRQ, ISR, JOR, MKD, RUS, SYR, TUR</t>
  </si>
  <si>
    <t>Western Armenian (Middle East)</t>
  </si>
  <si>
    <t>armÃ©nien occidental (Moyen-Orient)</t>
  </si>
  <si>
    <t>armenio occidental (Oriente Medio)</t>
  </si>
  <si>
    <t>Iraq, Lebanon, Syrian Arab Republic</t>
  </si>
  <si>
    <t>IRQ, LBN, SYR</t>
  </si>
  <si>
    <t>Judezmo (Israel)</t>
  </si>
  <si>
    <t>judÃ©o-espagnol (IsraÃ«l)</t>
  </si>
  <si>
    <t>sefardÃ­ (Israel)</t>
  </si>
  <si>
    <t>Israel</t>
  </si>
  <si>
    <t>ISR</t>
  </si>
  <si>
    <t>Lishana Deni (Israel)</t>
  </si>
  <si>
    <t>lishana deni (IsraÃ«l)</t>
  </si>
  <si>
    <t>lishana deni (Israel)</t>
  </si>
  <si>
    <t>Hulaula (Israel)</t>
  </si>
  <si>
    <t>hulaula (IsraÃ«l)</t>
  </si>
  <si>
    <t>hulaulÃ¡ (Israel)</t>
  </si>
  <si>
    <t>Lishan Didan (Israel)</t>
  </si>
  <si>
    <t>lishan didan (IsraÃ«l)</t>
  </si>
  <si>
    <t>lishanÃ¡n (Israel)</t>
  </si>
  <si>
    <t>Lishanid Noshan (Israel)</t>
  </si>
  <si>
    <t>lishanid noshan (IsraÃ«l)</t>
  </si>
  <si>
    <t>lisÃ¡nido nosÃ¡n (Israel)</t>
  </si>
  <si>
    <t>Barzani Jewish Neo-Aramaic (Israel)</t>
  </si>
  <si>
    <t>judÃ©o-aramÃ©en barszani (IsraÃ«l)</t>
  </si>
  <si>
    <t>neo-arameo judÃ­o barzani (Israel)</t>
  </si>
  <si>
    <t>Yiddish (Israel)</t>
  </si>
  <si>
    <t>yiddish (IsraÃ«l)</t>
  </si>
  <si>
    <t>yiddish (Israel)</t>
  </si>
  <si>
    <t>Juhur (Israel)</t>
  </si>
  <si>
    <t>juhuri (IsraÃ«l)</t>
  </si>
  <si>
    <t>judeo-tatÃ­ (Israel)</t>
  </si>
  <si>
    <t>Judeo-Berber (Israel)</t>
  </si>
  <si>
    <t>judÃ©o-berbÃ¨re (IsraÃ«l)</t>
  </si>
  <si>
    <t>judeo-bereber (Israel)</t>
  </si>
  <si>
    <t>Moroccan Judeo-Arabic (Israel)</t>
  </si>
  <si>
    <t>judÃ©o-arabe du Maroc (IsraÃ«l)</t>
  </si>
  <si>
    <t>judeo-Ã¡rabe marroquÃ­ (Israel)</t>
  </si>
  <si>
    <t>Tunisian Judeo-Arabic (Israel)</t>
  </si>
  <si>
    <t>judeo-arabe tunisien (IsraÃ«l)</t>
  </si>
  <si>
    <t>judeo-Ã¡rabe tunecino (Israel)</t>
  </si>
  <si>
    <t>campidanien</t>
  </si>
  <si>
    <t>sardo campidanÃ©s</t>
  </si>
  <si>
    <t>Italy</t>
  </si>
  <si>
    <t>ITA</t>
  </si>
  <si>
    <t>faetar</t>
  </si>
  <si>
    <t>frioulan</t>
  </si>
  <si>
    <t>friulano</t>
  </si>
  <si>
    <t>gallurien</t>
  </si>
  <si>
    <t>sardo galurÃ©s</t>
  </si>
  <si>
    <t>Gardiol</t>
  </si>
  <si>
    <t>gardiol</t>
  </si>
  <si>
    <t>logoudorien</t>
  </si>
  <si>
    <t>sardo logudorÃ©s</t>
  </si>
  <si>
    <t>piÃ©montais</t>
  </si>
  <si>
    <t>piamontÃ©s</t>
  </si>
  <si>
    <t>sassarien</t>
  </si>
  <si>
    <t>sasarÃ©s</t>
  </si>
  <si>
    <t>ladin</t>
  </si>
  <si>
    <t>ladino</t>
  </si>
  <si>
    <t>South Italian</t>
  </si>
  <si>
    <t>italien du sud</t>
  </si>
  <si>
    <t>napolitano-calabrÃ©s</t>
  </si>
  <si>
    <t>sicilien</t>
  </si>
  <si>
    <t>siciliano</t>
  </si>
  <si>
    <t>Gallo-Sicilian</t>
  </si>
  <si>
    <t>gallo-sicilien</t>
  </si>
  <si>
    <t>galo-siciliano</t>
  </si>
  <si>
    <t>Griko (Calabria)</t>
  </si>
  <si>
    <t>griko (Calabre)</t>
  </si>
  <si>
    <t>griko calabrÃ©s</t>
  </si>
  <si>
    <t>catalan alguerais</t>
  </si>
  <si>
    <t>alguerÃ©s</t>
  </si>
  <si>
    <t>tÃ¶itschu</t>
  </si>
  <si>
    <t>cimbre</t>
  </si>
  <si>
    <t>cimbriano</t>
  </si>
  <si>
    <t>ArbÃ«resh</t>
  </si>
  <si>
    <t>arbÃ«rerisht</t>
  </si>
  <si>
    <t>arberÃ©s</t>
  </si>
  <si>
    <t>Resian</t>
  </si>
  <si>
    <t>rÃ©sien</t>
  </si>
  <si>
    <t>resiano</t>
  </si>
  <si>
    <t>croate de Molise</t>
  </si>
  <si>
    <t>croata molise</t>
  </si>
  <si>
    <t>MÃ²cheno</t>
  </si>
  <si>
    <t>mocheno</t>
  </si>
  <si>
    <t>mÃ³cheno</t>
  </si>
  <si>
    <t>Griko (Salento)</t>
  </si>
  <si>
    <t>griko (Salento)</t>
  </si>
  <si>
    <t>griko salentino</t>
  </si>
  <si>
    <t>lombard</t>
  </si>
  <si>
    <t>lombardo</t>
  </si>
  <si>
    <t>Italy, Switzerland</t>
  </si>
  <si>
    <t>ITA, CHE</t>
  </si>
  <si>
    <t>eml</t>
  </si>
  <si>
    <t>Emilian-Romagnol</t>
  </si>
  <si>
    <t>Ã©milien-romagnol</t>
  </si>
  <si>
    <t>emiliano</t>
  </si>
  <si>
    <t>Italy, San Marino</t>
  </si>
  <si>
    <t>ITA, SMR</t>
  </si>
  <si>
    <t>Ainu (Hokkaido)</t>
  </si>
  <si>
    <t>aÃ¯nou (Hokkaido)</t>
  </si>
  <si>
    <t>ainÃº (Hokkaido)</t>
  </si>
  <si>
    <t>Japan</t>
  </si>
  <si>
    <t>JPN</t>
  </si>
  <si>
    <t>yaeyama</t>
  </si>
  <si>
    <t>yonaguni</t>
  </si>
  <si>
    <t>miyako</t>
  </si>
  <si>
    <t>okn, xug, yox</t>
  </si>
  <si>
    <t>kunigami</t>
  </si>
  <si>
    <t>ams, kzg, ryn, tkn</t>
  </si>
  <si>
    <t>Amami</t>
  </si>
  <si>
    <t>amani</t>
  </si>
  <si>
    <t>amami</t>
  </si>
  <si>
    <t>okinawaÃ¯en</t>
  </si>
  <si>
    <t>okinawano</t>
  </si>
  <si>
    <t>HachijÅ</t>
  </si>
  <si>
    <t>hachijÅ</t>
  </si>
  <si>
    <t>doungane</t>
  </si>
  <si>
    <t>dungano</t>
  </si>
  <si>
    <t>Kazakhstan, Kyrgyzstan</t>
  </si>
  <si>
    <t>KAZ, KGZ</t>
  </si>
  <si>
    <t>burji</t>
  </si>
  <si>
    <t>buryÃ­</t>
  </si>
  <si>
    <t>Kenya</t>
  </si>
  <si>
    <t>KEN</t>
  </si>
  <si>
    <t>elmolo</t>
  </si>
  <si>
    <t>emolo</t>
  </si>
  <si>
    <t>Lorkoti</t>
  </si>
  <si>
    <t>lorkoti</t>
  </si>
  <si>
    <t>yaaku</t>
  </si>
  <si>
    <t>Bong'om</t>
  </si>
  <si>
    <t>bong'om</t>
  </si>
  <si>
    <t>sogoo</t>
  </si>
  <si>
    <t>omotik</t>
  </si>
  <si>
    <t>omÃ³tico</t>
  </si>
  <si>
    <t>boni</t>
  </si>
  <si>
    <t>koyra</t>
  </si>
  <si>
    <t>dahalo</t>
  </si>
  <si>
    <t>sanye</t>
  </si>
  <si>
    <t>ongamo</t>
  </si>
  <si>
    <t>ngasa</t>
  </si>
  <si>
    <t>kinare</t>
  </si>
  <si>
    <t>sxb, ssc</t>
  </si>
  <si>
    <t>suba</t>
  </si>
  <si>
    <t>Kenya, United Republic of Tanzania</t>
  </si>
  <si>
    <t>KEN, TZA</t>
  </si>
  <si>
    <t>Chung (Cambodia)</t>
  </si>
  <si>
    <t>chung (Cambodge)</t>
  </si>
  <si>
    <t>sa-och (Camboya)</t>
  </si>
  <si>
    <t>Cambodia</t>
  </si>
  <si>
    <t>Western Cham</t>
  </si>
  <si>
    <t>cham de l'ouest</t>
  </si>
  <si>
    <t>chamo occidental</t>
  </si>
  <si>
    <t>Kaco'</t>
  </si>
  <si>
    <t>kraco'</t>
  </si>
  <si>
    <t>kaco'</t>
  </si>
  <si>
    <t>pear</t>
  </si>
  <si>
    <t>samre</t>
  </si>
  <si>
    <t>samrÃ¨</t>
  </si>
  <si>
    <t>Samrai</t>
  </si>
  <si>
    <t>samrai</t>
  </si>
  <si>
    <t>Tempuan</t>
  </si>
  <si>
    <t>tempuan</t>
  </si>
  <si>
    <t>phnong</t>
  </si>
  <si>
    <t>mnong central</t>
  </si>
  <si>
    <t>Krueng</t>
  </si>
  <si>
    <t>kreung</t>
  </si>
  <si>
    <t>krungo</t>
  </si>
  <si>
    <t>Stieng</t>
  </si>
  <si>
    <t>stieng</t>
  </si>
  <si>
    <t>So-ng</t>
  </si>
  <si>
    <t>so-ng</t>
  </si>
  <si>
    <t>son</t>
  </si>
  <si>
    <t>kuay</t>
  </si>
  <si>
    <t>kuayo</t>
  </si>
  <si>
    <t>chuang</t>
  </si>
  <si>
    <t>kravet</t>
  </si>
  <si>
    <t>kraol</t>
  </si>
  <si>
    <t>brao</t>
  </si>
  <si>
    <t>Cambodia, Lao People's Democratic Republic, Viet Nam</t>
  </si>
  <si>
    <t>KHM, LAO, VNM</t>
  </si>
  <si>
    <t>Samray</t>
  </si>
  <si>
    <t>somray</t>
  </si>
  <si>
    <t>Cambodia, Thailand</t>
  </si>
  <si>
    <t>KHM, THA</t>
  </si>
  <si>
    <t>Kasong</t>
  </si>
  <si>
    <t>kasong</t>
  </si>
  <si>
    <t>chong</t>
  </si>
  <si>
    <t>Republic of Korea</t>
  </si>
  <si>
    <t>KOR</t>
  </si>
  <si>
    <t>bana</t>
  </si>
  <si>
    <t>Lao People's Democratic Republic</t>
  </si>
  <si>
    <t>LAO</t>
  </si>
  <si>
    <t>pasing</t>
  </si>
  <si>
    <t>chepya</t>
  </si>
  <si>
    <t>aheu</t>
  </si>
  <si>
    <t>phon sung</t>
  </si>
  <si>
    <t>Iduh (Lao PDR)</t>
  </si>
  <si>
    <t>iduh (RÃ©publique dÃ©mocratique populaire lao)</t>
  </si>
  <si>
    <t>odu (Laos)</t>
  </si>
  <si>
    <t>Theen</t>
  </si>
  <si>
    <t>theen</t>
  </si>
  <si>
    <t>Mok (Lao PDR)</t>
  </si>
  <si>
    <t>mok (RÃ©publique dÃ©mocratique populaire lao)</t>
  </si>
  <si>
    <t>mok (Laos)</t>
  </si>
  <si>
    <t>maleng</t>
  </si>
  <si>
    <t>pakatan</t>
  </si>
  <si>
    <t>phunoi</t>
  </si>
  <si>
    <t>tai nÃ¼a</t>
  </si>
  <si>
    <t>tainuÃ¡</t>
  </si>
  <si>
    <t>Chatong</t>
  </si>
  <si>
    <t>chatong</t>
  </si>
  <si>
    <t>Dakkang</t>
  </si>
  <si>
    <t>dakkang</t>
  </si>
  <si>
    <t>triw</t>
  </si>
  <si>
    <t>trii</t>
  </si>
  <si>
    <t>Juk</t>
  </si>
  <si>
    <t>swoeng</t>
  </si>
  <si>
    <t>hnu, tmk</t>
  </si>
  <si>
    <t>phong</t>
  </si>
  <si>
    <t>pong</t>
  </si>
  <si>
    <t>tamang du nord-ouest</t>
  </si>
  <si>
    <t>akeu</t>
  </si>
  <si>
    <t>Lao People's Democratic Republic, Myanmar, Thailand</t>
  </si>
  <si>
    <t>LAO, MMR, THA</t>
  </si>
  <si>
    <t>mlabri</t>
  </si>
  <si>
    <t>Lao People's Democratic Republic, Thailand</t>
  </si>
  <si>
    <t>LAO, THA</t>
  </si>
  <si>
    <t>Thavung (Laos)</t>
  </si>
  <si>
    <t>thavung (RÃ©publique dÃ©mocratique populaire lao)</t>
  </si>
  <si>
    <t>thavung (Laos)</t>
  </si>
  <si>
    <t>saek</t>
  </si>
  <si>
    <t>arem</t>
  </si>
  <si>
    <t>aremo</t>
  </si>
  <si>
    <t>Lao People's Democratic Republic, Viet Nam</t>
  </si>
  <si>
    <t>LAO, VNM</t>
  </si>
  <si>
    <t>hung</t>
  </si>
  <si>
    <t>may</t>
  </si>
  <si>
    <t>sach</t>
  </si>
  <si>
    <t>sila</t>
  </si>
  <si>
    <t>tai daeng</t>
  </si>
  <si>
    <t>taidaÃ©n</t>
  </si>
  <si>
    <t>awjila</t>
  </si>
  <si>
    <t>auyila</t>
  </si>
  <si>
    <t>Libyan Arab Jamahiriya</t>
  </si>
  <si>
    <t>LBY</t>
  </si>
  <si>
    <t>ghadamÃ¨s</t>
  </si>
  <si>
    <t>gadamÃ©s</t>
  </si>
  <si>
    <t>Sawkna</t>
  </si>
  <si>
    <t>sawkna</t>
  </si>
  <si>
    <t>sokna</t>
  </si>
  <si>
    <t>Tamahaq (Libya)</t>
  </si>
  <si>
    <t>tamahaq (Jamahiriya arabe libyenne)</t>
  </si>
  <si>
    <t>tamahaq (Libia)</t>
  </si>
  <si>
    <t>nefousi</t>
  </si>
  <si>
    <t>jabal nafusah</t>
  </si>
  <si>
    <t>vedda</t>
  </si>
  <si>
    <t>veda</t>
  </si>
  <si>
    <t>Sri Lanka</t>
  </si>
  <si>
    <t>LKA</t>
  </si>
  <si>
    <t>phuthi</t>
  </si>
  <si>
    <t>suacÃ­</t>
  </si>
  <si>
    <t>Lesotho</t>
  </si>
  <si>
    <t>LSO</t>
  </si>
  <si>
    <t>Karaim (Lithuania)</t>
  </si>
  <si>
    <t>karaÃ¯m (Lituanie)</t>
  </si>
  <si>
    <t>karaÃ­m (Lituania)</t>
  </si>
  <si>
    <t>Lithuania</t>
  </si>
  <si>
    <t>LTU</t>
  </si>
  <si>
    <t>live</t>
  </si>
  <si>
    <t>livÃ³n</t>
  </si>
  <si>
    <t>Latvia</t>
  </si>
  <si>
    <t>LVA</t>
  </si>
  <si>
    <t>Krevin</t>
  </si>
  <si>
    <t>lav</t>
  </si>
  <si>
    <t>latgalien</t>
  </si>
  <si>
    <t>letÃ³n</t>
  </si>
  <si>
    <t>Latvia, Russian Federation</t>
  </si>
  <si>
    <t>LVA, RUS</t>
  </si>
  <si>
    <t>ghomara</t>
  </si>
  <si>
    <t>Morocco</t>
  </si>
  <si>
    <t>MAR</t>
  </si>
  <si>
    <t>Judeo-Berber (Morocco)</t>
  </si>
  <si>
    <t>judÃ©o-berbÃ¨re (Maroc)</t>
  </si>
  <si>
    <t>judeo-bereber (Marruecos)</t>
  </si>
  <si>
    <t>Tamazight (Beni Iznassen)</t>
  </si>
  <si>
    <t>tamazight (Beni Iznassen)</t>
  </si>
  <si>
    <t>Sanhaja of Srair</t>
  </si>
  <si>
    <t>senhaja de Srair</t>
  </si>
  <si>
    <t>Tamazight (Ait Rouadi)</t>
  </si>
  <si>
    <t>tamazight (Ait Rouadi)</t>
  </si>
  <si>
    <t>Figuig</t>
  </si>
  <si>
    <t>figuig</t>
  </si>
  <si>
    <t>Moroccan Judeo-Arabic (Morocco)</t>
  </si>
  <si>
    <t>judÃ©o-arabe marocain (Maroc)</t>
  </si>
  <si>
    <t>judeo-Ã¡rabe marroquÃ­ (Marruecos)</t>
  </si>
  <si>
    <t>Gagauz (Bessarabia)</t>
  </si>
  <si>
    <t>gagaouze (Bessarabia)</t>
  </si>
  <si>
    <t>gagauso (Besarabia)</t>
  </si>
  <si>
    <t>Republic of Moldova, Ukraine</t>
  </si>
  <si>
    <t>MDA, UKR</t>
  </si>
  <si>
    <t>Santa MarÃ­a del Mar Huave</t>
  </si>
  <si>
    <t>huave de Santa MarÃ­a del Mar</t>
  </si>
  <si>
    <t>Mexico</t>
  </si>
  <si>
    <t>MEX</t>
  </si>
  <si>
    <t>San Francisco del Mar Huave</t>
  </si>
  <si>
    <t>huave de San Francisco del Mar</t>
  </si>
  <si>
    <t>chichimÃ¨que</t>
  </si>
  <si>
    <t>chichimeca</t>
  </si>
  <si>
    <t>tlapanÃ¨que de Malinaltepec</t>
  </si>
  <si>
    <t>tlapaneco malinaltepeco</t>
  </si>
  <si>
    <t>Cocopa (Mexico)</t>
  </si>
  <si>
    <t>cucapÃ¡ (Mexique)</t>
  </si>
  <si>
    <t>cocopa (MÃ©xico)</t>
  </si>
  <si>
    <t>Tipai (Mexico)</t>
  </si>
  <si>
    <t>tipai (Mexique)</t>
  </si>
  <si>
    <t>tipai (MÃ©xico)</t>
  </si>
  <si>
    <t>paipai</t>
  </si>
  <si>
    <t>paipÃ¡i</t>
  </si>
  <si>
    <t>kiliwa</t>
  </si>
  <si>
    <t>chontal des hautes terres</t>
  </si>
  <si>
    <t>chontal de la sierra</t>
  </si>
  <si>
    <t>San Dionisio del Mar Huave</t>
  </si>
  <si>
    <t>huave de San Dionisio</t>
  </si>
  <si>
    <t>huave de San Dionisio del Mar</t>
  </si>
  <si>
    <t>Phurhepecha</t>
  </si>
  <si>
    <t>purepecha</t>
  </si>
  <si>
    <t>purÃ©pecha</t>
  </si>
  <si>
    <t>Lower Mixe</t>
  </si>
  <si>
    <t>bas mixe</t>
  </si>
  <si>
    <t>mixÃ© bajo</t>
  </si>
  <si>
    <t>Western Zoque</t>
  </si>
  <si>
    <t>zoque occidental</t>
  </si>
  <si>
    <t>zoquÃ© occidental</t>
  </si>
  <si>
    <t>Sierra Popoluca</t>
  </si>
  <si>
    <t>populaca de la Sierra</t>
  </si>
  <si>
    <t>popoluca de Sierra</t>
  </si>
  <si>
    <t>Sayultec</t>
  </si>
  <si>
    <t>sayultec</t>
  </si>
  <si>
    <t>sayulteco</t>
  </si>
  <si>
    <t>Central Zoque</t>
  </si>
  <si>
    <t>zoque central</t>
  </si>
  <si>
    <t>zoquÃ© central</t>
  </si>
  <si>
    <t>Southern Zoque</t>
  </si>
  <si>
    <t>zoque mÃ©ridional</t>
  </si>
  <si>
    <t>zoquÃ© meridional</t>
  </si>
  <si>
    <t>Texistepecan</t>
  </si>
  <si>
    <t>texistepÃ¨que</t>
  </si>
  <si>
    <t>popoluca de Texistepeco</t>
  </si>
  <si>
    <t>Olultecan</t>
  </si>
  <si>
    <t>olultecan</t>
  </si>
  <si>
    <t>oluteco</t>
  </si>
  <si>
    <t>ayapanec</t>
  </si>
  <si>
    <t>ayapaneco</t>
  </si>
  <si>
    <t>totonaque de Misantla</t>
  </si>
  <si>
    <t>totonaco de Misantla</t>
  </si>
  <si>
    <t>Papantla Totonac</t>
  </si>
  <si>
    <t>totonaque de Papantla</t>
  </si>
  <si>
    <t>totonaco papantla</t>
  </si>
  <si>
    <t>totonaque de la Sierra</t>
  </si>
  <si>
    <t>totonacano de Sierra</t>
  </si>
  <si>
    <t>totonaque septentrional</t>
  </si>
  <si>
    <t>totonacano septentrional</t>
  </si>
  <si>
    <t>Patla-Chicontla Totonac</t>
  </si>
  <si>
    <t>totonaque de Patla-Chicontla</t>
  </si>
  <si>
    <t>totonacano de Patla</t>
  </si>
  <si>
    <t>Filomeno Mata Totonac</t>
  </si>
  <si>
    <t>totonaque de Filomeno Mata</t>
  </si>
  <si>
    <t>totonacano filomeno mata-coahuillÃ¡n</t>
  </si>
  <si>
    <t>OzomatlÃ¡n Totonac</t>
  </si>
  <si>
    <t>totonaque d'OzomatlÃ¡n</t>
  </si>
  <si>
    <t>totonacano de OzumatlÃ¡n</t>
  </si>
  <si>
    <t>Huehuetla Tepehua</t>
  </si>
  <si>
    <t>tepehuano de Huehuetla</t>
  </si>
  <si>
    <t>Pisaflores Tepehua</t>
  </si>
  <si>
    <t>tepehua de Pisaflores</t>
  </si>
  <si>
    <t>tepehuano de Pisa Flores</t>
  </si>
  <si>
    <t>Tlachichilco Tepehua</t>
  </si>
  <si>
    <t>tepehua de Tlachichilco</t>
  </si>
  <si>
    <t>tepehuano de Tlachichilco</t>
  </si>
  <si>
    <t>Lowland Chontal</t>
  </si>
  <si>
    <t>chontal des basses terres</t>
  </si>
  <si>
    <t>chontal bajo</t>
  </si>
  <si>
    <t>Central Pame</t>
  </si>
  <si>
    <t>pamÃ© central</t>
  </si>
  <si>
    <t>pame central</t>
  </si>
  <si>
    <t>Northern Pame</t>
  </si>
  <si>
    <t>pamÃ© septentrional</t>
  </si>
  <si>
    <t>pame del norte</t>
  </si>
  <si>
    <t>Sierra OtomÃ­</t>
  </si>
  <si>
    <t>otomÃ­ de la Sierra</t>
  </si>
  <si>
    <t>Central OtomÃ­</t>
  </si>
  <si>
    <t>otomÃ­ central</t>
  </si>
  <si>
    <t>Lower Northwestern OtomÃ­</t>
  </si>
  <si>
    <t>bas otomÃ­ du nord-est</t>
  </si>
  <si>
    <t>otomÃ­ noroccidental bajo</t>
  </si>
  <si>
    <t>Northwestern OtomÃ­</t>
  </si>
  <si>
    <t>otomÃ­ nord-occidental</t>
  </si>
  <si>
    <t>otomÃ­ noroccidental</t>
  </si>
  <si>
    <t>Western OtomÃ­</t>
  </si>
  <si>
    <t>otomÃ­ occidental</t>
  </si>
  <si>
    <t>Mezquital OtomÃ­</t>
  </si>
  <si>
    <t>otomÃ­ de Mezquital</t>
  </si>
  <si>
    <t>otomÃ­ del valle de Mezquital</t>
  </si>
  <si>
    <t>Ocoyoacac OtomÃ­</t>
  </si>
  <si>
    <t>otomÃ­ d'Ocoyoacac</t>
  </si>
  <si>
    <t>otomÃ­ de Ocoyoacac</t>
  </si>
  <si>
    <t>Tilapa OtomÃ­</t>
  </si>
  <si>
    <t>otomÃ­ de Tilapa</t>
  </si>
  <si>
    <t>Ixtenco OtomÃ­</t>
  </si>
  <si>
    <t>otomÃ­ d'Ixtenco</t>
  </si>
  <si>
    <t>otomÃ­ de Ixtenco</t>
  </si>
  <si>
    <t>matlatzinca</t>
  </si>
  <si>
    <t>tlahuica</t>
  </si>
  <si>
    <t>San Mateo del Mar Huave</t>
  </si>
  <si>
    <t>huave de San Mateo del Mar</t>
  </si>
  <si>
    <t>Eastern Mazahua</t>
  </si>
  <si>
    <t>mazahua oriental</t>
  </si>
  <si>
    <t>Western Mazahua</t>
  </si>
  <si>
    <t>mazahua occidental</t>
  </si>
  <si>
    <t>Zapotec of Mixtepe</t>
  </si>
  <si>
    <t>zapotÃ¨que de Mixtepe</t>
  </si>
  <si>
    <t>zapoteco mixtepeco</t>
  </si>
  <si>
    <t>Zapotec of San Felipe Tejalapan</t>
  </si>
  <si>
    <t>zapotÃ¨que de San Felipe Tejalapan</t>
  </si>
  <si>
    <t>zapoteco de San Felipe TejalÃ¡pam</t>
  </si>
  <si>
    <t>Zapotec of AsunciÃ³n Tlacolulita</t>
  </si>
  <si>
    <t>zapotÃ¨que d'AsunciÃ³n Tlacolulita</t>
  </si>
  <si>
    <t>zapoteco de AsunciÃ³n Tlacolulita</t>
  </si>
  <si>
    <t>Zapotec of San Bartolo Yautepec</t>
  </si>
  <si>
    <t>zapotÃ¨que de San Bartolo Yautepec</t>
  </si>
  <si>
    <t>zapoteco de San Bartolo Yautepec</t>
  </si>
  <si>
    <t>Zapotec of the Valleys, central</t>
  </si>
  <si>
    <t>zapotÃ¨que des vallÃ©es, centre</t>
  </si>
  <si>
    <t>zapoteco del valle central</t>
  </si>
  <si>
    <t>Zapotec of the Valleys north</t>
  </si>
  <si>
    <t>zapotÃ¨que des vallÃ©es, nord</t>
  </si>
  <si>
    <t>zapoteco del valle septentrional</t>
  </si>
  <si>
    <t>Zapotec of the Southern mountains, northwest lowlands</t>
  </si>
  <si>
    <t>zapotÃ¨que des montagnes du sud, basses terres nord-occidentales</t>
  </si>
  <si>
    <t>zapoteco de la sierra sur, llanura noroccidental</t>
  </si>
  <si>
    <t>Zapotec of the Valleys, west</t>
  </si>
  <si>
    <t>zapotÃ¨que des vallÃ©es, ouest</t>
  </si>
  <si>
    <t>zapoteco del valle occidental</t>
  </si>
  <si>
    <t>Zapotec of the Southern mountains, eastern lowlands</t>
  </si>
  <si>
    <t>zapotÃ¨que des montagnes du sud, basses terres orientales</t>
  </si>
  <si>
    <t>zapoteco de la sierra sur, llanura oriental</t>
  </si>
  <si>
    <t>Zapotec of San Antonino el Alto</t>
  </si>
  <si>
    <t>zapotÃ¨que de San Antonio el Alto</t>
  </si>
  <si>
    <t>zapoteco de San Antonino el Alto</t>
  </si>
  <si>
    <t>Zapotec of ZimatlÃ¡n de Ãlvarez</t>
  </si>
  <si>
    <t>zapotÃ¨que de ZimatlÃ¡n de Ãlvarez</t>
  </si>
  <si>
    <t>zapoteco de ZimatlÃ¡n de Ãlvarez</t>
  </si>
  <si>
    <t>Zapotec of the Southern mountains, northeast</t>
  </si>
  <si>
    <t>zapotÃ¨que des montagnes du sud, nord-est</t>
  </si>
  <si>
    <t>zapoteco de la sierra sur, nororiental</t>
  </si>
  <si>
    <t>Zapotec of Petapa</t>
  </si>
  <si>
    <t>zapotÃ¨que de Petapa</t>
  </si>
  <si>
    <t>zapoteco de Petapa</t>
  </si>
  <si>
    <t>Zapotec of the Valleys, middle northwest</t>
  </si>
  <si>
    <t>zapotÃ¨que des vallÃ©es, nord-ouest central</t>
  </si>
  <si>
    <t>zapoteco del valle medio noroccidental</t>
  </si>
  <si>
    <t>Chatino of Zacatepec</t>
  </si>
  <si>
    <t>chatino de Zacatepec</t>
  </si>
  <si>
    <t>chatino de Zacatepeco</t>
  </si>
  <si>
    <t>Chatino of the western lowlands</t>
  </si>
  <si>
    <t>chatino des basses-terres occidentales</t>
  </si>
  <si>
    <t>chatino de la zona baja occidental</t>
  </si>
  <si>
    <t>Mixtec of the northeast lowlands</t>
  </si>
  <si>
    <t>mixtÃ¨que des basses terres du nord-est</t>
  </si>
  <si>
    <t>Mixteco del noreste bajo</t>
  </si>
  <si>
    <t>Mixtec of San Miguel Piedras</t>
  </si>
  <si>
    <t>mixtÃ¨que de San Miguel Piedras</t>
  </si>
  <si>
    <t>mixteco de San Miguel Piedras</t>
  </si>
  <si>
    <t>Mixtec of San Pedro TidaÃ¡</t>
  </si>
  <si>
    <t>mixtÃ¨que de San Pedro TidaÃ¡</t>
  </si>
  <si>
    <t>mixteco de San Pedro TidaÃ¡</t>
  </si>
  <si>
    <t>Mixtec of ZapotitlÃ¡n</t>
  </si>
  <si>
    <t>mixtÃ¨que de ZapotitlÃ¡n</t>
  </si>
  <si>
    <t>Mixteco de ZapotitlÃ¡n</t>
  </si>
  <si>
    <t>Mixtec of Tlaltempan</t>
  </si>
  <si>
    <t>mixtÃ¨que de Tlaltempan</t>
  </si>
  <si>
    <t>Mixteco de Tlaltempan</t>
  </si>
  <si>
    <t>Mixtec of Santa InÃ©s de Zaragoza</t>
  </si>
  <si>
    <t>mixtÃ¨que de Santa InÃ©s de Zaragoza</t>
  </si>
  <si>
    <t>mixteco de Santa InÃ©s de Zaragoza</t>
  </si>
  <si>
    <t>Mixtec of Santa Cruz Itundujia</t>
  </si>
  <si>
    <t>mixtÃ¨que de Santa Cruz Itundujia</t>
  </si>
  <si>
    <t>mixteco de Santa Cruz Itundujia</t>
  </si>
  <si>
    <t>Mixtec of Villa de Tututepec</t>
  </si>
  <si>
    <t>mixtÃ¨que de Villa de Tutatepec</t>
  </si>
  <si>
    <t>Mixtec of the southwest of Puebla</t>
  </si>
  <si>
    <t>mixtÃ¨que du sud-est de Puebla</t>
  </si>
  <si>
    <t>Mixteco del sureste de Puebla</t>
  </si>
  <si>
    <t>Mixtec of the central Ravine</t>
  </si>
  <si>
    <t>mixtÃ¨que de CaÃ±ada Central</t>
  </si>
  <si>
    <t>Mixteco de la CaÃ±ada Central</t>
  </si>
  <si>
    <t>Mixtec of the Puebla-Oaxaca border</t>
  </si>
  <si>
    <t>mixtÃ¨que de la frontiÃ¨re Puebla-Oaxaca</t>
  </si>
  <si>
    <t>Mixteco de la frontera Puebla-Oaxaca</t>
  </si>
  <si>
    <t>Southern Tlapanec</t>
  </si>
  <si>
    <t>tlapanÃ¨que mÃ©ridional</t>
  </si>
  <si>
    <t>tlapaneco meridional</t>
  </si>
  <si>
    <t>tlapanÃ¨que occidental</t>
  </si>
  <si>
    <t>tlapaneco occidental</t>
  </si>
  <si>
    <t>Southwestern Tlapanec</t>
  </si>
  <si>
    <t>tlapanÃ¨que sud-occidental</t>
  </si>
  <si>
    <t>tlapaneco suroccidental</t>
  </si>
  <si>
    <t>Eastern Tlapanec</t>
  </si>
  <si>
    <t>tlapanÃ¨que oriental</t>
  </si>
  <si>
    <t>tlapaneco oriental</t>
  </si>
  <si>
    <t>Central Tlapanec</t>
  </si>
  <si>
    <t>tlapanÃ¨que cental</t>
  </si>
  <si>
    <t>tlapaneco central</t>
  </si>
  <si>
    <t>Northern Tlapanec</t>
  </si>
  <si>
    <t>tlapanÃ¨que septentrional</t>
  </si>
  <si>
    <t>tlapaneco septentrional</t>
  </si>
  <si>
    <t>Northwestern Tlapanec</t>
  </si>
  <si>
    <t>tlapanÃ¨que nord-occidental</t>
  </si>
  <si>
    <t>tlapaneco noroccidental</t>
  </si>
  <si>
    <t>cux, cut</t>
  </si>
  <si>
    <t>Central Cuicatec</t>
  </si>
  <si>
    <t>cuicatÃ¨que central</t>
  </si>
  <si>
    <t>cuicateco central</t>
  </si>
  <si>
    <t>Northern Cuicatec</t>
  </si>
  <si>
    <t>cuicatÃ¨que septentrional</t>
  </si>
  <si>
    <t>cuicateco septentrional</t>
  </si>
  <si>
    <t>Eastern Cuicatec</t>
  </si>
  <si>
    <t>cuicatÃ¨que oriental</t>
  </si>
  <si>
    <t>cuicateco oriental</t>
  </si>
  <si>
    <t>Valle Nacional Chinantec</t>
  </si>
  <si>
    <t>chinantÃ¨que de Valle Nacional</t>
  </si>
  <si>
    <t>chinanteco de Valle Nacional</t>
  </si>
  <si>
    <t>seri</t>
  </si>
  <si>
    <t>Kickapoo (Mexico)</t>
  </si>
  <si>
    <t>kickapoo (Mexique)</t>
  </si>
  <si>
    <t>quicapÃº (MÃ©xico)</t>
  </si>
  <si>
    <t>Eastern Chocho</t>
  </si>
  <si>
    <t>chocho oriental</t>
  </si>
  <si>
    <t>Chocholteco del este</t>
  </si>
  <si>
    <t>Western Chocho</t>
  </si>
  <si>
    <t>chocho occidental</t>
  </si>
  <si>
    <t>chochoteco occidental</t>
  </si>
  <si>
    <t>Southern Chocho</t>
  </si>
  <si>
    <t>chocho mÃ©ridional</t>
  </si>
  <si>
    <t>chochoteco meridional</t>
  </si>
  <si>
    <t>ixcatÃ¨que</t>
  </si>
  <si>
    <t>ixcateco</t>
  </si>
  <si>
    <t>Central Popoloc</t>
  </si>
  <si>
    <t>popoloc central</t>
  </si>
  <si>
    <t>popoloca central</t>
  </si>
  <si>
    <t>Western Popoloc</t>
  </si>
  <si>
    <t>popoloc occidental</t>
  </si>
  <si>
    <t>popoloca occidental</t>
  </si>
  <si>
    <t>Northern Popoloc</t>
  </si>
  <si>
    <t>popoloc septentrional</t>
  </si>
  <si>
    <t>popoloca septentrional</t>
  </si>
  <si>
    <t>Eastern Popoloc</t>
  </si>
  <si>
    <t>popoloc oriental</t>
  </si>
  <si>
    <t>popoloca oriental</t>
  </si>
  <si>
    <t>Acatepec Mazatec</t>
  </si>
  <si>
    <t>mazatÃ¨que d'Acatepec</t>
  </si>
  <si>
    <t>mazateco de Acatepec</t>
  </si>
  <si>
    <t>EloxochitlÃ¡n Mazatec</t>
  </si>
  <si>
    <t>mazatÃ¨que d'EloxochitlÃ¡n</t>
  </si>
  <si>
    <t>mazateco de EloxochitlÃ¡n</t>
  </si>
  <si>
    <t>HuehuetlÃ¡n Mazatec</t>
  </si>
  <si>
    <t>mazatÃ¨que de HuehuetlÃ¡n</t>
  </si>
  <si>
    <t>mazateco de HuehuetlÃ¡n</t>
  </si>
  <si>
    <t>Higher Reservoir Mazatec</t>
  </si>
  <si>
    <t>mazatÃ¨que de la Presa (haut)</t>
  </si>
  <si>
    <t>mazateco de la presa alto</t>
  </si>
  <si>
    <t>IxcatlÃ¡n Mazatec</t>
  </si>
  <si>
    <t>mazatÃ¨que d'IxcatlÃ¡n</t>
  </si>
  <si>
    <t>mazateco de IxcatlÃ¡n</t>
  </si>
  <si>
    <t>mazatÃ¨que des hautes terres</t>
  </si>
  <si>
    <t>mazateco de la sierra</t>
  </si>
  <si>
    <t>mazatÃ¨que des basses terres</t>
  </si>
  <si>
    <t>mazateco del este bajo</t>
  </si>
  <si>
    <t>Soyaltepec Mazatec</t>
  </si>
  <si>
    <t>mazatÃ¨que de Soyaltepec</t>
  </si>
  <si>
    <t>mazateco de Soyaltepec</t>
  </si>
  <si>
    <t>Chilchotla Mazatec</t>
  </si>
  <si>
    <t>mazatÃ¨que de Chilchotla</t>
  </si>
  <si>
    <t>mazateco de Chilchotla</t>
  </si>
  <si>
    <t>Western Mazatec</t>
  </si>
  <si>
    <t>mazatÃ¨que occidental</t>
  </si>
  <si>
    <t>mazateco del oeste</t>
  </si>
  <si>
    <t>Ocopetatillo Mazatec</t>
  </si>
  <si>
    <t>mazatÃ¨que d'Ocopetatillo</t>
  </si>
  <si>
    <t>mazateco de Ocopetatillo</t>
  </si>
  <si>
    <t>Puebla Mazatec</t>
  </si>
  <si>
    <t>mazatÃ¨que de Puebla</t>
  </si>
  <si>
    <t>mazateco de Puebla</t>
  </si>
  <si>
    <t>ChiquihuitlÃ¡n Mazatec</t>
  </si>
  <si>
    <t>mazatÃ¨que de ChiquihuitlÃ¡n</t>
  </si>
  <si>
    <t>mazateco de San Juan ChiquihuillÃ¡n</t>
  </si>
  <si>
    <t>Ayautla Mazatec</t>
  </si>
  <si>
    <t>mazatÃ¨que d'Ayautla</t>
  </si>
  <si>
    <t>mazateco de Ayautla</t>
  </si>
  <si>
    <t>MazatlÃ¡n Mazatec</t>
  </si>
  <si>
    <t>mazatÃ¨que de MazatlÃ¡n</t>
  </si>
  <si>
    <t>mazateco de MazatlÃ¡n</t>
  </si>
  <si>
    <t>TecÃ³atl Mazatec</t>
  </si>
  <si>
    <t>mazatÃ¨que de Tecoatl</t>
  </si>
  <si>
    <t>mazateco de TecÃ³atl</t>
  </si>
  <si>
    <t>lacandon</t>
  </si>
  <si>
    <t>lacandÃ³n</t>
  </si>
  <si>
    <t>Chontal Tabasco</t>
  </si>
  <si>
    <t>chontal du Tabasco</t>
  </si>
  <si>
    <t>chontal de Tabasco</t>
  </si>
  <si>
    <t>Akatek (Mexico)</t>
  </si>
  <si>
    <t>acatÃ¨que (Mexique)</t>
  </si>
  <si>
    <t>canjobalÃ©s occidental (MÃ©xico)</t>
  </si>
  <si>
    <t>Motocintlec</t>
  </si>
  <si>
    <t>motocintlÃ¨que</t>
  </si>
  <si>
    <t>mochÃ³</t>
  </si>
  <si>
    <t>Tuzantec</t>
  </si>
  <si>
    <t>tuzantec</t>
  </si>
  <si>
    <t>tuzanteco</t>
  </si>
  <si>
    <t>Chuj (Mexico)</t>
  </si>
  <si>
    <t>chuj (Mexique)</t>
  </si>
  <si>
    <t>chuj (MÃ©xico)</t>
  </si>
  <si>
    <t>K'iche' (Mexico)</t>
  </si>
  <si>
    <t>k'iche' (Mexique)</t>
  </si>
  <si>
    <t>quichÃ© (MÃ©xico)</t>
  </si>
  <si>
    <t>Kaqchikel (Mexico)</t>
  </si>
  <si>
    <t>kaqchikel (Mexique)</t>
  </si>
  <si>
    <t>cachiquel (MÃ©xico)</t>
  </si>
  <si>
    <t>teko</t>
  </si>
  <si>
    <t>teco</t>
  </si>
  <si>
    <t>Mam (Mexico)</t>
  </si>
  <si>
    <t>mam (Mexique)</t>
  </si>
  <si>
    <t>mam (MÃ©xico)</t>
  </si>
  <si>
    <t>Awakatek (Mexico)</t>
  </si>
  <si>
    <t>awacatÃ¨que (Mexique)</t>
  </si>
  <si>
    <t>aguacateco (MÃ©xico)</t>
  </si>
  <si>
    <t>Ixil (Mexico)</t>
  </si>
  <si>
    <t>ixil (Mexique)</t>
  </si>
  <si>
    <t>ijilo (MÃ©xico)</t>
  </si>
  <si>
    <t>O'odham (Mexico)</t>
  </si>
  <si>
    <t>o'odham (Mexique)</t>
  </si>
  <si>
    <t>papago (MÃ©xico)</t>
  </si>
  <si>
    <t>Chihuahua Lower Pima</t>
  </si>
  <si>
    <t>bas-pima du Chihuahua</t>
  </si>
  <si>
    <t>pima bajo de Chihuahua</t>
  </si>
  <si>
    <t>Sonora Lower Pima</t>
  </si>
  <si>
    <t>bas-pima de Sonora</t>
  </si>
  <si>
    <t>pima bajo de Sonora</t>
  </si>
  <si>
    <t>Southwestern Tepehuan</t>
  </si>
  <si>
    <t>tepehuan sud-occidental</t>
  </si>
  <si>
    <t>tepehuano suroccidental</t>
  </si>
  <si>
    <t>tac, thh</t>
  </si>
  <si>
    <t>Northwestern Tarahumara</t>
  </si>
  <si>
    <t>tarahumara nord-occidental</t>
  </si>
  <si>
    <t>tarahumara noroccidental</t>
  </si>
  <si>
    <t>Western Tarahumara</t>
  </si>
  <si>
    <t>tarahumara occidental</t>
  </si>
  <si>
    <t>Southeastern Tarahumara</t>
  </si>
  <si>
    <t>tarahumara du sud-est</t>
  </si>
  <si>
    <t>tarahumara suroriental</t>
  </si>
  <si>
    <t>River GuarijÃ­o</t>
  </si>
  <si>
    <t>guarijÃ­o du sud</t>
  </si>
  <si>
    <t>guarijÃ­o del sur</t>
  </si>
  <si>
    <t>Mountain GuarijÃ­o</t>
  </si>
  <si>
    <t>guarijÃ­o du nord</t>
  </si>
  <si>
    <t>guarijÃ­o del norte</t>
  </si>
  <si>
    <t>Yaqui (Mexico)</t>
  </si>
  <si>
    <t>yaqui (Mexique)</t>
  </si>
  <si>
    <t>yaqui (MÃ©xico)</t>
  </si>
  <si>
    <t>mayo</t>
  </si>
  <si>
    <t>huichol</t>
  </si>
  <si>
    <t>Western NÃ¡huatl</t>
  </si>
  <si>
    <t>nÃ¡huatl occidental</t>
  </si>
  <si>
    <t>nahua de occidente</t>
  </si>
  <si>
    <t>Tabasco NÃ¡huatl</t>
  </si>
  <si>
    <t>nÃ¡huatl de Tabasco</t>
  </si>
  <si>
    <t>nahua de Tabasco</t>
  </si>
  <si>
    <t>nhn, nch, ncx</t>
  </si>
  <si>
    <t>Central NÃ¡huatl</t>
  </si>
  <si>
    <t>nÃ¡huatl central</t>
  </si>
  <si>
    <t>nahua central</t>
  </si>
  <si>
    <t>Sierra de Puebla NÃ¡huatl</t>
  </si>
  <si>
    <t>nÃ¡huatl de la Sierra de Puebla</t>
  </si>
  <si>
    <t>nahua de la sierra de Puebla</t>
  </si>
  <si>
    <t>Isthmus NÃ¡huatl</t>
  </si>
  <si>
    <t>nÃ¡huatl de l'Isthme</t>
  </si>
  <si>
    <t>nahua del istmo</t>
  </si>
  <si>
    <t>Huasteca NÃ¡huatl</t>
  </si>
  <si>
    <t>nÃ¡huatl du Huasteca</t>
  </si>
  <si>
    <t>nahua de la Huasteca</t>
  </si>
  <si>
    <t>Jakaltek (Mexico)</t>
  </si>
  <si>
    <t>jacaltÃ¨que (Mexique)</t>
  </si>
  <si>
    <t>jacalteko (MÃ©xico)</t>
  </si>
  <si>
    <t>Northern TepehuÃ¡n</t>
  </si>
  <si>
    <t>tepehuan septentrional</t>
  </si>
  <si>
    <t>tepehuano septentrional</t>
  </si>
  <si>
    <t>Tamaceq</t>
  </si>
  <si>
    <t>tamaceq</t>
  </si>
  <si>
    <t>tamacheq tahoua</t>
  </si>
  <si>
    <t>MLI</t>
  </si>
  <si>
    <t>banka</t>
  </si>
  <si>
    <t>chawte</t>
  </si>
  <si>
    <t>chote naga</t>
  </si>
  <si>
    <t>MMR</t>
  </si>
  <si>
    <t>danaw</t>
  </si>
  <si>
    <t>danÃ¡u</t>
  </si>
  <si>
    <t>ganan</t>
  </si>
  <si>
    <t>kdv</t>
  </si>
  <si>
    <t>kadu</t>
  </si>
  <si>
    <t>gadu</t>
  </si>
  <si>
    <t>Malin</t>
  </si>
  <si>
    <t>malin</t>
  </si>
  <si>
    <t>Sak (Myanmar)</t>
  </si>
  <si>
    <t>sak (Myanmar)</t>
  </si>
  <si>
    <t>taman</t>
  </si>
  <si>
    <t>Anung (Myanmar)</t>
  </si>
  <si>
    <t>anong (Myanmar)</t>
  </si>
  <si>
    <t>anung (Myanmar)</t>
  </si>
  <si>
    <t>hpun</t>
  </si>
  <si>
    <t>hpon</t>
  </si>
  <si>
    <t>Laomian (Myanmar)</t>
  </si>
  <si>
    <t>laomien (Myanmar)</t>
  </si>
  <si>
    <t>laomian (Myanmar)</t>
  </si>
  <si>
    <t>yos</t>
  </si>
  <si>
    <t>Palaung</t>
  </si>
  <si>
    <t>palaung</t>
  </si>
  <si>
    <t>palaungo shwe</t>
  </si>
  <si>
    <t>pale</t>
  </si>
  <si>
    <t>palaungo pale</t>
  </si>
  <si>
    <t>riang</t>
  </si>
  <si>
    <t>rumai</t>
  </si>
  <si>
    <t>palaungo rumÃ¡i</t>
  </si>
  <si>
    <t>en</t>
  </si>
  <si>
    <t>wa</t>
  </si>
  <si>
    <t>thaÃ¯ loi</t>
  </si>
  <si>
    <t>tailÃ³i</t>
  </si>
  <si>
    <t>angku</t>
  </si>
  <si>
    <t>bisu</t>
  </si>
  <si>
    <t>bisÃº</t>
  </si>
  <si>
    <t>Myanmar, Thailand</t>
  </si>
  <si>
    <t>MMR, THA</t>
  </si>
  <si>
    <t>moklen</t>
  </si>
  <si>
    <t>Mok (Myanmar, Thailand)</t>
  </si>
  <si>
    <t>mok (Myanmar, ThaÃ¯lande)</t>
  </si>
  <si>
    <t>mok (Myanmar, Tailandia)</t>
  </si>
  <si>
    <t>mÃ´n</t>
  </si>
  <si>
    <t>mon</t>
  </si>
  <si>
    <t>Dukha</t>
  </si>
  <si>
    <t>tukha</t>
  </si>
  <si>
    <t>dukha</t>
  </si>
  <si>
    <t>Mongolia</t>
  </si>
  <si>
    <t>MNG</t>
  </si>
  <si>
    <t>KhÃ¶vsgÃ¶l Uryangkhay</t>
  </si>
  <si>
    <t>ouÃ¯ghour uryangkhai</t>
  </si>
  <si>
    <t>urianjai de KhÃ¶vsgÃ¶l</t>
  </si>
  <si>
    <t>Evenki (Southern Siberia)</t>
  </si>
  <si>
    <t>Ã©venki (SibÃ©rie du sud)</t>
  </si>
  <si>
    <t>evenki (Siberia meridional)</t>
  </si>
  <si>
    <t>Mongolia, Russian Federation</t>
  </si>
  <si>
    <t>MNG, RUS</t>
  </si>
  <si>
    <t>Zenaga (Mauritania)</t>
  </si>
  <si>
    <t>zenaga (Mauritanie)</t>
  </si>
  <si>
    <t>zenaga (Mauritania)</t>
  </si>
  <si>
    <t>Mauritania</t>
  </si>
  <si>
    <t>MRT</t>
  </si>
  <si>
    <t>ime</t>
  </si>
  <si>
    <t>Imeraguen</t>
  </si>
  <si>
    <t>imeraguen</t>
  </si>
  <si>
    <t>imeraguÃ©n</t>
  </si>
  <si>
    <t>nemadi</t>
  </si>
  <si>
    <t>nemadÃ­</t>
  </si>
  <si>
    <t>abai sungai</t>
  </si>
  <si>
    <t>Malaysia</t>
  </si>
  <si>
    <t>MYS</t>
  </si>
  <si>
    <t>kanowit</t>
  </si>
  <si>
    <t>punan batu</t>
  </si>
  <si>
    <t>sian</t>
  </si>
  <si>
    <t>orang kanaq</t>
  </si>
  <si>
    <t>orang seletar</t>
  </si>
  <si>
    <t>orang hulu</t>
  </si>
  <si>
    <t>yakuno</t>
  </si>
  <si>
    <t>temuan</t>
  </si>
  <si>
    <t>temuano</t>
  </si>
  <si>
    <t>kristang</t>
  </si>
  <si>
    <t>papia kristang</t>
  </si>
  <si>
    <t>Kenaboi</t>
  </si>
  <si>
    <t>kenaboi</t>
  </si>
  <si>
    <t>Urak Lawoi (Malaysia)</t>
  </si>
  <si>
    <t>urak lawoiâ€™ (Malaisie)</t>
  </si>
  <si>
    <t>urak lawoi (Malasia)</t>
  </si>
  <si>
    <t>batek</t>
  </si>
  <si>
    <t>mah meri</t>
  </si>
  <si>
    <t>besisi</t>
  </si>
  <si>
    <t>che wong</t>
  </si>
  <si>
    <t>chuba</t>
  </si>
  <si>
    <t>jah hut</t>
  </si>
  <si>
    <t>jah het</t>
  </si>
  <si>
    <t>lanoh</t>
  </si>
  <si>
    <t>semelai</t>
  </si>
  <si>
    <t>semelÃ¡i</t>
  </si>
  <si>
    <t>sca</t>
  </si>
  <si>
    <t>semai</t>
  </si>
  <si>
    <t>semÃ¡i</t>
  </si>
  <si>
    <t>semaq beri</t>
  </si>
  <si>
    <t>temiar</t>
  </si>
  <si>
    <t>Kentak</t>
  </si>
  <si>
    <t>kentak</t>
  </si>
  <si>
    <t>Kensiw (Malaysia)</t>
  </si>
  <si>
    <t>kensiw (Malaisie)</t>
  </si>
  <si>
    <t>kensiu (Malasia)</t>
  </si>
  <si>
    <t>Menri'</t>
  </si>
  <si>
    <t>menri'</t>
  </si>
  <si>
    <t>jahai</t>
  </si>
  <si>
    <t>yehai</t>
  </si>
  <si>
    <t>szd</t>
  </si>
  <si>
    <t>Seru</t>
  </si>
  <si>
    <t>seru</t>
  </si>
  <si>
    <t>Duano'</t>
  </si>
  <si>
    <t>duano'</t>
  </si>
  <si>
    <t>khwe</t>
  </si>
  <si>
    <t>Namibia</t>
  </si>
  <si>
    <t>NAM</t>
  </si>
  <si>
    <t>pwapwa</t>
  </si>
  <si>
    <t>New Caledonia (France)</t>
  </si>
  <si>
    <t>NCL</t>
  </si>
  <si>
    <t>Arha</t>
  </si>
  <si>
    <t>arha</t>
  </si>
  <si>
    <t>ara</t>
  </si>
  <si>
    <t>Arho</t>
  </si>
  <si>
    <t>arho</t>
  </si>
  <si>
    <t>Sishee</t>
  </si>
  <si>
    <t>sishee</t>
  </si>
  <si>
    <t>zire</t>
  </si>
  <si>
    <t>kumak</t>
  </si>
  <si>
    <t>caac</t>
  </si>
  <si>
    <t>jawe</t>
  </si>
  <si>
    <t>nemi</t>
  </si>
  <si>
    <t>fwÃ¢i</t>
  </si>
  <si>
    <t>pije</t>
  </si>
  <si>
    <t>PwaamÃ¨i</t>
  </si>
  <si>
    <t>pwaamÃ¨i</t>
  </si>
  <si>
    <t>pwaamei</t>
  </si>
  <si>
    <t>bwa, aek, hvk, mrk, mkt</t>
  </si>
  <si>
    <t>Voh-KonÃ© dialects</t>
  </si>
  <si>
    <t>dialectes de Voh-KonÃ©</t>
  </si>
  <si>
    <t>dialectos de Voh-KonÃ©</t>
  </si>
  <si>
    <t>Ã´rÃ´Ãª</t>
  </si>
  <si>
    <t>orowe</t>
  </si>
  <si>
    <t>neku</t>
  </si>
  <si>
    <t>tir, meg</t>
  </si>
  <si>
    <t>Tiri</t>
  </si>
  <si>
    <t>tÃ®rÃ®</t>
  </si>
  <si>
    <t>tiri</t>
  </si>
  <si>
    <t>xÃ¢rÃ¢gurÃ¨</t>
  </si>
  <si>
    <t>xaragure</t>
  </si>
  <si>
    <t>nÃ¢Ã¢ drubea</t>
  </si>
  <si>
    <t>drubea</t>
  </si>
  <si>
    <t>Fagauvea (Northern)</t>
  </si>
  <si>
    <t>fagauvea (nord)</t>
  </si>
  <si>
    <t>uveano (septentrional)</t>
  </si>
  <si>
    <t>Fagauvea (Southern)</t>
  </si>
  <si>
    <t>fagauvea (sud)</t>
  </si>
  <si>
    <t>uveano (meridional)</t>
  </si>
  <si>
    <t>tamajeq</t>
  </si>
  <si>
    <t>Niger</t>
  </si>
  <si>
    <t>NER</t>
  </si>
  <si>
    <t>tetserret</t>
  </si>
  <si>
    <t>Norfolk-Pitcairn (Norfolk)</t>
  </si>
  <si>
    <t>pitkern-norfolk (Norfolk)</t>
  </si>
  <si>
    <t>pitcairn-norfolk (Norfolk)</t>
  </si>
  <si>
    <t>Norfolk Island (Australia)</t>
  </si>
  <si>
    <t>NFK</t>
  </si>
  <si>
    <t>yangkam</t>
  </si>
  <si>
    <t>bachirÃ­</t>
  </si>
  <si>
    <t>Nigeria</t>
  </si>
  <si>
    <t>NGA</t>
  </si>
  <si>
    <t>zeem</t>
  </si>
  <si>
    <t>zeemo</t>
  </si>
  <si>
    <t>kudu-camo</t>
  </si>
  <si>
    <t>kuda-chamo</t>
  </si>
  <si>
    <t>Gurdu-Mbaaru</t>
  </si>
  <si>
    <t>gurdu-mbaaru</t>
  </si>
  <si>
    <t>guruntum</t>
  </si>
  <si>
    <t>fyem</t>
  </si>
  <si>
    <t>fyam</t>
  </si>
  <si>
    <t>luri</t>
  </si>
  <si>
    <t>lurÃ­</t>
  </si>
  <si>
    <t>ngwaba</t>
  </si>
  <si>
    <t>enguaba</t>
  </si>
  <si>
    <t>kiong</t>
  </si>
  <si>
    <t>defaka</t>
  </si>
  <si>
    <t>ilue</t>
  </si>
  <si>
    <t>odut</t>
  </si>
  <si>
    <t>gji</t>
  </si>
  <si>
    <t>Geji cluster</t>
  </si>
  <si>
    <t>groupe geji</t>
  </si>
  <si>
    <t>grupo geji</t>
  </si>
  <si>
    <t>reshe</t>
  </si>
  <si>
    <t>bade</t>
  </si>
  <si>
    <t>badÃ©</t>
  </si>
  <si>
    <t>gura</t>
  </si>
  <si>
    <t>gyem</t>
  </si>
  <si>
    <t>gera</t>
  </si>
  <si>
    <t>jilbe</t>
  </si>
  <si>
    <t>yilbe</t>
  </si>
  <si>
    <t>Polci cluster</t>
  </si>
  <si>
    <t>groupe Polci</t>
  </si>
  <si>
    <t>polci</t>
  </si>
  <si>
    <t>dulbu</t>
  </si>
  <si>
    <t>duguza</t>
  </si>
  <si>
    <t>sambe</t>
  </si>
  <si>
    <t>kona</t>
  </si>
  <si>
    <t>jukun kona</t>
  </si>
  <si>
    <t>mvanip</t>
  </si>
  <si>
    <t>ndunda</t>
  </si>
  <si>
    <t>bakpinka</t>
  </si>
  <si>
    <t>tuahka</t>
  </si>
  <si>
    <t>Nicaragua</t>
  </si>
  <si>
    <t>NIC</t>
  </si>
  <si>
    <t>panamahka</t>
  </si>
  <si>
    <t>panamaka</t>
  </si>
  <si>
    <t>ulwa</t>
  </si>
  <si>
    <t>sumo</t>
  </si>
  <si>
    <t>Miskito (Nicaragua)</t>
  </si>
  <si>
    <t>miskito (Nicaragua)</t>
  </si>
  <si>
    <t>misquito (Nicaragua)</t>
  </si>
  <si>
    <t>rama</t>
  </si>
  <si>
    <t>GarÃ­funa (Nicaragua)</t>
  </si>
  <si>
    <t>garifuna (Nicaragua)</t>
  </si>
  <si>
    <t>garÃ­funa (Nicaragua)</t>
  </si>
  <si>
    <t>cacaopera</t>
  </si>
  <si>
    <t>matagalpa</t>
  </si>
  <si>
    <t>subtiaba</t>
  </si>
  <si>
    <t>Mosquitia Creole</t>
  </si>
  <si>
    <t>crÃ©ole de Mosquitia</t>
  </si>
  <si>
    <t>criollo de la Mosquitia</t>
  </si>
  <si>
    <t>Rama Cay Creole</t>
  </si>
  <si>
    <t>crÃ©ole de Rama Cay</t>
  </si>
  <si>
    <t>rama cay</t>
  </si>
  <si>
    <t>niue</t>
  </si>
  <si>
    <t>NIU</t>
  </si>
  <si>
    <t>West Frisian</t>
  </si>
  <si>
    <t>frison occidental</t>
  </si>
  <si>
    <t>frisÃ³n occidental</t>
  </si>
  <si>
    <t>Netherlands</t>
  </si>
  <si>
    <t>NLD</t>
  </si>
  <si>
    <t>Lule Saami</t>
  </si>
  <si>
    <t>lule saami</t>
  </si>
  <si>
    <t>saamÃ­ de Lule</t>
  </si>
  <si>
    <t>Norway, Sweden</t>
  </si>
  <si>
    <t>NOR, SWE</t>
  </si>
  <si>
    <t>Pite Saami</t>
  </si>
  <si>
    <t>pite saami</t>
  </si>
  <si>
    <t>saamÃ­ de Pite</t>
  </si>
  <si>
    <t>South Saami</t>
  </si>
  <si>
    <t>saami mÃ©ridional</t>
  </si>
  <si>
    <t>saamÃ­ meridional</t>
  </si>
  <si>
    <t>BarÄm</t>
  </si>
  <si>
    <t>barÄm</t>
  </si>
  <si>
    <t>baraamu / baramÃº</t>
  </si>
  <si>
    <t>Nepal</t>
  </si>
  <si>
    <t>NPL</t>
  </si>
  <si>
    <t>dhanwar</t>
  </si>
  <si>
    <t>danvar</t>
  </si>
  <si>
    <t>chantyal</t>
  </si>
  <si>
    <t>chantel</t>
  </si>
  <si>
    <t>chintang</t>
  </si>
  <si>
    <t>chintÃ¡n</t>
  </si>
  <si>
    <t>dhimal</t>
  </si>
  <si>
    <t>dumi</t>
  </si>
  <si>
    <t>dumÃ­</t>
  </si>
  <si>
    <t>dura</t>
  </si>
  <si>
    <t>hayu</t>
  </si>
  <si>
    <t>yakkha</t>
  </si>
  <si>
    <t>yakha</t>
  </si>
  <si>
    <t>ChÉ¨lÉ¨ng</t>
  </si>
  <si>
    <t>chulÃºn</t>
  </si>
  <si>
    <t>SÄm</t>
  </si>
  <si>
    <t>sÄm</t>
  </si>
  <si>
    <t>saam / saamo</t>
  </si>
  <si>
    <t>tilung</t>
  </si>
  <si>
    <t>halesidanda</t>
  </si>
  <si>
    <t>athpahariya</t>
  </si>
  <si>
    <t>atpariya</t>
  </si>
  <si>
    <t>bahing</t>
  </si>
  <si>
    <t>bantawa</t>
  </si>
  <si>
    <t>chamling</t>
  </si>
  <si>
    <t>chamlingo</t>
  </si>
  <si>
    <t>jero</t>
  </si>
  <si>
    <t>yerÃºn</t>
  </si>
  <si>
    <t>cdm, byh</t>
  </si>
  <si>
    <t>chepang</t>
  </si>
  <si>
    <t>darai</t>
  </si>
  <si>
    <t>Dol-po</t>
  </si>
  <si>
    <t>dolpo</t>
  </si>
  <si>
    <t>dungmali</t>
  </si>
  <si>
    <t>khaling</t>
  </si>
  <si>
    <t>jalingo</t>
  </si>
  <si>
    <t>kohi</t>
  </si>
  <si>
    <t>kulung</t>
  </si>
  <si>
    <t>kulungo</t>
  </si>
  <si>
    <t>lbr, lrr</t>
  </si>
  <si>
    <t>lohorung</t>
  </si>
  <si>
    <t>lohorong</t>
  </si>
  <si>
    <t>emg, raf</t>
  </si>
  <si>
    <t>mewahang</t>
  </si>
  <si>
    <t>meohang</t>
  </si>
  <si>
    <t>nachiring</t>
  </si>
  <si>
    <t>nacherÃ­n</t>
  </si>
  <si>
    <t>puma</t>
  </si>
  <si>
    <t>sampang</t>
  </si>
  <si>
    <t>sunwar</t>
  </si>
  <si>
    <t>surel</t>
  </si>
  <si>
    <t>thulung</t>
  </si>
  <si>
    <t>thulungo</t>
  </si>
  <si>
    <t>yma, ybi</t>
  </si>
  <si>
    <t>yamphu</t>
  </si>
  <si>
    <t>wambule</t>
  </si>
  <si>
    <t>ght, ghh, ghe</t>
  </si>
  <si>
    <t>Ghale</t>
  </si>
  <si>
    <t>ghale</t>
  </si>
  <si>
    <t>ggn, gvr</t>
  </si>
  <si>
    <t>gurung</t>
  </si>
  <si>
    <t>thakali</t>
  </si>
  <si>
    <t>thangmi</t>
  </si>
  <si>
    <t>newar</t>
  </si>
  <si>
    <t>nevarÃ­</t>
  </si>
  <si>
    <t>mgp, mrd</t>
  </si>
  <si>
    <t>magar</t>
  </si>
  <si>
    <t>magarÃ­</t>
  </si>
  <si>
    <t>kgj, kip</t>
  </si>
  <si>
    <t>kham</t>
  </si>
  <si>
    <t>jamÃ­</t>
  </si>
  <si>
    <t>Gyasumdo</t>
  </si>
  <si>
    <t>gyasumdo</t>
  </si>
  <si>
    <t>Narpa</t>
  </si>
  <si>
    <t>narpa</t>
  </si>
  <si>
    <t>narpÃº</t>
  </si>
  <si>
    <t>nyishangba</t>
  </si>
  <si>
    <t>kaike</t>
  </si>
  <si>
    <t>jirel</t>
  </si>
  <si>
    <t>KÄgate</t>
  </si>
  <si>
    <t>kÄgate</t>
  </si>
  <si>
    <t>kagate</t>
  </si>
  <si>
    <t>Ha-lung Tibetan</t>
  </si>
  <si>
    <t>walung</t>
  </si>
  <si>
    <t>halung tibetano</t>
  </si>
  <si>
    <t>Khaccaá¸ Bhoá¹­e</t>
  </si>
  <si>
    <t>tibÃ©tain d'Ã¢ne</t>
  </si>
  <si>
    <t>bhotte</t>
  </si>
  <si>
    <t>Langthang Tibetan</t>
  </si>
  <si>
    <t>tibÃ©tain du Langthang</t>
  </si>
  <si>
    <t>langthang</t>
  </si>
  <si>
    <t>Limirong Tibetan</t>
  </si>
  <si>
    <t>tibÃ©tain de Limirong</t>
  </si>
  <si>
    <t>limirong</t>
  </si>
  <si>
    <t>Loke Tibetan</t>
  </si>
  <si>
    <t>tibÃ©tain de Loke</t>
  </si>
  <si>
    <t>loke</t>
  </si>
  <si>
    <t>Nupri</t>
  </si>
  <si>
    <t>nupri</t>
  </si>
  <si>
    <t>nubrÃ­</t>
  </si>
  <si>
    <t>tsum</t>
  </si>
  <si>
    <t>seke</t>
  </si>
  <si>
    <t>KumÄle</t>
  </si>
  <si>
    <t>kumÄle</t>
  </si>
  <si>
    <t>kumhali</t>
  </si>
  <si>
    <t>majhi</t>
  </si>
  <si>
    <t>bote-majhi</t>
  </si>
  <si>
    <t>raji</t>
  </si>
  <si>
    <t>raute</t>
  </si>
  <si>
    <t>kru, kxl</t>
  </si>
  <si>
    <t>kusunda</t>
  </si>
  <si>
    <t>Kurux (Nepal)</t>
  </si>
  <si>
    <t>kurux (NÃ©pal)</t>
  </si>
  <si>
    <t>kuruj (Nepal)</t>
  </si>
  <si>
    <t>SatÄr</t>
  </si>
  <si>
    <t>satÄr</t>
  </si>
  <si>
    <t>satar</t>
  </si>
  <si>
    <t>nauruan</t>
  </si>
  <si>
    <t>nauruano</t>
  </si>
  <si>
    <t>NRU</t>
  </si>
  <si>
    <t>maori</t>
  </si>
  <si>
    <t>maorÃ­</t>
  </si>
  <si>
    <t>New Zealand</t>
  </si>
  <si>
    <t>NZL</t>
  </si>
  <si>
    <t>harsusi</t>
  </si>
  <si>
    <t>Oman</t>
  </si>
  <si>
    <t>OMN</t>
  </si>
  <si>
    <t>jibbali</t>
  </si>
  <si>
    <t>yibalÃ­</t>
  </si>
  <si>
    <t>khojki</t>
  </si>
  <si>
    <t>luvatÃ­</t>
  </si>
  <si>
    <t>bathari</t>
  </si>
  <si>
    <t>batarÃ­</t>
  </si>
  <si>
    <t>Zidgali</t>
  </si>
  <si>
    <t>zidgali</t>
  </si>
  <si>
    <t>kumzari</t>
  </si>
  <si>
    <t>mehri</t>
  </si>
  <si>
    <t>mahri</t>
  </si>
  <si>
    <t>Oman, Yemen</t>
  </si>
  <si>
    <t>OMN, YEM</t>
  </si>
  <si>
    <t>Hobyot</t>
  </si>
  <si>
    <t>hobyot</t>
  </si>
  <si>
    <t>hobioto</t>
  </si>
  <si>
    <t>domaaki</t>
  </si>
  <si>
    <t>domakÃ­</t>
  </si>
  <si>
    <t>Pakistan</t>
  </si>
  <si>
    <t>PAK</t>
  </si>
  <si>
    <t>bourouchaski</t>
  </si>
  <si>
    <t>buruchaski</t>
  </si>
  <si>
    <t>khowar</t>
  </si>
  <si>
    <t>jovaro</t>
  </si>
  <si>
    <t>kalasha</t>
  </si>
  <si>
    <t>calasa</t>
  </si>
  <si>
    <t>yidgha</t>
  </si>
  <si>
    <t>munyanÃ­</t>
  </si>
  <si>
    <t>phalura</t>
  </si>
  <si>
    <t>dameli</t>
  </si>
  <si>
    <t>damelÃ­</t>
  </si>
  <si>
    <t>ushojo</t>
  </si>
  <si>
    <t>usoyo</t>
  </si>
  <si>
    <t>gowro</t>
  </si>
  <si>
    <t>bateri</t>
  </si>
  <si>
    <t>chilisso</t>
  </si>
  <si>
    <t>chiliss</t>
  </si>
  <si>
    <t>gwc, xka</t>
  </si>
  <si>
    <t>bashkarik</t>
  </si>
  <si>
    <t>bascarÃ­</t>
  </si>
  <si>
    <t>torwali</t>
  </si>
  <si>
    <t>torvalÃ­</t>
  </si>
  <si>
    <t>maiya</t>
  </si>
  <si>
    <t>khili</t>
  </si>
  <si>
    <t>bsh, xvi</t>
  </si>
  <si>
    <t>kati</t>
  </si>
  <si>
    <t>katÃ­</t>
  </si>
  <si>
    <t>Pakistan, Afghanistan</t>
  </si>
  <si>
    <t>PAK, AFG</t>
  </si>
  <si>
    <t>savi</t>
  </si>
  <si>
    <t>savÃ­</t>
  </si>
  <si>
    <t>gawar-bati</t>
  </si>
  <si>
    <t>gavar-batÃ­</t>
  </si>
  <si>
    <t>ormuri</t>
  </si>
  <si>
    <t>ormurÃ­</t>
  </si>
  <si>
    <t>Kuna (Panama)</t>
  </si>
  <si>
    <t>kuna (Panama)</t>
  </si>
  <si>
    <t>kuna (PanamÃ¡)</t>
  </si>
  <si>
    <t>Panama</t>
  </si>
  <si>
    <t>PAN</t>
  </si>
  <si>
    <t>NgÃ¤bere (Panama)</t>
  </si>
  <si>
    <t>ngÃ¤bere (Panama)</t>
  </si>
  <si>
    <t>guaymÃ­ (PanamÃ¡)</t>
  </si>
  <si>
    <t>Teribe (Panama)</t>
  </si>
  <si>
    <t>teribe (Panama)</t>
  </si>
  <si>
    <t>naso (PanamÃ¡)</t>
  </si>
  <si>
    <t>BuglÃ©</t>
  </si>
  <si>
    <t>buglÃ©</t>
  </si>
  <si>
    <t>buglere</t>
  </si>
  <si>
    <t>Embera (Panama)</t>
  </si>
  <si>
    <t>embera (Panama)</t>
  </si>
  <si>
    <t>embera (PanamÃ¡)</t>
  </si>
  <si>
    <t>Waunana (Panama)</t>
  </si>
  <si>
    <t>waunana (Panama)</t>
  </si>
  <si>
    <t>waumeo (PanamÃ¡)</t>
  </si>
  <si>
    <t>Bribri (Panama)</t>
  </si>
  <si>
    <t>bribri (Panama)</t>
  </si>
  <si>
    <t>talamanca (PanamÃ¡)</t>
  </si>
  <si>
    <t>Dorasque</t>
  </si>
  <si>
    <t>Panamanian Creole</t>
  </si>
  <si>
    <t>crÃ©ole panamÃ©en</t>
  </si>
  <si>
    <t>criollo inglÃ©s panameÃ±o</t>
  </si>
  <si>
    <t>Norfolk-Pitcairn (Pitcairn)</t>
  </si>
  <si>
    <t>pitkern-norfolk (Pitcairn)</t>
  </si>
  <si>
    <t>pitcairn-norfolk (Pitcairn)</t>
  </si>
  <si>
    <t>Pitcairn (U.K.)</t>
  </si>
  <si>
    <t>PCN</t>
  </si>
  <si>
    <t>arabela</t>
  </si>
  <si>
    <t>Peru</t>
  </si>
  <si>
    <t>PER</t>
  </si>
  <si>
    <t>candoshi</t>
  </si>
  <si>
    <t>chamicuro</t>
  </si>
  <si>
    <t>Cholon</t>
  </si>
  <si>
    <t>cholon</t>
  </si>
  <si>
    <t>cholÃ³n</t>
  </si>
  <si>
    <t>Cocama-Cocamilla (Peru)</t>
  </si>
  <si>
    <t>cocama-cocamilla (PÃ©rou)</t>
  </si>
  <si>
    <t>cocama-cocamilla (PerÃº)</t>
  </si>
  <si>
    <t>Culle</t>
  </si>
  <si>
    <t>culle</t>
  </si>
  <si>
    <t>jaqaru</t>
  </si>
  <si>
    <t>jaqarÃº</t>
  </si>
  <si>
    <t>jebero</t>
  </si>
  <si>
    <t>Mochica</t>
  </si>
  <si>
    <t>mohica</t>
  </si>
  <si>
    <t>mochica</t>
  </si>
  <si>
    <t>munichi</t>
  </si>
  <si>
    <t>muniche</t>
  </si>
  <si>
    <t>Omagua (Peru)</t>
  </si>
  <si>
    <t>omagua (PÃ©rou)</t>
  </si>
  <si>
    <t>omagua (PerÃº)</t>
  </si>
  <si>
    <t>resigaro</t>
  </si>
  <si>
    <t>resÃ­garo</t>
  </si>
  <si>
    <t>Siona Secoya (Peru)</t>
  </si>
  <si>
    <t>siona secoya (PÃ©rou)</t>
  </si>
  <si>
    <t>siona secoya (PerÃº)</t>
  </si>
  <si>
    <t>shipibo-conibo</t>
  </si>
  <si>
    <t>taushiro</t>
  </si>
  <si>
    <t>tausiro</t>
  </si>
  <si>
    <t>iquito</t>
  </si>
  <si>
    <t>auishiri (tekiraka)</t>
  </si>
  <si>
    <t>abishira</t>
  </si>
  <si>
    <t>Andoa (Peru)</t>
  </si>
  <si>
    <t>andoa (PÃ©rou)</t>
  </si>
  <si>
    <t>andoa (PerÃº)</t>
  </si>
  <si>
    <t>nanti</t>
  </si>
  <si>
    <t>cogapacorÃ­</t>
  </si>
  <si>
    <t>machiguenga</t>
  </si>
  <si>
    <t>yine</t>
  </si>
  <si>
    <t>piro</t>
  </si>
  <si>
    <t>urarina</t>
  </si>
  <si>
    <t>Awajun</t>
  </si>
  <si>
    <t>awajun</t>
  </si>
  <si>
    <t>aguaruna</t>
  </si>
  <si>
    <t>Wampis</t>
  </si>
  <si>
    <t>huambisa (wampis)</t>
  </si>
  <si>
    <t>huambisa</t>
  </si>
  <si>
    <t>Ocaina (Peru)</t>
  </si>
  <si>
    <t>ocaina (PÃ©rou)</t>
  </si>
  <si>
    <t>ocaina (PerÃº)</t>
  </si>
  <si>
    <t>orejÃ³n</t>
  </si>
  <si>
    <t>Yanesha</t>
  </si>
  <si>
    <t>yanesha</t>
  </si>
  <si>
    <t>amuesa</t>
  </si>
  <si>
    <t>Ashaninka (Peru)</t>
  </si>
  <si>
    <t>ashaninka (PÃ©rou)</t>
  </si>
  <si>
    <t>ashÃ¡ninca</t>
  </si>
  <si>
    <t>chayahuita</t>
  </si>
  <si>
    <t>Culina (Peru)</t>
  </si>
  <si>
    <t>culina (PÃ©rou)</t>
  </si>
  <si>
    <t>culina (PerÃº)</t>
  </si>
  <si>
    <t>Mayoruna (Peru)</t>
  </si>
  <si>
    <t>mayoruna (PÃ©rou)</t>
  </si>
  <si>
    <t>matsÃ©s (PerÃº)</t>
  </si>
  <si>
    <t>capanahua</t>
  </si>
  <si>
    <t>cashibo-cacataibo</t>
  </si>
  <si>
    <t>cachibo</t>
  </si>
  <si>
    <t>nomatsiguenga</t>
  </si>
  <si>
    <t>Cashinahua (Peru)</t>
  </si>
  <si>
    <t>cashinahua (PÃ©rou)</t>
  </si>
  <si>
    <t>cashinahua (PerÃº)</t>
  </si>
  <si>
    <t>sharanahua</t>
  </si>
  <si>
    <t>amahuaca</t>
  </si>
  <si>
    <t>inp, cuj</t>
  </si>
  <si>
    <t>iÃ±apari</t>
  </si>
  <si>
    <t>yameo</t>
  </si>
  <si>
    <t>panobo</t>
  </si>
  <si>
    <t>Quechua of Ayacucho</t>
  </si>
  <si>
    <t>quechua d'Ayacucho</t>
  </si>
  <si>
    <t>quechua de Ayacucho</t>
  </si>
  <si>
    <t>Quechua of Chachapoyas</t>
  </si>
  <si>
    <t>quechua de Chachapoyas</t>
  </si>
  <si>
    <t>qec, qed, qee, qan, qei, qub, qej, qel, qem</t>
  </si>
  <si>
    <t>Quechua of Ancash and HuÃ¡nuco</t>
  </si>
  <si>
    <t>quechua d'Ancash et HuÃ¡nuco</t>
  </si>
  <si>
    <t>quechua de Ancash y de HuÃ¡nuco</t>
  </si>
  <si>
    <t>qvn, qvr, qva, qxa, qxt, qxh, qvl</t>
  </si>
  <si>
    <t>Quechua of Cajatambo, Pasco and northern JunÃ­n</t>
  </si>
  <si>
    <t>quehcua de Cajatambo Pasco et du JunÃ­n nord</t>
  </si>
  <si>
    <t>quechua de Cajatambo, de Paso y de JunÃ­n septentrional.</t>
  </si>
  <si>
    <t>qhu, qhj, qxw, qvw</t>
  </si>
  <si>
    <t>quechua wanka</t>
  </si>
  <si>
    <t>quechua de Huanca</t>
  </si>
  <si>
    <t>qnt, quf</t>
  </si>
  <si>
    <t>Quechua of Cajamarca</t>
  </si>
  <si>
    <t>quechua de Cajamarca</t>
  </si>
  <si>
    <t>Quechua of Cuzco</t>
  </si>
  <si>
    <t>quechua de Cuzco</t>
  </si>
  <si>
    <t>quechua cuzqueÃ±o</t>
  </si>
  <si>
    <t>qsa</t>
  </si>
  <si>
    <t>Quechua of San MartÃ­n</t>
  </si>
  <si>
    <t>quechua de San MartÃ­n</t>
  </si>
  <si>
    <t>qln, qlb</t>
  </si>
  <si>
    <t>Quechua of Peruvian Amazonia</t>
  </si>
  <si>
    <t>quechua de l'Amazonie pÃ©ruvienne</t>
  </si>
  <si>
    <t>quechua amazÃ³nico peruano</t>
  </si>
  <si>
    <t>amr, hug</t>
  </si>
  <si>
    <t>harakmbet</t>
  </si>
  <si>
    <t>harakambeto</t>
  </si>
  <si>
    <t>yagua</t>
  </si>
  <si>
    <t>Quechua of Pacaraos</t>
  </si>
  <si>
    <t>quechua de Pacaraos</t>
  </si>
  <si>
    <t>Quechua of Yauyos</t>
  </si>
  <si>
    <t>quechua de Yauyos</t>
  </si>
  <si>
    <t>quechua de Yauyos.</t>
  </si>
  <si>
    <t>caquinte campa</t>
  </si>
  <si>
    <t>caquintÃ©</t>
  </si>
  <si>
    <t>ktq</t>
  </si>
  <si>
    <t>Katabaga</t>
  </si>
  <si>
    <t>katabaga</t>
  </si>
  <si>
    <t>catabaga</t>
  </si>
  <si>
    <t>Philippines</t>
  </si>
  <si>
    <t>PHL</t>
  </si>
  <si>
    <t>Southern Ayta</t>
  </si>
  <si>
    <t>ayta du sud</t>
  </si>
  <si>
    <t>ayta meridional</t>
  </si>
  <si>
    <t>batak</t>
  </si>
  <si>
    <t>bataco</t>
  </si>
  <si>
    <t>Faire Atta</t>
  </si>
  <si>
    <t>atta faire</t>
  </si>
  <si>
    <t>atta meridional</t>
  </si>
  <si>
    <t>ayta du Bataan</t>
  </si>
  <si>
    <t>ayta de Bataan</t>
  </si>
  <si>
    <t>arta</t>
  </si>
  <si>
    <t>Northern Alta</t>
  </si>
  <si>
    <t>alta du nord</t>
  </si>
  <si>
    <t>alta septentrional</t>
  </si>
  <si>
    <t>Mt. Iraya Agta</t>
  </si>
  <si>
    <t>agta du Mont Iraya</t>
  </si>
  <si>
    <t>agta del Monte Iraya</t>
  </si>
  <si>
    <t>agta d'Isarog</t>
  </si>
  <si>
    <t>agta de Isarog</t>
  </si>
  <si>
    <t>Dicamay Agta</t>
  </si>
  <si>
    <t>agta de Dicamay</t>
  </si>
  <si>
    <t>agta de l'Ã®le d'Alabat</t>
  </si>
  <si>
    <t>agta de la isla Alabat</t>
  </si>
  <si>
    <t>Camarines Norte Agta</t>
  </si>
  <si>
    <t>agta de Camarines-nord</t>
  </si>
  <si>
    <t>agta de Camarines Norte</t>
  </si>
  <si>
    <t>Central Cagayan Agta</t>
  </si>
  <si>
    <t>agta de Cagayan central</t>
  </si>
  <si>
    <t>agta de CagayÃ¡n central</t>
  </si>
  <si>
    <t>Dupaninan Agta</t>
  </si>
  <si>
    <t>agta de Cagayan oriental</t>
  </si>
  <si>
    <t>agta de CagayÃ¡n oriental</t>
  </si>
  <si>
    <t>sonsorol</t>
  </si>
  <si>
    <t>PLW</t>
  </si>
  <si>
    <t>tobien</t>
  </si>
  <si>
    <t>tobiano</t>
  </si>
  <si>
    <t>iteri</t>
  </si>
  <si>
    <t>Papua New Guinea</t>
  </si>
  <si>
    <t>PNG</t>
  </si>
  <si>
    <t>kamasa</t>
  </si>
  <si>
    <t>dumun</t>
  </si>
  <si>
    <t>bic</t>
  </si>
  <si>
    <t>bikaru</t>
  </si>
  <si>
    <t>bilakura</t>
  </si>
  <si>
    <t>ainba</t>
  </si>
  <si>
    <t>ainbai</t>
  </si>
  <si>
    <t>dorro</t>
  </si>
  <si>
    <t>Arawun</t>
  </si>
  <si>
    <t>arawum</t>
  </si>
  <si>
    <t>faita</t>
  </si>
  <si>
    <t>gorovu</t>
  </si>
  <si>
    <t>yarawata</t>
  </si>
  <si>
    <t>ak</t>
  </si>
  <si>
    <t>Guranalum</t>
  </si>
  <si>
    <t>guranalum</t>
  </si>
  <si>
    <t>guramalumo</t>
  </si>
  <si>
    <t>bepour</t>
  </si>
  <si>
    <t>hermit</t>
  </si>
  <si>
    <t>kalamo</t>
  </si>
  <si>
    <t>Kawucha</t>
  </si>
  <si>
    <t>kawacha</t>
  </si>
  <si>
    <t>kawucha</t>
  </si>
  <si>
    <t>xss, zko</t>
  </si>
  <si>
    <t>kowaki</t>
  </si>
  <si>
    <t>laua</t>
  </si>
  <si>
    <t>makolkol</t>
  </si>
  <si>
    <t>mawak</t>
  </si>
  <si>
    <t>mindiri</t>
  </si>
  <si>
    <t>moere</t>
  </si>
  <si>
    <t>mosimo</t>
  </si>
  <si>
    <t>musan</t>
  </si>
  <si>
    <t>ouma</t>
  </si>
  <si>
    <t>papi</t>
  </si>
  <si>
    <t>piame</t>
  </si>
  <si>
    <t>samosa</t>
  </si>
  <si>
    <t>sene</t>
  </si>
  <si>
    <t>sumariup</t>
  </si>
  <si>
    <t>taiap</t>
  </si>
  <si>
    <t>gapun</t>
  </si>
  <si>
    <t>tench</t>
  </si>
  <si>
    <t>tenis</t>
  </si>
  <si>
    <t>turaka</t>
  </si>
  <si>
    <t>vehes</t>
  </si>
  <si>
    <t>yapunda</t>
  </si>
  <si>
    <t>abaga</t>
  </si>
  <si>
    <t>anuki</t>
  </si>
  <si>
    <t>bumbita arapesh</t>
  </si>
  <si>
    <t>arapeso bumbita</t>
  </si>
  <si>
    <t>aribwatsa</t>
  </si>
  <si>
    <t>aribuacha</t>
  </si>
  <si>
    <t>atemble</t>
  </si>
  <si>
    <t>bagupi</t>
  </si>
  <si>
    <t>bina</t>
  </si>
  <si>
    <t>bosilewa</t>
  </si>
  <si>
    <t>bothar</t>
  </si>
  <si>
    <t>budibud</t>
  </si>
  <si>
    <t>bukiyip</t>
  </si>
  <si>
    <t>arapeso montaÃ±Ã©s</t>
  </si>
  <si>
    <t>bulgebi</t>
  </si>
  <si>
    <t>dengalu</t>
  </si>
  <si>
    <t>doga</t>
  </si>
  <si>
    <t>duwet</t>
  </si>
  <si>
    <t>guwot</t>
  </si>
  <si>
    <t>garuwahi</t>
  </si>
  <si>
    <t>garuvahi</t>
  </si>
  <si>
    <t>get</t>
  </si>
  <si>
    <t>Getmata</t>
  </si>
  <si>
    <t>getmata</t>
  </si>
  <si>
    <t>kaiep</t>
  </si>
  <si>
    <t>kaki ae</t>
  </si>
  <si>
    <t>tate</t>
  </si>
  <si>
    <t>kandas</t>
  </si>
  <si>
    <t>kaniet</t>
  </si>
  <si>
    <t>kaningara</t>
  </si>
  <si>
    <t>kaningra</t>
  </si>
  <si>
    <t>karami</t>
  </si>
  <si>
    <t>karore</t>
  </si>
  <si>
    <t>Grass Koiari</t>
  </si>
  <si>
    <t>grass koiari</t>
  </si>
  <si>
    <t>coyarÃ­</t>
  </si>
  <si>
    <t>koitabu</t>
  </si>
  <si>
    <t>coita</t>
  </si>
  <si>
    <t>kuot</t>
  </si>
  <si>
    <t>Laxudumau</t>
  </si>
  <si>
    <t>laxudumau</t>
  </si>
  <si>
    <t>likum</t>
  </si>
  <si>
    <t>magori</t>
  </si>
  <si>
    <t>Mahigi</t>
  </si>
  <si>
    <t>mahigi</t>
  </si>
  <si>
    <t>mari</t>
  </si>
  <si>
    <t>mulaha</t>
  </si>
  <si>
    <t>murik</t>
  </si>
  <si>
    <t>mÃºrico</t>
  </si>
  <si>
    <t>musom</t>
  </si>
  <si>
    <t>mussau-emira</t>
  </si>
  <si>
    <t>emira</t>
  </si>
  <si>
    <t>mwatebu</t>
  </si>
  <si>
    <t>nafi</t>
  </si>
  <si>
    <t>nauna</t>
  </si>
  <si>
    <t>Numbani</t>
  </si>
  <si>
    <t>numbani</t>
  </si>
  <si>
    <t>siboma</t>
  </si>
  <si>
    <t>onjob</t>
  </si>
  <si>
    <t>onjab</t>
  </si>
  <si>
    <t>papapana</t>
  </si>
  <si>
    <t>Puari</t>
  </si>
  <si>
    <t>puari</t>
  </si>
  <si>
    <t>sissano</t>
  </si>
  <si>
    <t>wra</t>
  </si>
  <si>
    <t>warapu</t>
  </si>
  <si>
    <t>varapÃº</t>
  </si>
  <si>
    <t>sengseng</t>
  </si>
  <si>
    <t>sepa</t>
  </si>
  <si>
    <t>sera</t>
  </si>
  <si>
    <t>suarmin</t>
  </si>
  <si>
    <t>suarmÃ­n</t>
  </si>
  <si>
    <t>susuami</t>
  </si>
  <si>
    <t>Taap</t>
  </si>
  <si>
    <t>taap</t>
  </si>
  <si>
    <t>wantoat</t>
  </si>
  <si>
    <t>taulil</t>
  </si>
  <si>
    <t>taulil-butam</t>
  </si>
  <si>
    <t>uruava</t>
  </si>
  <si>
    <t>yarawi</t>
  </si>
  <si>
    <t>suena</t>
  </si>
  <si>
    <t>yimas</t>
  </si>
  <si>
    <t>yimaso</t>
  </si>
  <si>
    <t>yoba</t>
  </si>
  <si>
    <t>kachoube</t>
  </si>
  <si>
    <t>casubio</t>
  </si>
  <si>
    <t>Poland</t>
  </si>
  <si>
    <t>POL</t>
  </si>
  <si>
    <t>slovince</t>
  </si>
  <si>
    <t>eslovincio</t>
  </si>
  <si>
    <t>wilamowicien</t>
  </si>
  <si>
    <t>vilamoviciano</t>
  </si>
  <si>
    <t>leg</t>
  </si>
  <si>
    <t>lengua</t>
  </si>
  <si>
    <t>Paraguay</t>
  </si>
  <si>
    <t>PRY</t>
  </si>
  <si>
    <t>makÃ¡</t>
  </si>
  <si>
    <t>macÃ¡</t>
  </si>
  <si>
    <t>guanÃ¡</t>
  </si>
  <si>
    <t>sap</t>
  </si>
  <si>
    <t>sanapanÃ¡</t>
  </si>
  <si>
    <t>achÃ©</t>
  </si>
  <si>
    <t>Mbya Guarani (Paraguay)</t>
  </si>
  <si>
    <t>mbyÃ¡ guarani (Paraguay)</t>
  </si>
  <si>
    <t>guaranÃ­ mbyÃ¡ (Paraguay)</t>
  </si>
  <si>
    <t>toba-maskoy</t>
  </si>
  <si>
    <t>toba-mascÃ³i</t>
  </si>
  <si>
    <t>nivaclÃ©</t>
  </si>
  <si>
    <t>chulupÃ­</t>
  </si>
  <si>
    <t>rapa</t>
  </si>
  <si>
    <t>rapano</t>
  </si>
  <si>
    <t>French Polynesia (France)</t>
  </si>
  <si>
    <t>PYF</t>
  </si>
  <si>
    <t>mangareva</t>
  </si>
  <si>
    <t>mangarevano</t>
  </si>
  <si>
    <t>tuamotuan</t>
  </si>
  <si>
    <t>tuamotuano</t>
  </si>
  <si>
    <t>Austral dialects</t>
  </si>
  <si>
    <t>dialectes des Iles Australes</t>
  </si>
  <si>
    <t>dialectos de las islas Australes</t>
  </si>
  <si>
    <t>Nogay (Dobruja)</t>
  </si>
  <si>
    <t>nogaÃ¯ (Dobroudja)</t>
  </si>
  <si>
    <t>nogÃ¡i (Dobruja)</t>
  </si>
  <si>
    <t>Romania</t>
  </si>
  <si>
    <t>ROU</t>
  </si>
  <si>
    <t>CsÃ¡ngÃ³ Hungarian</t>
  </si>
  <si>
    <t>hongrois csÃ¡ngÃ³</t>
  </si>
  <si>
    <t>csÃ¡ngÃ³</t>
  </si>
  <si>
    <t>saxon transylvanien</t>
  </si>
  <si>
    <t>sajÃ³n de Transilvania</t>
  </si>
  <si>
    <t>Banat Bulgarian</t>
  </si>
  <si>
    <t>bulgare de Banat</t>
  </si>
  <si>
    <t>bÃºlgaro del BÃ¡nato</t>
  </si>
  <si>
    <t>Romania, Serbia</t>
  </si>
  <si>
    <t>ROU, SRB</t>
  </si>
  <si>
    <t>Central Siberian Yupik (Chukotka)</t>
  </si>
  <si>
    <t>yupik de SibÃ©rie (Chukotka)</t>
  </si>
  <si>
    <t>yupÃ­ siberiano central (penÃ­nsula Chukchi)</t>
  </si>
  <si>
    <t>Russian Federation</t>
  </si>
  <si>
    <t>RUS</t>
  </si>
  <si>
    <t>yupik du Cap Est</t>
  </si>
  <si>
    <t>yupÃ­ naukÃ¡n</t>
  </si>
  <si>
    <t>vieux sirenik</t>
  </si>
  <si>
    <t>sirenik antiguo</t>
  </si>
  <si>
    <t>Aleut (Western, Commander Islands)</t>
  </si>
  <si>
    <t>aleut (occidental, Ã®les du Commandeur)</t>
  </si>
  <si>
    <t>aleutiano (occidental, islas del Comandante)</t>
  </si>
  <si>
    <t>mokcha</t>
  </si>
  <si>
    <t>mordovo moksha</t>
  </si>
  <si>
    <t>Akkala Saami</t>
  </si>
  <si>
    <t>saami akkala</t>
  </si>
  <si>
    <t>saamÃ­ de Akkala / lapÃ³n de Akkala</t>
  </si>
  <si>
    <t>bachkir</t>
  </si>
  <si>
    <t>baskir</t>
  </si>
  <si>
    <t>tchouvache</t>
  </si>
  <si>
    <t>chuvacho</t>
  </si>
  <si>
    <t>mari oriental</t>
  </si>
  <si>
    <t>marÃ­ oriental</t>
  </si>
  <si>
    <t>erzya</t>
  </si>
  <si>
    <t>mordovo erzya</t>
  </si>
  <si>
    <t>ingrien</t>
  </si>
  <si>
    <t>ingriano</t>
  </si>
  <si>
    <t>Kalmyk</t>
  </si>
  <si>
    <t>kalmouk</t>
  </si>
  <si>
    <t>kalmiko</t>
  </si>
  <si>
    <t>Kildin Saami</t>
  </si>
  <si>
    <t>saami Kildin</t>
  </si>
  <si>
    <t>saamÃ­ de Kildin</t>
  </si>
  <si>
    <t>komi</t>
  </si>
  <si>
    <t>Lude</t>
  </si>
  <si>
    <t>lude</t>
  </si>
  <si>
    <t>ludio</t>
  </si>
  <si>
    <t>permiak</t>
  </si>
  <si>
    <t>permiaco</t>
  </si>
  <si>
    <t>Ter Saami</t>
  </si>
  <si>
    <t>saami ter</t>
  </si>
  <si>
    <t>saamÃ­ de Ter</t>
  </si>
  <si>
    <t>oudmourte</t>
  </si>
  <si>
    <t>votiaco</t>
  </si>
  <si>
    <t>veps</t>
  </si>
  <si>
    <t>vepsio</t>
  </si>
  <si>
    <t>vote</t>
  </si>
  <si>
    <t>votiano</t>
  </si>
  <si>
    <t>mari occidental</t>
  </si>
  <si>
    <t>marÃ­ occidental</t>
  </si>
  <si>
    <t>tazy</t>
  </si>
  <si>
    <t>Southern Altay</t>
  </si>
  <si>
    <t>altaÃ¯ mÃ©ridional</t>
  </si>
  <si>
    <t>altÃ¡i meridional</t>
  </si>
  <si>
    <t>alutor</t>
  </si>
  <si>
    <t>aliutor</t>
  </si>
  <si>
    <t>Nivkh (Amur)</t>
  </si>
  <si>
    <t>nivkhe (Amour)</t>
  </si>
  <si>
    <t>nivejÃ­ (Amur)</t>
  </si>
  <si>
    <t>arman</t>
  </si>
  <si>
    <t>tchouktche</t>
  </si>
  <si>
    <t>chukoto</t>
  </si>
  <si>
    <t>Chulym Turk</t>
  </si>
  <si>
    <t>tchoulim turcique</t>
  </si>
  <si>
    <t>chulimo tÃºrcico</t>
  </si>
  <si>
    <t>dolgane</t>
  </si>
  <si>
    <t>dolgÃ¡n</t>
  </si>
  <si>
    <t>Buryat (Trans-Baikal)</t>
  </si>
  <si>
    <t>bouriate (TransbaÃ¯kalie)</t>
  </si>
  <si>
    <t>buriato (transbaikÃ¡lico)</t>
  </si>
  <si>
    <t>Eastern Kamchadal</t>
  </si>
  <si>
    <t>Even (Siberia)</t>
  </si>
  <si>
    <t>Ã©vÃ¨ne (SibÃ©rie)</t>
  </si>
  <si>
    <t>evÃ©n (Siberia)</t>
  </si>
  <si>
    <t>Forest Enets</t>
  </si>
  <si>
    <t>enets des forÃªts</t>
  </si>
  <si>
    <t>Ã©ncico de los bosques</t>
  </si>
  <si>
    <t>Forest Nenets</t>
  </si>
  <si>
    <t>nÃ©nÃ¨tse des forÃªts</t>
  </si>
  <si>
    <t>nÃ©ncico de los bosques</t>
  </si>
  <si>
    <t>youkaguire des forÃªts</t>
  </si>
  <si>
    <t>yucaguiro de los bosques</t>
  </si>
  <si>
    <t>itelmen</t>
  </si>
  <si>
    <t>itelmeno</t>
  </si>
  <si>
    <t>xas, zkb</t>
  </si>
  <si>
    <t>kamasse</t>
  </si>
  <si>
    <t>kamas</t>
  </si>
  <si>
    <t>Even (Kamtchatka)</t>
  </si>
  <si>
    <t>Ã©vÃ¨ne (Kamtchatka)</t>
  </si>
  <si>
    <t>evÃ©n (Kamchatka)</t>
  </si>
  <si>
    <t>kerek</t>
  </si>
  <si>
    <t>keto</t>
  </si>
  <si>
    <t>khakasse</t>
  </si>
  <si>
    <t>jacaso</t>
  </si>
  <si>
    <t>Northern Khanty</t>
  </si>
  <si>
    <t>khanty septentrional</t>
  </si>
  <si>
    <t>jantÃ­ septentrional</t>
  </si>
  <si>
    <t>koryak</t>
  </si>
  <si>
    <t>coriaco</t>
  </si>
  <si>
    <t>Kott</t>
  </si>
  <si>
    <t>Ainu (Kuril)</t>
  </si>
  <si>
    <t>aÃ¯nou (Kouriles)</t>
  </si>
  <si>
    <t>ainÃº (Islas Kuriles)</t>
  </si>
  <si>
    <t>mansi du Nord</t>
  </si>
  <si>
    <t>mansÃ­ septentrional</t>
  </si>
  <si>
    <t>Mator</t>
  </si>
  <si>
    <t>negidal</t>
  </si>
  <si>
    <t>neguidal</t>
  </si>
  <si>
    <t>nganassan</t>
  </si>
  <si>
    <t>enganasÃ¡n</t>
  </si>
  <si>
    <t>oroch</t>
  </si>
  <si>
    <t>orochi</t>
  </si>
  <si>
    <t>orok</t>
  </si>
  <si>
    <t>oroki</t>
  </si>
  <si>
    <t>Ainu (Sakhalin)</t>
  </si>
  <si>
    <t>aÃ¯nou (Sakhaline)</t>
  </si>
  <si>
    <t>ainÃº (SajalÃ­n)</t>
  </si>
  <si>
    <t>Evenki (Sakhalin)</t>
  </si>
  <si>
    <t>evenki (Sakhalin)</t>
  </si>
  <si>
    <t>evenki(SajalÃ­n)</t>
  </si>
  <si>
    <t>Nivkh (Sakhalin)</t>
  </si>
  <si>
    <t>nivkhe (Sakhaline)</t>
  </si>
  <si>
    <t>nivejÃ­ (SajalÃ­n)</t>
  </si>
  <si>
    <t>Northern Selkup</t>
  </si>
  <si>
    <t>selkoupe septentrional</t>
  </si>
  <si>
    <t>selcupo septentrional</t>
  </si>
  <si>
    <t>chor</t>
  </si>
  <si>
    <t>sorio</t>
  </si>
  <si>
    <t>Southern Kamchadal</t>
  </si>
  <si>
    <t>Northern Altay</t>
  </si>
  <si>
    <t>altaÃ¯ septentrional</t>
  </si>
  <si>
    <t>altÃ¡i septentrional</t>
  </si>
  <si>
    <t>tofa</t>
  </si>
  <si>
    <t>Tundra Enets</t>
  </si>
  <si>
    <t>enets de la toundra</t>
  </si>
  <si>
    <t>Ã©ncico de la tundra</t>
  </si>
  <si>
    <t>Tundra Nenets</t>
  </si>
  <si>
    <t>nÃ©nÃ¨tse de la toundra</t>
  </si>
  <si>
    <t>nÃ©ncico de la tundra</t>
  </si>
  <si>
    <t>omk, xcv, ykg</t>
  </si>
  <si>
    <t>Tundra Yukagir</t>
  </si>
  <si>
    <t>youkaguire de la toundra</t>
  </si>
  <si>
    <t>yucaguiro de la tundra</t>
  </si>
  <si>
    <t>udihe</t>
  </si>
  <si>
    <t>ulcha</t>
  </si>
  <si>
    <t>ulchi</t>
  </si>
  <si>
    <t>Buryat (Cis-Baikal)</t>
  </si>
  <si>
    <t>bouriate (Cis-BaÃ¯kalie)</t>
  </si>
  <si>
    <t>buriato (cisbaikÃ¡lico)</t>
  </si>
  <si>
    <t>yakoute</t>
  </si>
  <si>
    <t>yakuto</t>
  </si>
  <si>
    <t>yug, yuu</t>
  </si>
  <si>
    <t>yuguÃ­</t>
  </si>
  <si>
    <t>Yurats</t>
  </si>
  <si>
    <t>Ubykh (Caucasus)</t>
  </si>
  <si>
    <t>oubykh (Causase)</t>
  </si>
  <si>
    <t>ubijÃ© (CÃ¡ucaso)</t>
  </si>
  <si>
    <t>Nogay (Caucasus)</t>
  </si>
  <si>
    <t>nogaÃ¯ (Caucase)</t>
  </si>
  <si>
    <t>nogÃ¡i (CÃ¡ucaso)</t>
  </si>
  <si>
    <t>Evenki (Northern Siberia)</t>
  </si>
  <si>
    <t>evenki (SibÃ©rie du nord)</t>
  </si>
  <si>
    <t>evenki (Siberia septentrional)</t>
  </si>
  <si>
    <t>Eastern Khanty</t>
  </si>
  <si>
    <t>khanty oriental</t>
  </si>
  <si>
    <t>jantÃ­ oriental</t>
  </si>
  <si>
    <t>Southern Khanty</t>
  </si>
  <si>
    <t>khanty mÃ©ridional</t>
  </si>
  <si>
    <t>jantÃ­ meridional</t>
  </si>
  <si>
    <t>Southern Mansi</t>
  </si>
  <si>
    <t>mansi du Sud</t>
  </si>
  <si>
    <t>mansÃ­ meridional</t>
  </si>
  <si>
    <t>Southern Selkup</t>
  </si>
  <si>
    <t>selkoupe meridional</t>
  </si>
  <si>
    <t>selcupo meridional</t>
  </si>
  <si>
    <t>tatar de SibÃ©rie</t>
  </si>
  <si>
    <t>tÃ¡rtaro de Siberia</t>
  </si>
  <si>
    <t>Seward Peninsula Inupiaq (Big Diomede Island)</t>
  </si>
  <si>
    <t>inupiaq de la pÃ©ninsule de Seward (Grande DiomÃ¨de)</t>
  </si>
  <si>
    <t>inuit de la PenÃ­nsula Seward (i. Gran DiÃ³medes)</t>
  </si>
  <si>
    <t>selkup central</t>
  </si>
  <si>
    <t>selcupo central</t>
  </si>
  <si>
    <t>mansi oriental</t>
  </si>
  <si>
    <t>mansÃ­ oriental</t>
  </si>
  <si>
    <t>mansi occidental</t>
  </si>
  <si>
    <t>aleut de l'Ã®le Copper</t>
  </si>
  <si>
    <t>aleutiano de la isla Copper</t>
  </si>
  <si>
    <t>agul</t>
  </si>
  <si>
    <t>andi</t>
  </si>
  <si>
    <t>archi</t>
  </si>
  <si>
    <t>akhvakh</t>
  </si>
  <si>
    <t>ajvaj</t>
  </si>
  <si>
    <t>bagvalal</t>
  </si>
  <si>
    <t>bezhta</t>
  </si>
  <si>
    <t>bejila</t>
  </si>
  <si>
    <t>hunzib</t>
  </si>
  <si>
    <t>botlikh</t>
  </si>
  <si>
    <t>botlij</t>
  </si>
  <si>
    <t>chamalal</t>
  </si>
  <si>
    <t>godoberi</t>
  </si>
  <si>
    <t>godoberÃ­</t>
  </si>
  <si>
    <t>hinukh</t>
  </si>
  <si>
    <t>hinuj</t>
  </si>
  <si>
    <t>inkhokvari</t>
  </si>
  <si>
    <t>injokari</t>
  </si>
  <si>
    <t>khvarshi</t>
  </si>
  <si>
    <t>javarsÃ­</t>
  </si>
  <si>
    <t>tsez</t>
  </si>
  <si>
    <t>dido</t>
  </si>
  <si>
    <t>karata</t>
  </si>
  <si>
    <t>tindi</t>
  </si>
  <si>
    <t>tchÃ©tchÃ¨ne</t>
  </si>
  <si>
    <t>checheno</t>
  </si>
  <si>
    <t>ingouche</t>
  </si>
  <si>
    <t>inguso</t>
  </si>
  <si>
    <t>avar</t>
  </si>
  <si>
    <t>dargwa</t>
  </si>
  <si>
    <t>dargÃ­nico</t>
  </si>
  <si>
    <t>laco</t>
  </si>
  <si>
    <t>tabassaran</t>
  </si>
  <si>
    <t>tabasarano</t>
  </si>
  <si>
    <t>koumyk</t>
  </si>
  <si>
    <t>kumyko</t>
  </si>
  <si>
    <t>karatchaÃ¯-balkar</t>
  </si>
  <si>
    <t>karachay-balkar</t>
  </si>
  <si>
    <t>Alabugat Tatar</t>
  </si>
  <si>
    <t>tatar alabugat</t>
  </si>
  <si>
    <t>alabugat</t>
  </si>
  <si>
    <t>Karagash</t>
  </si>
  <si>
    <t>karagash</t>
  </si>
  <si>
    <t>tatar yurt</t>
  </si>
  <si>
    <t>tÃ¡rtaro de yurt</t>
  </si>
  <si>
    <t>Baraba Tatar</t>
  </si>
  <si>
    <t>tatar baraba</t>
  </si>
  <si>
    <t>tÃ¡rtaro de Baraba</t>
  </si>
  <si>
    <t>Kamas Turk</t>
  </si>
  <si>
    <t>turc kamasse</t>
  </si>
  <si>
    <t>kamasiano</t>
  </si>
  <si>
    <t>Yazva Komi</t>
  </si>
  <si>
    <t>komi yazva</t>
  </si>
  <si>
    <t>komi yaz'va</t>
  </si>
  <si>
    <t>soyote</t>
  </si>
  <si>
    <t>Karelian (Tver)</t>
  </si>
  <si>
    <t>carÃ©lien (Tver)</t>
  </si>
  <si>
    <t>carelio (Tver)</t>
  </si>
  <si>
    <t>Karelian (Valday)</t>
  </si>
  <si>
    <t>carÃ©lien (Valday)</t>
  </si>
  <si>
    <t>carelio (Valday)</t>
  </si>
  <si>
    <t>Karelian (Tikhvin)</t>
  </si>
  <si>
    <t>carÃ©lien (Tikhvin)</t>
  </si>
  <si>
    <t>carelio (Tijvin)</t>
  </si>
  <si>
    <t>kili</t>
  </si>
  <si>
    <t>Pumpokol</t>
  </si>
  <si>
    <t>Arin</t>
  </si>
  <si>
    <t>trukhmen</t>
  </si>
  <si>
    <t>trukhmenio</t>
  </si>
  <si>
    <t>Russian Federation, Turkmenistan</t>
  </si>
  <si>
    <t>RUS, TKM</t>
  </si>
  <si>
    <t>Kabard-Cherkes</t>
  </si>
  <si>
    <t>kabarde-tcherkesse</t>
  </si>
  <si>
    <t>kabardÃ¡i</t>
  </si>
  <si>
    <t>Russian Federation, Turkey</t>
  </si>
  <si>
    <t>RUS, TUR</t>
  </si>
  <si>
    <t>abaza</t>
  </si>
  <si>
    <t>kadaru</t>
  </si>
  <si>
    <t>Sudan</t>
  </si>
  <si>
    <t>SDN</t>
  </si>
  <si>
    <t>birgid</t>
  </si>
  <si>
    <t>birked</t>
  </si>
  <si>
    <t>tennet</t>
  </si>
  <si>
    <t>tenet</t>
  </si>
  <si>
    <t>bongo</t>
  </si>
  <si>
    <t>eliri</t>
  </si>
  <si>
    <t>nding</t>
  </si>
  <si>
    <t>thuri</t>
  </si>
  <si>
    <t>ebang</t>
  </si>
  <si>
    <t>heibano</t>
  </si>
  <si>
    <t>homa</t>
  </si>
  <si>
    <t>lumun</t>
  </si>
  <si>
    <t>lomÃ³n</t>
  </si>
  <si>
    <t>logorik</t>
  </si>
  <si>
    <t>logori</t>
  </si>
  <si>
    <t>katla</t>
  </si>
  <si>
    <t>catla</t>
  </si>
  <si>
    <t>krongo</t>
  </si>
  <si>
    <t>crongo</t>
  </si>
  <si>
    <t>keiga</t>
  </si>
  <si>
    <t>buga</t>
  </si>
  <si>
    <t>mangayat</t>
  </si>
  <si>
    <t>kanga</t>
  </si>
  <si>
    <t>canga</t>
  </si>
  <si>
    <t>gule</t>
  </si>
  <si>
    <t>ko</t>
  </si>
  <si>
    <t>laro</t>
  </si>
  <si>
    <t>karko</t>
  </si>
  <si>
    <t>lafofa</t>
  </si>
  <si>
    <t>dilling</t>
  </si>
  <si>
    <t>dillingo</t>
  </si>
  <si>
    <t>dongotono</t>
  </si>
  <si>
    <t>el hugeirat</t>
  </si>
  <si>
    <t>heiban</t>
  </si>
  <si>
    <t>heibÃ¡n</t>
  </si>
  <si>
    <t>afitti</t>
  </si>
  <si>
    <t>bai</t>
  </si>
  <si>
    <t>baygo</t>
  </si>
  <si>
    <t>belanda bor</t>
  </si>
  <si>
    <t>beli</t>
  </si>
  <si>
    <t>berti</t>
  </si>
  <si>
    <t>dair</t>
  </si>
  <si>
    <t>feroge</t>
  </si>
  <si>
    <t>indri</t>
  </si>
  <si>
    <t>acheron</t>
  </si>
  <si>
    <t>logol</t>
  </si>
  <si>
    <t>moro</t>
  </si>
  <si>
    <t>ngile</t>
  </si>
  <si>
    <t>taloca</t>
  </si>
  <si>
    <t>otoro</t>
  </si>
  <si>
    <t>shatt</t>
  </si>
  <si>
    <t>shwai</t>
  </si>
  <si>
    <t>chirumba</t>
  </si>
  <si>
    <t>tagoi</t>
  </si>
  <si>
    <t>tagoÃ­</t>
  </si>
  <si>
    <t>talodi</t>
  </si>
  <si>
    <t>talodÃ­</t>
  </si>
  <si>
    <t>temein</t>
  </si>
  <si>
    <t>temeino</t>
  </si>
  <si>
    <t>tese</t>
  </si>
  <si>
    <t>tima</t>
  </si>
  <si>
    <t>tie</t>
  </si>
  <si>
    <t>tingal</t>
  </si>
  <si>
    <t>tocho</t>
  </si>
  <si>
    <t>tulishi</t>
  </si>
  <si>
    <t>tumtum</t>
  </si>
  <si>
    <t>wali</t>
  </si>
  <si>
    <t>warnang</t>
  </si>
  <si>
    <t>warnango</t>
  </si>
  <si>
    <t>kelo</t>
  </si>
  <si>
    <t>Mo'da</t>
  </si>
  <si>
    <t>mo'da</t>
  </si>
  <si>
    <t>moda</t>
  </si>
  <si>
    <t>molo</t>
  </si>
  <si>
    <t>morokodo</t>
  </si>
  <si>
    <t>morocodo</t>
  </si>
  <si>
    <t>narim</t>
  </si>
  <si>
    <t>longarim</t>
  </si>
  <si>
    <t>togoyo</t>
  </si>
  <si>
    <t>tirma</t>
  </si>
  <si>
    <t>njalgulgule</t>
  </si>
  <si>
    <t>nyalgulgule</t>
  </si>
  <si>
    <t>noon</t>
  </si>
  <si>
    <t>noono</t>
  </si>
  <si>
    <t>Senegal</t>
  </si>
  <si>
    <t>SEN</t>
  </si>
  <si>
    <t>paloor</t>
  </si>
  <si>
    <t>palor</t>
  </si>
  <si>
    <t>karone</t>
  </si>
  <si>
    <t>karon</t>
  </si>
  <si>
    <t>mlomp</t>
  </si>
  <si>
    <t>gusilay</t>
  </si>
  <si>
    <t>bainouk-gunyaamolo</t>
  </si>
  <si>
    <t>bainuko-gunyaamolo</t>
  </si>
  <si>
    <t>mancagne</t>
  </si>
  <si>
    <t>mancaÃ±a</t>
  </si>
  <si>
    <t>bandial</t>
  </si>
  <si>
    <t>bandal</t>
  </si>
  <si>
    <t>Jola-Kassa</t>
  </si>
  <si>
    <t>jola-kassa</t>
  </si>
  <si>
    <t>kasa</t>
  </si>
  <si>
    <t>kwatay</t>
  </si>
  <si>
    <t>bayotte</t>
  </si>
  <si>
    <t>bayot</t>
  </si>
  <si>
    <t>bassari</t>
  </si>
  <si>
    <t>basarÃ­</t>
  </si>
  <si>
    <t>mÃ©nik</t>
  </si>
  <si>
    <t>budik</t>
  </si>
  <si>
    <t>bainouk-samik</t>
  </si>
  <si>
    <t>bainuko-samik</t>
  </si>
  <si>
    <t>ririo</t>
  </si>
  <si>
    <t>Solomon Islands</t>
  </si>
  <si>
    <t>SLB</t>
  </si>
  <si>
    <t>laghu</t>
  </si>
  <si>
    <t>oroha</t>
  </si>
  <si>
    <t>asumboa</t>
  </si>
  <si>
    <t>asumbuo</t>
  </si>
  <si>
    <t>Tanimbili</t>
  </si>
  <si>
    <t>tanimbili</t>
  </si>
  <si>
    <t>vano</t>
  </si>
  <si>
    <t>tanema</t>
  </si>
  <si>
    <t>teanu</t>
  </si>
  <si>
    <t>blablanga</t>
  </si>
  <si>
    <t>drr</t>
  </si>
  <si>
    <t>Dororo</t>
  </si>
  <si>
    <t>dororo</t>
  </si>
  <si>
    <t>faghani</t>
  </si>
  <si>
    <t>gani</t>
  </si>
  <si>
    <t>gli</t>
  </si>
  <si>
    <t>Guliguli</t>
  </si>
  <si>
    <t>hoava</t>
  </si>
  <si>
    <t>kazukuru</t>
  </si>
  <si>
    <t>kokota</t>
  </si>
  <si>
    <t>savo</t>
  </si>
  <si>
    <t>zazao</t>
  </si>
  <si>
    <t>Mo-peng</t>
  </si>
  <si>
    <t>mo-peng</t>
  </si>
  <si>
    <t>Sierra Leone</t>
  </si>
  <si>
    <t>SLE</t>
  </si>
  <si>
    <t>krm</t>
  </si>
  <si>
    <t>krim</t>
  </si>
  <si>
    <t>pipil</t>
  </si>
  <si>
    <t>El Salvador</t>
  </si>
  <si>
    <t>SLV</t>
  </si>
  <si>
    <t>lenca</t>
  </si>
  <si>
    <t>El Salvador, Honduras</t>
  </si>
  <si>
    <t>SLV, HND</t>
  </si>
  <si>
    <t>Wayana (Suriname)</t>
  </si>
  <si>
    <t>oayana (Suriname)</t>
  </si>
  <si>
    <t>wayana (Surinam)</t>
  </si>
  <si>
    <t>Suriname</t>
  </si>
  <si>
    <t>SUR</t>
  </si>
  <si>
    <t>Trio (Suriname)</t>
  </si>
  <si>
    <t>trio (Suriname)</t>
  </si>
  <si>
    <t>triÃ³ (Surinam)</t>
  </si>
  <si>
    <t>Waiwai (Suriname)</t>
  </si>
  <si>
    <t>waiwai (Suriname)</t>
  </si>
  <si>
    <t>waiwai (Surinam)</t>
  </si>
  <si>
    <t>akuriyo</t>
  </si>
  <si>
    <t>akurio</t>
  </si>
  <si>
    <t>sikiyana</t>
  </si>
  <si>
    <t>sikiana</t>
  </si>
  <si>
    <t>Eastern Slovak</t>
  </si>
  <si>
    <t>slovaque oriental</t>
  </si>
  <si>
    <t>eslovaco oriental</t>
  </si>
  <si>
    <t>Slovakia, Ukraine</t>
  </si>
  <si>
    <t>SVK, UKR</t>
  </si>
  <si>
    <t>Gottscheerish</t>
  </si>
  <si>
    <t>gottscheerish</t>
  </si>
  <si>
    <t>Slovenia</t>
  </si>
  <si>
    <t>SVN</t>
  </si>
  <si>
    <t>dalÃ©carlien</t>
  </si>
  <si>
    <t>dalecarliano</t>
  </si>
  <si>
    <t>Sweden</t>
  </si>
  <si>
    <t>SWE</t>
  </si>
  <si>
    <t>Ume Saami</t>
  </si>
  <si>
    <t>saami ume</t>
  </si>
  <si>
    <t>saamÃ­ de Ume</t>
  </si>
  <si>
    <t>Gutnish</t>
  </si>
  <si>
    <t>gutnisk</t>
  </si>
  <si>
    <t>gotlandiano</t>
  </si>
  <si>
    <t>aramÃ©en occidental</t>
  </si>
  <si>
    <t>neo-arameo sirio</t>
  </si>
  <si>
    <t>Syrian Arab Republic</t>
  </si>
  <si>
    <t>SYR</t>
  </si>
  <si>
    <t>Mlahso (Syria)</t>
  </si>
  <si>
    <t>mlahso (RÃ©publique arabe syrienne)</t>
  </si>
  <si>
    <t>melasÃ³ (Siria)</t>
  </si>
  <si>
    <t>touroyo</t>
  </si>
  <si>
    <t>turoyo</t>
  </si>
  <si>
    <t>Syrian Arab Republic, Turkey</t>
  </si>
  <si>
    <t>SYR, TUR</t>
  </si>
  <si>
    <t>sarwa</t>
  </si>
  <si>
    <t>Chad</t>
  </si>
  <si>
    <t>TCD</t>
  </si>
  <si>
    <t>mbara</t>
  </si>
  <si>
    <t>karanga</t>
  </si>
  <si>
    <t>karango</t>
  </si>
  <si>
    <t>mambay</t>
  </si>
  <si>
    <t>mambai</t>
  </si>
  <si>
    <t>besme</t>
  </si>
  <si>
    <t>goundo</t>
  </si>
  <si>
    <t>gundo</t>
  </si>
  <si>
    <t>gadang</t>
  </si>
  <si>
    <t>gadango</t>
  </si>
  <si>
    <t>miltou</t>
  </si>
  <si>
    <t>miltÃº</t>
  </si>
  <si>
    <t>boor</t>
  </si>
  <si>
    <t>laal</t>
  </si>
  <si>
    <t>jaya</t>
  </si>
  <si>
    <t>yaya</t>
  </si>
  <si>
    <t>zirenkel</t>
  </si>
  <si>
    <t>oubi</t>
  </si>
  <si>
    <t>Mabiri</t>
  </si>
  <si>
    <t>mabire</t>
  </si>
  <si>
    <t>mabiri</t>
  </si>
  <si>
    <t>temki</t>
  </si>
  <si>
    <t>tamki</t>
  </si>
  <si>
    <t>djonkor de Bourmataguil</t>
  </si>
  <si>
    <t>jonjor</t>
  </si>
  <si>
    <t>saba</t>
  </si>
  <si>
    <t>toram</t>
  </si>
  <si>
    <t>kokÃ©</t>
  </si>
  <si>
    <t>koke</t>
  </si>
  <si>
    <t>fania</t>
  </si>
  <si>
    <t>fanya</t>
  </si>
  <si>
    <t>koulfa</t>
  </si>
  <si>
    <t>kulfa</t>
  </si>
  <si>
    <t>horo</t>
  </si>
  <si>
    <t>berakou</t>
  </si>
  <si>
    <t>babalia</t>
  </si>
  <si>
    <t>kedendje</t>
  </si>
  <si>
    <t>kendeye</t>
  </si>
  <si>
    <t>massalat</t>
  </si>
  <si>
    <t>kujarge</t>
  </si>
  <si>
    <t>kujarke</t>
  </si>
  <si>
    <t>fongoro</t>
  </si>
  <si>
    <t>Patani Malay</t>
  </si>
  <si>
    <t>malais de patani</t>
  </si>
  <si>
    <t>patani</t>
  </si>
  <si>
    <t>Thailand</t>
  </si>
  <si>
    <t>THA</t>
  </si>
  <si>
    <t>lavua</t>
  </si>
  <si>
    <t>lavÃ¼a</t>
  </si>
  <si>
    <t>phalok</t>
  </si>
  <si>
    <t>palok</t>
  </si>
  <si>
    <t>Chung (Thailand)</t>
  </si>
  <si>
    <t>chung (ThaÃ¯lande)</t>
  </si>
  <si>
    <t>sa-och (Tailandia)</t>
  </si>
  <si>
    <t>Thavung (Thailand)</t>
  </si>
  <si>
    <t>thavung (ThaÃ¯lande)</t>
  </si>
  <si>
    <t>thavung (Tailandia)</t>
  </si>
  <si>
    <t>gong</t>
  </si>
  <si>
    <t>ugong</t>
  </si>
  <si>
    <t>Kensiw (Thailand)</t>
  </si>
  <si>
    <t>kensiw (ThaÃ¯lande)</t>
  </si>
  <si>
    <t>kensiu (Tailandia)</t>
  </si>
  <si>
    <t>nyahkur</t>
  </si>
  <si>
    <t>Ã±ahkur</t>
  </si>
  <si>
    <t>Urak Lawoi (Thailand)</t>
  </si>
  <si>
    <t>urak lawoi (ThaÃ¯lande)</t>
  </si>
  <si>
    <t>urak lawoi (Tailandia)</t>
  </si>
  <si>
    <t>prb</t>
  </si>
  <si>
    <t>lua'</t>
  </si>
  <si>
    <t>maniq</t>
  </si>
  <si>
    <t>Nyoe</t>
  </si>
  <si>
    <t>nyoe</t>
  </si>
  <si>
    <t>bartangi</t>
  </si>
  <si>
    <t>bartangÃ­</t>
  </si>
  <si>
    <t>Tajikistan</t>
  </si>
  <si>
    <t>TJK</t>
  </si>
  <si>
    <t>roshorvi</t>
  </si>
  <si>
    <t>oroshori</t>
  </si>
  <si>
    <t>sgl</t>
  </si>
  <si>
    <t>ishkÃ¢shimi</t>
  </si>
  <si>
    <t>iskashmi</t>
  </si>
  <si>
    <t>yaghnobi</t>
  </si>
  <si>
    <t>yagnobÃ­</t>
  </si>
  <si>
    <t>yazgulÃ¢mi</t>
  </si>
  <si>
    <t>yazgulamÃ­</t>
  </si>
  <si>
    <t>shughni</t>
  </si>
  <si>
    <t>chugnÃ­</t>
  </si>
  <si>
    <t>Tajikistan, Afghanistan</t>
  </si>
  <si>
    <t>TJK, AFG</t>
  </si>
  <si>
    <t>rushÃ¢ni</t>
  </si>
  <si>
    <t>rusanÃ­</t>
  </si>
  <si>
    <t>sanglÃ®chi</t>
  </si>
  <si>
    <t>sanglechÃ­</t>
  </si>
  <si>
    <t>tokelau</t>
  </si>
  <si>
    <t>tokelauano</t>
  </si>
  <si>
    <t>TKL</t>
  </si>
  <si>
    <t>adabe</t>
  </si>
  <si>
    <t>Timor-Leste</t>
  </si>
  <si>
    <t>TLS</t>
  </si>
  <si>
    <t>Maku'a</t>
  </si>
  <si>
    <t>maku'a</t>
  </si>
  <si>
    <t>habu</t>
  </si>
  <si>
    <t>kairui-midiki</t>
  </si>
  <si>
    <t>naueti</t>
  </si>
  <si>
    <t>Waima'a</t>
  </si>
  <si>
    <t>waima'a</t>
  </si>
  <si>
    <t>vaimaa</t>
  </si>
  <si>
    <t>Tamazight (Tunisia)</t>
  </si>
  <si>
    <t>tamazight (Tunisie)</t>
  </si>
  <si>
    <t>tamazight (TÃºnez)</t>
  </si>
  <si>
    <t>Tunisia</t>
  </si>
  <si>
    <t>TUN</t>
  </si>
  <si>
    <t>sened</t>
  </si>
  <si>
    <t>Tunisian Judeo-Arabic (Tunisia)</t>
  </si>
  <si>
    <t>judÃ©o-arabe tunisien (Tunisie)</t>
  </si>
  <si>
    <t>judeo-Ã¡rabe tunecino (TÃºnez)</t>
  </si>
  <si>
    <t>Ubykh (Turkey)</t>
  </si>
  <si>
    <t>oubykh (Turquie)</t>
  </si>
  <si>
    <t>ubijÃ© (TurquÃ­a)</t>
  </si>
  <si>
    <t>Turkey</t>
  </si>
  <si>
    <t>TUR</t>
  </si>
  <si>
    <t>Cappadocian Greek (Turkey)</t>
  </si>
  <si>
    <t>grec cappadocien (Turquie)</t>
  </si>
  <si>
    <t>griego capadocio (TurquÃ­a)</t>
  </si>
  <si>
    <t>Homshetsma (Turkey)</t>
  </si>
  <si>
    <t>homshetsma (Turquie)</t>
  </si>
  <si>
    <t>homshetsma (TurquÃ­a)</t>
  </si>
  <si>
    <t>Western Armenian (Turkey)</t>
  </si>
  <si>
    <t>armÃ©nien occidental (Turquie)</t>
  </si>
  <si>
    <t>armenio occidental (TurquÃ­a)</t>
  </si>
  <si>
    <t>hÃ©rtevin</t>
  </si>
  <si>
    <t>hertevino</t>
  </si>
  <si>
    <t>zza</t>
  </si>
  <si>
    <t>zazaki</t>
  </si>
  <si>
    <t>zaza</t>
  </si>
  <si>
    <t>Mlahso (Turkey)</t>
  </si>
  <si>
    <t>mlahso (Turquie)</t>
  </si>
  <si>
    <t>melasÃ³ (TurquÃ­a)</t>
  </si>
  <si>
    <t>tuvalu</t>
  </si>
  <si>
    <t>tuvaluano</t>
  </si>
  <si>
    <t>TUV</t>
  </si>
  <si>
    <t>segeju</t>
  </si>
  <si>
    <t>daiso</t>
  </si>
  <si>
    <t>United Republic of Tanzania</t>
  </si>
  <si>
    <t>TZA</t>
  </si>
  <si>
    <t>hadza</t>
  </si>
  <si>
    <t>gweno</t>
  </si>
  <si>
    <t>Aasax</t>
  </si>
  <si>
    <t>aasax</t>
  </si>
  <si>
    <t>aasÃ¡x</t>
  </si>
  <si>
    <t>kami</t>
  </si>
  <si>
    <t>akie</t>
  </si>
  <si>
    <t>oquieco</t>
  </si>
  <si>
    <t>burunge</t>
  </si>
  <si>
    <t>burunguÃ­</t>
  </si>
  <si>
    <t>vidunda</t>
  </si>
  <si>
    <t>Kw'adza</t>
  </si>
  <si>
    <t>kw'adza</t>
  </si>
  <si>
    <t>zaramo</t>
  </si>
  <si>
    <t>zalamo / saramo</t>
  </si>
  <si>
    <t>dhaiso</t>
  </si>
  <si>
    <t>daisa</t>
  </si>
  <si>
    <t>napore</t>
  </si>
  <si>
    <t>Uganda</t>
  </si>
  <si>
    <t>UGA</t>
  </si>
  <si>
    <t>Nyang'i</t>
  </si>
  <si>
    <t>nyang'i</t>
  </si>
  <si>
    <t>Ã±angui</t>
  </si>
  <si>
    <t>tepes</t>
  </si>
  <si>
    <t>ik</t>
  </si>
  <si>
    <t>singa</t>
  </si>
  <si>
    <t>amba</t>
  </si>
  <si>
    <t>Karaim (Crimea)</t>
  </si>
  <si>
    <t>karaÃ¯m (CrimÃ©e)</t>
  </si>
  <si>
    <t>karaÃ­m (Crimea)</t>
  </si>
  <si>
    <t>Ukraine</t>
  </si>
  <si>
    <t>UKR</t>
  </si>
  <si>
    <t>Crimean Tatar (Crimea)</t>
  </si>
  <si>
    <t>tatar de CrimÃ©e (CrimÃ©e)</t>
  </si>
  <si>
    <t>tÃ¡rtaro crimeano (Crimea)</t>
  </si>
  <si>
    <t>Nogay (Crimea)</t>
  </si>
  <si>
    <t>nogaÃ¯ (CrimÃ©e)</t>
  </si>
  <si>
    <t>nogÃ¡i (Crimea)</t>
  </si>
  <si>
    <t>Karaim (Western Ukraine)</t>
  </si>
  <si>
    <t>karaÃ¯m (Ukraine occidentale)</t>
  </si>
  <si>
    <t>karaÃ­m (Ucrania occidental)</t>
  </si>
  <si>
    <t>plautdietsch</t>
  </si>
  <si>
    <t>bajo alemÃ¡n</t>
  </si>
  <si>
    <t>turc de CrimÃ©e</t>
  </si>
  <si>
    <t>turco crimeano</t>
  </si>
  <si>
    <t>Mariupolitan Greek</t>
  </si>
  <si>
    <t>grec de Marioupol</t>
  </si>
  <si>
    <t>mauropoliano</t>
  </si>
  <si>
    <t>ahtna</t>
  </si>
  <si>
    <t>atna</t>
  </si>
  <si>
    <t>USA</t>
  </si>
  <si>
    <t>Aleut (Western)</t>
  </si>
  <si>
    <t>aleut (occidental)</t>
  </si>
  <si>
    <t>aleutiano (occidental)</t>
  </si>
  <si>
    <t>eyak</t>
  </si>
  <si>
    <t>eyak / eyaco</t>
  </si>
  <si>
    <t>holikachuk</t>
  </si>
  <si>
    <t>ingalik</t>
  </si>
  <si>
    <t>koyukon</t>
  </si>
  <si>
    <t>koyuko</t>
  </si>
  <si>
    <t>Pacific Gulf Yupik</t>
  </si>
  <si>
    <t>yupik du golfe du Pacifique</t>
  </si>
  <si>
    <t>yupÃ­ del PacÃ­fico</t>
  </si>
  <si>
    <t>tanacross</t>
  </si>
  <si>
    <t>denaâ€™ina</t>
  </si>
  <si>
    <t>tanaina</t>
  </si>
  <si>
    <t>tanana</t>
  </si>
  <si>
    <t>Upper Tanana (United States of America)</t>
  </si>
  <si>
    <t>haut-tanana (Ã‰tats-Unis d'AmÃ©rique)</t>
  </si>
  <si>
    <t>tanana alto (Estados Unidos)</t>
  </si>
  <si>
    <t>Cayuga (Oklahoma)</t>
  </si>
  <si>
    <t>cayuga (Oklahoma)</t>
  </si>
  <si>
    <t>jargon chinook</t>
  </si>
  <si>
    <t>chinuco</t>
  </si>
  <si>
    <t>Eastern Abenaki</t>
  </si>
  <si>
    <t>abÃ©naqui oriental</t>
  </si>
  <si>
    <t>abenakÃ­ oriental</t>
  </si>
  <si>
    <t>Mohawk (Kanatsiohareke)</t>
  </si>
  <si>
    <t>mohawk (Kanatsiohareke)</t>
  </si>
  <si>
    <t>mohaquÃ©s (Kanatsiohareke)</t>
  </si>
  <si>
    <t>Munsee (United States of America)</t>
  </si>
  <si>
    <t>delaware</t>
  </si>
  <si>
    <t>unamÃ­ (Estados Unidos)</t>
  </si>
  <si>
    <t>Oneida (Wisconsin)</t>
  </si>
  <si>
    <t>oneida (Wisconsin)</t>
  </si>
  <si>
    <t>Onondaga (New York)</t>
  </si>
  <si>
    <t>onondaga (New York)</t>
  </si>
  <si>
    <t>onondaga (Nueva York)</t>
  </si>
  <si>
    <t>Potawatomi (Michigan)</t>
  </si>
  <si>
    <t>potawatomi (Michigan)</t>
  </si>
  <si>
    <t>potahuatomÃ­ (MÃ­chigan)</t>
  </si>
  <si>
    <t>Seneca (United States of America)</t>
  </si>
  <si>
    <t>seneca (Ã‰tats-Unis d'AmÃ©rique)</t>
  </si>
  <si>
    <t>seneca (Estados Unidos)</t>
  </si>
  <si>
    <t>Tlingit (United States of America)</t>
  </si>
  <si>
    <t>tlingit (Ã‰tats-Unis d'AmÃ©rique)</t>
  </si>
  <si>
    <t>coluchano (Estados Unidos)</t>
  </si>
  <si>
    <t>Tuscarora (United States of America)</t>
  </si>
  <si>
    <t>tuscarora (Ã‰tats-Unis d'AmÃ©rique)</t>
  </si>
  <si>
    <t>tuscarora (Estados Unidos)</t>
  </si>
  <si>
    <t>unamÃ­</t>
  </si>
  <si>
    <t>Western Abenaki (United States of America)</t>
  </si>
  <si>
    <t>abÃ©naqui occidental (Ã‰tats-Unis d'AmÃ©rique)</t>
  </si>
  <si>
    <t>abenakÃ­ occidental (Estados Unidos)</t>
  </si>
  <si>
    <t>Central Siberian Yupik (St. Lawrence Island)</t>
  </si>
  <si>
    <t>yupik de SibÃ©rie (Ã®le Saint Laurent)</t>
  </si>
  <si>
    <t>yupÃ­ siberiano central (isla de San Lorenzo)</t>
  </si>
  <si>
    <t>Central Alaskan Yupik (2)</t>
  </si>
  <si>
    <t>yupik d'Alaska Centrale (2)</t>
  </si>
  <si>
    <t>yupÃ­ alasquiano central (2)</t>
  </si>
  <si>
    <t>Central Alaskan Yupik (Nunivak Island)</t>
  </si>
  <si>
    <t>yupik d'Alaska Centrale (Ã®le Nunivak)</t>
  </si>
  <si>
    <t>yupÃ­ alasquiano central (isla de Nunivak)</t>
  </si>
  <si>
    <t>hawaÃ¯en</t>
  </si>
  <si>
    <t>hawaiano</t>
  </si>
  <si>
    <t>North Alaskan Inupiaq (Kotzebue Sound)</t>
  </si>
  <si>
    <t>Inupiaq du nord de l'Alaska (Golfe de Kotzebue)</t>
  </si>
  <si>
    <t>inuÃ­ alaskiano septentrional (estrecho de Kotzebue)</t>
  </si>
  <si>
    <t>atsina (gros ventre)</t>
  </si>
  <si>
    <t>atsina</t>
  </si>
  <si>
    <t>Cheyenne (Montana)</t>
  </si>
  <si>
    <t>cheyenne (Montana)</t>
  </si>
  <si>
    <t>cheyÃ©n (Montana)</t>
  </si>
  <si>
    <t>menominee</t>
  </si>
  <si>
    <t>menominÃ­</t>
  </si>
  <si>
    <t>ojibwe</t>
  </si>
  <si>
    <t>oyibua</t>
  </si>
  <si>
    <t>sauk-fox</t>
  </si>
  <si>
    <t>fox</t>
  </si>
  <si>
    <t>Kickapoo (Kansas)</t>
  </si>
  <si>
    <t>kickapoo (Kansas)</t>
  </si>
  <si>
    <t>quicapÃº (Kansas)</t>
  </si>
  <si>
    <t>shawnee</t>
  </si>
  <si>
    <t>chavanÃ©s</t>
  </si>
  <si>
    <t>miami-illinois</t>
  </si>
  <si>
    <t>miami</t>
  </si>
  <si>
    <t>maliseet-passamaquoddy</t>
  </si>
  <si>
    <t>malesÃ­-openango</t>
  </si>
  <si>
    <t>wiyot</t>
  </si>
  <si>
    <t>yurok</t>
  </si>
  <si>
    <t>Upper Kuskokwim</t>
  </si>
  <si>
    <t>haut-kuskokwim</t>
  </si>
  <si>
    <t>cuscoquÃ­n alto</t>
  </si>
  <si>
    <t>Upper Umpqua</t>
  </si>
  <si>
    <t>haut-umpqua</t>
  </si>
  <si>
    <t>umpqua alto</t>
  </si>
  <si>
    <t>tututni</t>
  </si>
  <si>
    <t>tolowa</t>
  </si>
  <si>
    <t>hupa</t>
  </si>
  <si>
    <t>mattole</t>
  </si>
  <si>
    <t>Eel River Athabaskan</t>
  </si>
  <si>
    <t>athabaskan d'Eel River</t>
  </si>
  <si>
    <t>wailaki</t>
  </si>
  <si>
    <t>kato</t>
  </si>
  <si>
    <t>navajo</t>
  </si>
  <si>
    <t>Western Apache</t>
  </si>
  <si>
    <t>apache occidental</t>
  </si>
  <si>
    <t>Mescalero-Chiricahua Apache (New Mexico)</t>
  </si>
  <si>
    <t>apache mescalero-chiricahua (Nouveau-Mexique)</t>
  </si>
  <si>
    <t>apache mescalero-chiricahua (Nuevo MÃ©xico)</t>
  </si>
  <si>
    <t>Jicarilla Apache</t>
  </si>
  <si>
    <t>apache jicarilla</t>
  </si>
  <si>
    <t>lipan</t>
  </si>
  <si>
    <t>lipÃ¡n</t>
  </si>
  <si>
    <t>Kiowa Apache</t>
  </si>
  <si>
    <t>kiowa apache</t>
  </si>
  <si>
    <t>apache de Kiowa</t>
  </si>
  <si>
    <t>makah</t>
  </si>
  <si>
    <t>quileute</t>
  </si>
  <si>
    <t>quileutÃ©s</t>
  </si>
  <si>
    <t>klallam</t>
  </si>
  <si>
    <t>clallam</t>
  </si>
  <si>
    <t>lushootseed</t>
  </si>
  <si>
    <t>puguÃ©</t>
  </si>
  <si>
    <t>twana</t>
  </si>
  <si>
    <t>tuana</t>
  </si>
  <si>
    <t>quinault</t>
  </si>
  <si>
    <t>bas-chehalis</t>
  </si>
  <si>
    <t>chehalÃ­ bajo</t>
  </si>
  <si>
    <t>Upper Chehalis</t>
  </si>
  <si>
    <t>haut-chehalis</t>
  </si>
  <si>
    <t>chehalÃ­ alto</t>
  </si>
  <si>
    <t>cowlitz</t>
  </si>
  <si>
    <t>tillamook</t>
  </si>
  <si>
    <t>tilamuco</t>
  </si>
  <si>
    <t>spokane</t>
  </si>
  <si>
    <t>espokane</t>
  </si>
  <si>
    <t>Coeur d'Alene</t>
  </si>
  <si>
    <t>coeur dâ€™Alene</t>
  </si>
  <si>
    <t>cordaleno</t>
  </si>
  <si>
    <t>columbian</t>
  </si>
  <si>
    <t>columbiano</t>
  </si>
  <si>
    <t>kiksht</t>
  </si>
  <si>
    <t>siuslaw</t>
  </si>
  <si>
    <t>hanis</t>
  </si>
  <si>
    <t>Central Kalapuyan</t>
  </si>
  <si>
    <t>kalapuya central</t>
  </si>
  <si>
    <t>wit</t>
  </si>
  <si>
    <t>Wintu-Nomlaki</t>
  </si>
  <si>
    <t>wintu-nomlaki</t>
  </si>
  <si>
    <t>wintu</t>
  </si>
  <si>
    <t>patwin</t>
  </si>
  <si>
    <t>maidu</t>
  </si>
  <si>
    <t>maidÃº nororiental</t>
  </si>
  <si>
    <t>konkow</t>
  </si>
  <si>
    <t>maidÃº noroccidental</t>
  </si>
  <si>
    <t>nisenan</t>
  </si>
  <si>
    <t>Lake Miwok</t>
  </si>
  <si>
    <t>miwok du lac</t>
  </si>
  <si>
    <t>miwokano del lago</t>
  </si>
  <si>
    <t>Northern Sierra Miwok</t>
  </si>
  <si>
    <t>miwok de la Sierra du nord</t>
  </si>
  <si>
    <t>miwokano serrano septentrional</t>
  </si>
  <si>
    <t>Central Sierra Miwok</t>
  </si>
  <si>
    <t>miwok de la Sierra centrale</t>
  </si>
  <si>
    <t>miwokano serrano central</t>
  </si>
  <si>
    <t>Southern Sierra Miwok</t>
  </si>
  <si>
    <t>miwok de la Sierra mÃ©ridionale</t>
  </si>
  <si>
    <t>miwokano serrano meridional</t>
  </si>
  <si>
    <t>Tule-Kaweah Yokuts</t>
  </si>
  <si>
    <t>yokuts de Tule-Kaweah</t>
  </si>
  <si>
    <t>Kings River Yokuts</t>
  </si>
  <si>
    <t>yokuts kings river</t>
  </si>
  <si>
    <t>yokuts del rÃ­o Kings</t>
  </si>
  <si>
    <t>Valley Yokuts</t>
  </si>
  <si>
    <t>yokuts de la vallÃ©e</t>
  </si>
  <si>
    <t>yokuts del valle</t>
  </si>
  <si>
    <t>klamath</t>
  </si>
  <si>
    <t>lutuamÃ­-modoco</t>
  </si>
  <si>
    <t>uma, waa</t>
  </si>
  <si>
    <t>Sahaptin</t>
  </si>
  <si>
    <t>sahaptin</t>
  </si>
  <si>
    <t>sahaptÃ­n</t>
  </si>
  <si>
    <t>nez-percÃ©</t>
  </si>
  <si>
    <t>nez-percÃ©s</t>
  </si>
  <si>
    <t>molala</t>
  </si>
  <si>
    <t>karuk</t>
  </si>
  <si>
    <t>New River Shasta</t>
  </si>
  <si>
    <t>shasta de New River</t>
  </si>
  <si>
    <t>shasta</t>
  </si>
  <si>
    <t>Konomihu</t>
  </si>
  <si>
    <t>konomihu</t>
  </si>
  <si>
    <t>achumawi</t>
  </si>
  <si>
    <t>atsugewi</t>
  </si>
  <si>
    <t>Northeastern Pomo</t>
  </si>
  <si>
    <t>pomo du nord-est</t>
  </si>
  <si>
    <t>pomo nororiental</t>
  </si>
  <si>
    <t>Southeastern Pomo</t>
  </si>
  <si>
    <t>pomo du sud-est</t>
  </si>
  <si>
    <t>pomo suroriental</t>
  </si>
  <si>
    <t>Eastern Pomo</t>
  </si>
  <si>
    <t>pomo oriental</t>
  </si>
  <si>
    <t>Northern Pomo</t>
  </si>
  <si>
    <t>pomo du nord</t>
  </si>
  <si>
    <t>pomo septentrional</t>
  </si>
  <si>
    <t>Central Pomo</t>
  </si>
  <si>
    <t>pomo central</t>
  </si>
  <si>
    <t>Southern Pomo</t>
  </si>
  <si>
    <t>pomo du sud</t>
  </si>
  <si>
    <t>pomo meridional</t>
  </si>
  <si>
    <t>kashaya</t>
  </si>
  <si>
    <t>Antoniano</t>
  </si>
  <si>
    <t>antoniano</t>
  </si>
  <si>
    <t>MigueleÃ±o</t>
  </si>
  <si>
    <t>migueleÃ±o</t>
  </si>
  <si>
    <t>yumano alto</t>
  </si>
  <si>
    <t>Mohave (California)</t>
  </si>
  <si>
    <t>mohave (Californie)</t>
  </si>
  <si>
    <t>mohave (California)</t>
  </si>
  <si>
    <t>quechan</t>
  </si>
  <si>
    <t>maricopa</t>
  </si>
  <si>
    <t>diegueÃ±o du nord</t>
  </si>
  <si>
    <t>ipÃ¡i</t>
  </si>
  <si>
    <t>Tipai (United States of America)</t>
  </si>
  <si>
    <t>diegueÃ±o (Ã‰tats-Unis d'AmÃ©rique)</t>
  </si>
  <si>
    <t>tipai (Estados Unidos)</t>
  </si>
  <si>
    <t>Cocopa (Arizona)</t>
  </si>
  <si>
    <t>cocopa (Arizona)</t>
  </si>
  <si>
    <t>washo</t>
  </si>
  <si>
    <t>wappo</t>
  </si>
  <si>
    <t>obispeÃ±o</t>
  </si>
  <si>
    <t>purisimeÃ±o</t>
  </si>
  <si>
    <t>ineseÃ±o</t>
  </si>
  <si>
    <t>barbareÃ±o</t>
  </si>
  <si>
    <t>ventureÃ±o</t>
  </si>
  <si>
    <t>chumash</t>
  </si>
  <si>
    <t>chumasho</t>
  </si>
  <si>
    <t>Mono (Western)</t>
  </si>
  <si>
    <t>mono (occidental)</t>
  </si>
  <si>
    <t>Northern Paiute (Nevada)</t>
  </si>
  <si>
    <t>paiute du nord (Nevada)</t>
  </si>
  <si>
    <t>payutÃ© septentrional (Nevada)</t>
  </si>
  <si>
    <t>panamint</t>
  </si>
  <si>
    <t>Shoshoni (Idaho)</t>
  </si>
  <si>
    <t>shoshone (Idaho)</t>
  </si>
  <si>
    <t>comanche</t>
  </si>
  <si>
    <t>kawaiisu</t>
  </si>
  <si>
    <t>Ute (Colorado, Southern Ute)</t>
  </si>
  <si>
    <t>ute (Colorado, Ute mÃ©ridional)</t>
  </si>
  <si>
    <t>utÃ© (Colorado, utÃ© meridional)</t>
  </si>
  <si>
    <t>Tubatulabal</t>
  </si>
  <si>
    <t>tubatulabal</t>
  </si>
  <si>
    <t>serrano</t>
  </si>
  <si>
    <t>cahuilla</t>
  </si>
  <si>
    <t>cupeno</t>
  </si>
  <si>
    <t>cupeÃ±o</t>
  </si>
  <si>
    <t>luiseÃ±o</t>
  </si>
  <si>
    <t>hopi</t>
  </si>
  <si>
    <t>hopÃ­</t>
  </si>
  <si>
    <t>O'odham (Tohono)</t>
  </si>
  <si>
    <t>o'odham (Tohono)</t>
  </si>
  <si>
    <t>papago (Tohono)</t>
  </si>
  <si>
    <t>Yaqui (United States of America)</t>
  </si>
  <si>
    <t>yaki (Ã‰tats-Unis d'AmÃ©rique)</t>
  </si>
  <si>
    <t>yaqui (Estados Unidos)</t>
  </si>
  <si>
    <t>kiowa</t>
  </si>
  <si>
    <t>quiova</t>
  </si>
  <si>
    <t>jemez</t>
  </si>
  <si>
    <t>towa</t>
  </si>
  <si>
    <t>taos</t>
  </si>
  <si>
    <t>picuris</t>
  </si>
  <si>
    <t>Tewa (New Mexico)</t>
  </si>
  <si>
    <t>tewa (Nouveau-Mexique)</t>
  </si>
  <si>
    <t>tehua (Nuevo MÃ©xico)</t>
  </si>
  <si>
    <t>acoma-laguna</t>
  </si>
  <si>
    <t>queresano occidental</t>
  </si>
  <si>
    <t>keresan du Rio Grande</t>
  </si>
  <si>
    <t>queresano de RÃ­o Grande</t>
  </si>
  <si>
    <t>zuni</t>
  </si>
  <si>
    <t>zuÃ±Ã­</t>
  </si>
  <si>
    <t>xcy</t>
  </si>
  <si>
    <t>Cayuse</t>
  </si>
  <si>
    <t>cayuse</t>
  </si>
  <si>
    <t>hidatsa</t>
  </si>
  <si>
    <t>crow</t>
  </si>
  <si>
    <t>absÃ¡raca</t>
  </si>
  <si>
    <t>mandan</t>
  </si>
  <si>
    <t>mandano</t>
  </si>
  <si>
    <t>sioux</t>
  </si>
  <si>
    <t>dacota / siu</t>
  </si>
  <si>
    <t>omaha</t>
  </si>
  <si>
    <t>osage</t>
  </si>
  <si>
    <t>osague</t>
  </si>
  <si>
    <t>chiwere</t>
  </si>
  <si>
    <t>Winnebago (Nebraska)</t>
  </si>
  <si>
    <t>winnebago (Nebraska)</t>
  </si>
  <si>
    <t>catawba</t>
  </si>
  <si>
    <t>catauba</t>
  </si>
  <si>
    <t>arikara</t>
  </si>
  <si>
    <t>pawnee</t>
  </si>
  <si>
    <t>panÃ­</t>
  </si>
  <si>
    <t>wichita</t>
  </si>
  <si>
    <t>quivira</t>
  </si>
  <si>
    <t>caddo</t>
  </si>
  <si>
    <t>cado</t>
  </si>
  <si>
    <t>Choctaw (Mississipi)</t>
  </si>
  <si>
    <t>choctaw (Mississippi)</t>
  </si>
  <si>
    <t>chocta (Mississipi)</t>
  </si>
  <si>
    <t>chickasaw</t>
  </si>
  <si>
    <t>chicasa</t>
  </si>
  <si>
    <t>alabama</t>
  </si>
  <si>
    <t>alabama-koasati</t>
  </si>
  <si>
    <t>Koasati (Louisiana)</t>
  </si>
  <si>
    <t>koasati (Louisiane)</t>
  </si>
  <si>
    <t>koasati (Luisiana)</t>
  </si>
  <si>
    <t>creek</t>
  </si>
  <si>
    <t>muskoguÃ­</t>
  </si>
  <si>
    <t>natchez</t>
  </si>
  <si>
    <t>nachez</t>
  </si>
  <si>
    <t>yuchi</t>
  </si>
  <si>
    <t>Cherokee (Oklahoma)</t>
  </si>
  <si>
    <t>cherokee (Oklahoma)</t>
  </si>
  <si>
    <t>cheroki (Oklahoma)</t>
  </si>
  <si>
    <t>nooksack</t>
  </si>
  <si>
    <t>nucsaquÃ©s</t>
  </si>
  <si>
    <t>Montana Salish</t>
  </si>
  <si>
    <t>salish du Montana</t>
  </si>
  <si>
    <t>salish de Montana</t>
  </si>
  <si>
    <t>kalispel</t>
  </si>
  <si>
    <t>Mohave (Arizona)</t>
  </si>
  <si>
    <t>mohave (Arizona)</t>
  </si>
  <si>
    <t>walapai</t>
  </si>
  <si>
    <t>walapÃ¡i</t>
  </si>
  <si>
    <t>havasupai</t>
  </si>
  <si>
    <t>havasupÃ¡i</t>
  </si>
  <si>
    <t>yavapai</t>
  </si>
  <si>
    <t>yavapÃ¡i</t>
  </si>
  <si>
    <t>Mohawk (Akwesasne, St. Regis)</t>
  </si>
  <si>
    <t>mohawk (Akwesasne, St. Regis)</t>
  </si>
  <si>
    <t>mohaquÃ©s (Akwesasne, St Regis)</t>
  </si>
  <si>
    <t>Mohawk (Ganienkeh)</t>
  </si>
  <si>
    <t>mohawk (Ganienkeh)</t>
  </si>
  <si>
    <t>mohaquÃ©s (Ganienkeh)</t>
  </si>
  <si>
    <t>North Alaskan Inupiaq (North Slope)</t>
  </si>
  <si>
    <t>Inupiaq de nord de l'Alaska (North Slope)</t>
  </si>
  <si>
    <t>inuÃ­ alaskiano septentrional (zona Ã¡rtica septentrional)</t>
  </si>
  <si>
    <t>Seward Peninsula Inupiaq (King Island)</t>
  </si>
  <si>
    <t>inupiaq de la pÃ©ninsule de Seward (King Island)</t>
  </si>
  <si>
    <t>inuit de la PenÃ­nsula Seward (i. del Rey)</t>
  </si>
  <si>
    <t>Seward Peninsula Inupiaq (Little Diomede Island)</t>
  </si>
  <si>
    <t>inupiaq de la pÃ©ninsule de Seward (Petite DiomÃ¨de)</t>
  </si>
  <si>
    <t>inuit de la PenÃ­nsula Seward (i. DiÃ³medes menor)</t>
  </si>
  <si>
    <t>Seward Peninsula Inupiaq (Norton Sound)</t>
  </si>
  <si>
    <t>inupiaq de la pÃ©ninsule de Seward (Norton Sound)</t>
  </si>
  <si>
    <t>inuit de la PenÃ­nsula Seward (estrecho de Norton)</t>
  </si>
  <si>
    <t>Aleut (Eastern)</t>
  </si>
  <si>
    <t>aleut (oriental)</t>
  </si>
  <si>
    <t>aleutiano (oriental)</t>
  </si>
  <si>
    <t>Blackfoot (United States of America)</t>
  </si>
  <si>
    <t>pied-noir (Ã‰tats-Unis d'AmÃ©rique)</t>
  </si>
  <si>
    <t>pies negros (Estados Unidos)</t>
  </si>
  <si>
    <t>Arapaho (Oklahoma)</t>
  </si>
  <si>
    <t>arapaho (Oklahoma)</t>
  </si>
  <si>
    <t>Arapaho (Wyoming)</t>
  </si>
  <si>
    <t>arapaho (Wyoming)</t>
  </si>
  <si>
    <t>Cheyenne (Oklahoma)</t>
  </si>
  <si>
    <t>cheyenne (Oklahoma)</t>
  </si>
  <si>
    <t>cheyÃ©n (Oklahoma)</t>
  </si>
  <si>
    <t>Gwich'in (United States of America)</t>
  </si>
  <si>
    <t>gwichâ€™in (Ã‰tats-Unis d'AmÃ©rique)</t>
  </si>
  <si>
    <t>gÃ¼ichÃ­n (Estados Unidos)</t>
  </si>
  <si>
    <t>Han (United States of America)</t>
  </si>
  <si>
    <t>han (Ã‰tats-Unis d'AmÃ©rique)</t>
  </si>
  <si>
    <t>han (Estados Unidos)</t>
  </si>
  <si>
    <t>Mescalero-Chiricahua Apache (Oklahoma)</t>
  </si>
  <si>
    <t>apache mescalero-chiricahua (Oklahoma)</t>
  </si>
  <si>
    <t>Mono (Eastern)</t>
  </si>
  <si>
    <t>mono (oriental)</t>
  </si>
  <si>
    <t>Northern Paiute (Idaho)</t>
  </si>
  <si>
    <t>paiute du nord (Idaho)</t>
  </si>
  <si>
    <t>payutÃ© septentrional (Idaho)</t>
  </si>
  <si>
    <t>Northern Paiute (Oregon)</t>
  </si>
  <si>
    <t>paiute du nord (Oregon)</t>
  </si>
  <si>
    <t>payutÃ© septentrional (Oregon)</t>
  </si>
  <si>
    <t>Shoshoni (Wyoming)</t>
  </si>
  <si>
    <t>shoshone (Wyoming)</t>
  </si>
  <si>
    <t>Shoshoni (Nevada)</t>
  </si>
  <si>
    <t>shoshone (Nevada)</t>
  </si>
  <si>
    <t>chemehuevi</t>
  </si>
  <si>
    <t>Ute (Utah)</t>
  </si>
  <si>
    <t>ute (Utah)</t>
  </si>
  <si>
    <t>utÃ© (Utah)</t>
  </si>
  <si>
    <t>Ute (Colorado, Ute Mountain)</t>
  </si>
  <si>
    <t>ute (Colorado, Ute des montagnes)</t>
  </si>
  <si>
    <t>utÃ© (Colorado, utÃ© de montaÃ±a)</t>
  </si>
  <si>
    <t>paiute du sud</t>
  </si>
  <si>
    <t>payutÃ© meridional</t>
  </si>
  <si>
    <t>O'odham (Akimel)</t>
  </si>
  <si>
    <t>o'odham (Akimel)</t>
  </si>
  <si>
    <t>papago (Akimel)</t>
  </si>
  <si>
    <t>Micmac (Massachusetts)</t>
  </si>
  <si>
    <t>micmac (Massachusetts)</t>
  </si>
  <si>
    <t>micmac (Massachussets)</t>
  </si>
  <si>
    <t>Kickapoo (Oklahoma)</t>
  </si>
  <si>
    <t>kickapoo (Oklahoma)</t>
  </si>
  <si>
    <t>quicapÃº (Oklahoma)</t>
  </si>
  <si>
    <t>Kickapoo (Texas)</t>
  </si>
  <si>
    <t>kickapoo (Texas)</t>
  </si>
  <si>
    <t>quicapÃº (Texas)</t>
  </si>
  <si>
    <t>Potawatomi (Kansas)</t>
  </si>
  <si>
    <t>potawatomi (Kansas)</t>
  </si>
  <si>
    <t>potahuatomÃ­ (Kansas)</t>
  </si>
  <si>
    <t>Potawatomi (Wisconsin)</t>
  </si>
  <si>
    <t>potawatomi (Wisconsin)</t>
  </si>
  <si>
    <t>potahuatomÃ­ (Wisconsin)</t>
  </si>
  <si>
    <t>Potawatomi (Oklahoma)</t>
  </si>
  <si>
    <t>potawatomi (Oklahoma)</t>
  </si>
  <si>
    <t>potahuatomÃ­ (Oklahoma)</t>
  </si>
  <si>
    <t>Ottawa (Michigan)</t>
  </si>
  <si>
    <t>ottawa (Michigan)</t>
  </si>
  <si>
    <t>oyibua odahua (MÃ­chigan)</t>
  </si>
  <si>
    <t>tunica</t>
  </si>
  <si>
    <t>Oneida (New York)</t>
  </si>
  <si>
    <t>oneida (New York)</t>
  </si>
  <si>
    <t>oneida (Nueva York)</t>
  </si>
  <si>
    <t>Cherokee (North Carolina)</t>
  </si>
  <si>
    <t>cherokee (Caroline du Nord)</t>
  </si>
  <si>
    <t>cheroki (Carolina del Norte)</t>
  </si>
  <si>
    <t>Huron-Wyandot (United States of America)</t>
  </si>
  <si>
    <t>wyandotte (Ã‰tats-Unis d'AmÃ©rique)</t>
  </si>
  <si>
    <t>huron (Estados Unidos)</t>
  </si>
  <si>
    <t>Southern Tiwa (Sandia Pueblo)</t>
  </si>
  <si>
    <t>tiwa mÃ©ridional (Pueblo Sandia)</t>
  </si>
  <si>
    <t>tiwa meridional (SandÃ­a)</t>
  </si>
  <si>
    <t>Southern Tiwa (Isleta Pueblo)</t>
  </si>
  <si>
    <t>tiwa mÃ©ridional (Pueblo Isleta)</t>
  </si>
  <si>
    <t>tiwa meridional (Isleta)</t>
  </si>
  <si>
    <t>Tewa (Arizona)</t>
  </si>
  <si>
    <t>tewa (Arizona)</t>
  </si>
  <si>
    <t>tehua (Arizona)</t>
  </si>
  <si>
    <t>Choctaw (Louisiana)</t>
  </si>
  <si>
    <t>choctaw (Louisiane)</t>
  </si>
  <si>
    <t>chocta (Luisiana)</t>
  </si>
  <si>
    <t>Choctaw (Oklahoma)</t>
  </si>
  <si>
    <t>choctaw (Oklahoma)</t>
  </si>
  <si>
    <t>chocta (Oklahoma)</t>
  </si>
  <si>
    <t>mikasuki</t>
  </si>
  <si>
    <t>Koasati (Texas)</t>
  </si>
  <si>
    <t>koasati (Texas)</t>
  </si>
  <si>
    <t>Assiniboine (United States of America)</t>
  </si>
  <si>
    <t>assiniboine (Ã‰tats-Unis d'AmÃ©rique)</t>
  </si>
  <si>
    <t>asinibÃ³in (Estados Unidos)</t>
  </si>
  <si>
    <t>kansa</t>
  </si>
  <si>
    <t>quapaw</t>
  </si>
  <si>
    <t>Winnebago (Wisconsin)</t>
  </si>
  <si>
    <t>winnebago (Wisconsin)</t>
  </si>
  <si>
    <t>sal</t>
  </si>
  <si>
    <t>salish straits du nord</t>
  </si>
  <si>
    <t>straits salish septentrional</t>
  </si>
  <si>
    <t>boukharique</t>
  </si>
  <si>
    <t>bukÃ¡rico</t>
  </si>
  <si>
    <t>Uzbekistan</t>
  </si>
  <si>
    <t>UZB</t>
  </si>
  <si>
    <t>parya</t>
  </si>
  <si>
    <t>Uzbekistan, Tajikistan, Afghanistan</t>
  </si>
  <si>
    <t>UZB, TJK, AFG</t>
  </si>
  <si>
    <t>abh, auz</t>
  </si>
  <si>
    <t>arabe d'Asie centrale</t>
  </si>
  <si>
    <t>Ã¡rabe asiÃ¡tico central</t>
  </si>
  <si>
    <t>Hodi</t>
  </si>
  <si>
    <t>hodi</t>
  </si>
  <si>
    <t>yuwana</t>
  </si>
  <si>
    <t>Venezuela (Bolivarian Republic of)</t>
  </si>
  <si>
    <t>VEN</t>
  </si>
  <si>
    <t>mako</t>
  </si>
  <si>
    <t>Pume</t>
  </si>
  <si>
    <t>yaruro</t>
  </si>
  <si>
    <t>sape-kaliana</t>
  </si>
  <si>
    <t>sapÃ©</t>
  </si>
  <si>
    <t>awakÃ©-uruak</t>
  </si>
  <si>
    <t>arutanÃ­</t>
  </si>
  <si>
    <t>wanai</t>
  </si>
  <si>
    <t>mapoyo</t>
  </si>
  <si>
    <t>Warekena (Venezuela)</t>
  </si>
  <si>
    <t>warekana (RÃ©publique bolivarienne du Venezuela)</t>
  </si>
  <si>
    <t>guarequena (Venezuela)</t>
  </si>
  <si>
    <t>yawarana</t>
  </si>
  <si>
    <t>yabarana</t>
  </si>
  <si>
    <t>Nheengatu / Yeral (Venezuela)</t>
  </si>
  <si>
    <t>nheengatÃº / Yeral (RÃ©publique bolivarienne du Venezuela)</t>
  </si>
  <si>
    <t>nheengatÃº (Venezuela)</t>
  </si>
  <si>
    <t>yup, jru</t>
  </si>
  <si>
    <t>yukpa</t>
  </si>
  <si>
    <t>baniva</t>
  </si>
  <si>
    <t>Kari'Ã±a (Venezuela)</t>
  </si>
  <si>
    <t>galibi (RÃ©publique bolivarienne du Venezuela)</t>
  </si>
  <si>
    <t>galibi (Venezuela)</t>
  </si>
  <si>
    <t>AÃ±u</t>
  </si>
  <si>
    <t>anun</t>
  </si>
  <si>
    <t>paraujano</t>
  </si>
  <si>
    <t>BarÃ© (Venezuela)</t>
  </si>
  <si>
    <t>barÃ© (RÃ©publique bolivarienne du Venezuela)</t>
  </si>
  <si>
    <t>barÃ© (Venezuela)</t>
  </si>
  <si>
    <t>Piaroa (Venezuela)</t>
  </si>
  <si>
    <t>piaroa (RÃ©publique bolivarienne du Venezuela)</t>
  </si>
  <si>
    <t>piaroa (Venezuela)</t>
  </si>
  <si>
    <t>pÃ©mono</t>
  </si>
  <si>
    <t>panare</t>
  </si>
  <si>
    <t>Sanema (Venezuela)</t>
  </si>
  <si>
    <t>sanema (RÃ©publique bolivarienne du Venezuela)</t>
  </si>
  <si>
    <t>sanemÃ¡ (Venezuela)</t>
  </si>
  <si>
    <t>Ninam (Venezuela)</t>
  </si>
  <si>
    <t>ninam (RÃ©publique bolivarienne du Venezuela)</t>
  </si>
  <si>
    <t>ninam (Venezuela)</t>
  </si>
  <si>
    <t>Yecuana (Venezuela)</t>
  </si>
  <si>
    <t>yecuana (RÃ©publique bolivarienne du Venezuela)</t>
  </si>
  <si>
    <t>ye'cuana (Venezuela)</t>
  </si>
  <si>
    <t>Yanomami (Venezuela)</t>
  </si>
  <si>
    <t>yanomami (RÃ©publique bolivarienne du Venezuela)</t>
  </si>
  <si>
    <t>yanomamÃ¶ (Venezuela)</t>
  </si>
  <si>
    <t>Green Gelao (Viet Nam)</t>
  </si>
  <si>
    <t>gelao vert (Viet Nam)</t>
  </si>
  <si>
    <t>gelao (Vietnam)</t>
  </si>
  <si>
    <t>Viet Nam</t>
  </si>
  <si>
    <t>VNM</t>
  </si>
  <si>
    <t>Iduh (Viet Nam)</t>
  </si>
  <si>
    <t>iduh (Viet Nam)</t>
  </si>
  <si>
    <t>odu (Vitenam)</t>
  </si>
  <si>
    <t>lachi</t>
  </si>
  <si>
    <t>lati</t>
  </si>
  <si>
    <t>Laha (Lao Cai)</t>
  </si>
  <si>
    <t>laha (LÃ o Cai)</t>
  </si>
  <si>
    <t>laha (Lao Cai)</t>
  </si>
  <si>
    <t>Mang (Viet Nam)</t>
  </si>
  <si>
    <t>mang (Viet Nam)</t>
  </si>
  <si>
    <t>mang (Vietnam)</t>
  </si>
  <si>
    <t>Khang Quang Lam</t>
  </si>
  <si>
    <t>khang quang lam</t>
  </si>
  <si>
    <t>jang</t>
  </si>
  <si>
    <t>Laha (Son La)</t>
  </si>
  <si>
    <t>laha (Son La)</t>
  </si>
  <si>
    <t>Eastern Cham</t>
  </si>
  <si>
    <t>cham de l'est</t>
  </si>
  <si>
    <t>chamo oriental</t>
  </si>
  <si>
    <t>Red Gelao (Viet Nam)</t>
  </si>
  <si>
    <t>gelao rouge (Viet Nam)</t>
  </si>
  <si>
    <t>gelao rojo (Vietnam)</t>
  </si>
  <si>
    <t>White Gelao (Viet Nam)</t>
  </si>
  <si>
    <t>gelao blanc (Viet Nam)</t>
  </si>
  <si>
    <t>gelao blanco (Vietnam)</t>
  </si>
  <si>
    <t>chru</t>
  </si>
  <si>
    <t>cru</t>
  </si>
  <si>
    <t>cÃ´ng</t>
  </si>
  <si>
    <t>cung</t>
  </si>
  <si>
    <t>Cosung (Viet Nam)</t>
  </si>
  <si>
    <t>cosung (kucong)</t>
  </si>
  <si>
    <t>cosung (Vietnam)</t>
  </si>
  <si>
    <t>laghuu</t>
  </si>
  <si>
    <t>laopÃ¡n</t>
  </si>
  <si>
    <t>Mo'ang (Viet Nam)</t>
  </si>
  <si>
    <t>moâ€™ang (Viet Nam)</t>
  </si>
  <si>
    <t>moang (Vietnam)</t>
  </si>
  <si>
    <t>Phula (Viet Nam)</t>
  </si>
  <si>
    <t>phula (Viet Nam)</t>
  </si>
  <si>
    <t>pula (Vietnam)</t>
  </si>
  <si>
    <t>chrau</t>
  </si>
  <si>
    <t>Nguon</t>
  </si>
  <si>
    <t>nguon</t>
  </si>
  <si>
    <t>nguÃ´n</t>
  </si>
  <si>
    <t>Baheng (Viet Nam)</t>
  </si>
  <si>
    <t>baheng (Viet Nam)</t>
  </si>
  <si>
    <t>baheng (Vietnam)</t>
  </si>
  <si>
    <t>nung ven</t>
  </si>
  <si>
    <t>bieria</t>
  </si>
  <si>
    <t>Vanuatu</t>
  </si>
  <si>
    <t>VUT</t>
  </si>
  <si>
    <t>aore</t>
  </si>
  <si>
    <t>Aveteian</t>
  </si>
  <si>
    <t>aveteian</t>
  </si>
  <si>
    <t>Bangsa</t>
  </si>
  <si>
    <t>bangsa</t>
  </si>
  <si>
    <t>Matanvat</t>
  </si>
  <si>
    <t>matanvat</t>
  </si>
  <si>
    <t>mores</t>
  </si>
  <si>
    <t>morÃ©s</t>
  </si>
  <si>
    <t>naman</t>
  </si>
  <si>
    <t>nasarian</t>
  </si>
  <si>
    <t>nasariano</t>
  </si>
  <si>
    <t>Naati</t>
  </si>
  <si>
    <t>naati</t>
  </si>
  <si>
    <t>Navwien</t>
  </si>
  <si>
    <t>navwien</t>
  </si>
  <si>
    <t>nivat</t>
  </si>
  <si>
    <t>Niviar</t>
  </si>
  <si>
    <t>niviar</t>
  </si>
  <si>
    <t>Sorsorian</t>
  </si>
  <si>
    <t>sorsorian</t>
  </si>
  <si>
    <t>Umbrul</t>
  </si>
  <si>
    <t>sowa</t>
  </si>
  <si>
    <t>lehali</t>
  </si>
  <si>
    <t>lÃ¶yÃ¶p</t>
  </si>
  <si>
    <t>volow</t>
  </si>
  <si>
    <t>vlr</t>
  </si>
  <si>
    <t>lemerig</t>
  </si>
  <si>
    <t>Vera'a</t>
  </si>
  <si>
    <t>vera'a</t>
  </si>
  <si>
    <t>vatrata</t>
  </si>
  <si>
    <t>mwesen</t>
  </si>
  <si>
    <t>mosina</t>
  </si>
  <si>
    <t>dorig</t>
  </si>
  <si>
    <t>wetamut</t>
  </si>
  <si>
    <t>olrat</t>
  </si>
  <si>
    <t>lakon</t>
  </si>
  <si>
    <t>lakona</t>
  </si>
  <si>
    <t>araki</t>
  </si>
  <si>
    <t>amblong</t>
  </si>
  <si>
    <t>baki</t>
  </si>
  <si>
    <t>bierebo</t>
  </si>
  <si>
    <t>emae</t>
  </si>
  <si>
    <t>ifo</t>
  </si>
  <si>
    <t>labo</t>
  </si>
  <si>
    <t>lorediakarkar</t>
  </si>
  <si>
    <t>mafea</t>
  </si>
  <si>
    <t>malmariv</t>
  </si>
  <si>
    <t>maragus</t>
  </si>
  <si>
    <t>Nisvai</t>
  </si>
  <si>
    <t>nisvai</t>
  </si>
  <si>
    <t>Polonomombauk</t>
  </si>
  <si>
    <t>polonombauk</t>
  </si>
  <si>
    <t>repanbitip</t>
  </si>
  <si>
    <t>shark Bay</t>
  </si>
  <si>
    <t>lengua de la BahÃ­a del TiburÃ³n</t>
  </si>
  <si>
    <t>tambotalo</t>
  </si>
  <si>
    <t>tolomako</t>
  </si>
  <si>
    <t>tutuba</t>
  </si>
  <si>
    <t>soqotri</t>
  </si>
  <si>
    <t>soqotrÃ­</t>
  </si>
  <si>
    <t>Yemen</t>
  </si>
  <si>
    <t>YEM</t>
  </si>
  <si>
    <t>Razihi</t>
  </si>
  <si>
    <t>razihi</t>
  </si>
  <si>
    <t>Çxegwi</t>
  </si>
  <si>
    <t>South Africa</t>
  </si>
  <si>
    <t>ZAF</t>
  </si>
  <si>
    <t>|'Auni</t>
  </si>
  <si>
    <t>|'auni</t>
  </si>
  <si>
    <t>N|uu</t>
  </si>
  <si>
    <t>n|uu</t>
  </si>
  <si>
    <t>engukÃ­</t>
  </si>
  <si>
    <t>korana</t>
  </si>
  <si>
    <t>Cape Khoekhoe</t>
  </si>
  <si>
    <t>khoekhoe du Cap</t>
  </si>
  <si>
    <t>nama</t>
  </si>
  <si>
    <t>|Xam</t>
  </si>
  <si>
    <t>|xam</t>
  </si>
  <si>
    <t>xiri</t>
  </si>
  <si>
    <t>ziri</t>
  </si>
  <si>
    <t>ÇKu Ç'e</t>
  </si>
  <si>
    <t>Çku Ç'e</t>
  </si>
  <si>
    <t>ÇkuÇe</t>
  </si>
  <si>
    <t>!gan!ne</t>
  </si>
  <si>
    <t>ÇKx'au</t>
  </si>
  <si>
    <t>Çkx'au</t>
  </si>
  <si>
    <t>ngbinda</t>
  </si>
  <si>
    <t>Democratic Republic of the Congo</t>
  </si>
  <si>
    <t>ZAI</t>
  </si>
  <si>
    <t>Li-Ngbee</t>
  </si>
  <si>
    <t>ngbee</t>
  </si>
  <si>
    <t>kari</t>
  </si>
  <si>
    <t>carÃ­</t>
  </si>
  <si>
    <t>beeke</t>
  </si>
  <si>
    <t>boguru</t>
  </si>
  <si>
    <t>Democratic Republic of the Congo, Sudan</t>
  </si>
  <si>
    <t>ZAI, SDN</t>
  </si>
  <si>
    <t>required IF" dependency</t>
  </si>
  <si>
    <t>Example response</t>
  </si>
  <si>
    <t>Logical model tracking
(done, pending, changed)</t>
  </si>
  <si>
    <t>Logical model changes</t>
  </si>
  <si>
    <t>Logical model comments</t>
  </si>
  <si>
    <t>Cardinality change GC</t>
  </si>
  <si>
    <t>Required by</t>
  </si>
  <si>
    <t>NSL/NRC requirement</t>
  </si>
  <si>
    <t>Recommended by</t>
  </si>
  <si>
    <t>Nom de domaine</t>
  </si>
  <si>
    <t>Verification 1
agree/disagree (initials)</t>
  </si>
  <si>
    <t>Verification 2
agree/disagree (initials)</t>
  </si>
  <si>
    <t>Verification 3
agree/disagree (initials)</t>
  </si>
  <si>
    <t>Verification comments 1</t>
  </si>
  <si>
    <t>Verification comments 2</t>
  </si>
  <si>
    <t>Verification comments 3</t>
  </si>
  <si>
    <r>
      <rPr>
        <b/>
        <sz val="9"/>
        <color rgb="FF000000"/>
        <rFont val="Calibri"/>
      </rPr>
      <t>Section Description</t>
    </r>
    <r>
      <rPr>
        <b/>
        <sz val="9"/>
        <color rgb="FF000000"/>
        <rFont val="Calibri"/>
      </rPr>
      <t xml:space="preserve">
</t>
    </r>
    <r>
      <rPr>
        <b/>
        <sz val="9"/>
        <color rgb="FF1155CC"/>
        <rFont val="Calibri"/>
      </rPr>
      <t>RDA common maDMP standard</t>
    </r>
  </si>
  <si>
    <r>
      <rPr>
        <b/>
        <sz val="9"/>
        <color rgb="FF000000"/>
        <rFont val="Calibri"/>
      </rPr>
      <t>Common standard fieldname
(click on hyperlinks for RDA core maDMP field descriptions)
(</t>
    </r>
    <r>
      <rPr>
        <b/>
        <sz val="12"/>
        <color rgb="FFFF0000"/>
        <rFont val="Calibri"/>
      </rPr>
      <t>see GC maDMP structure</t>
    </r>
    <r>
      <rPr>
        <b/>
        <sz val="12"/>
        <color rgb="FF000000"/>
        <rFont val="Calibri"/>
      </rPr>
      <t>,</t>
    </r>
    <r>
      <rPr>
        <b/>
        <sz val="12"/>
        <color rgb="FF000000"/>
        <rFont val="Calibri"/>
      </rPr>
      <t xml:space="preserve"> </t>
    </r>
    <r>
      <rPr>
        <b/>
        <u/>
        <sz val="12"/>
        <color rgb="FF1155CC"/>
        <rFont val="Calibri"/>
      </rPr>
      <t>here</t>
    </r>
    <r>
      <rPr>
        <b/>
        <sz val="9"/>
        <color rgb="FF000000"/>
        <rFont val="Calibri"/>
      </rPr>
      <t>)</t>
    </r>
  </si>
  <si>
    <r>
      <rPr>
        <b/>
        <sz val="9"/>
        <color rgb="FF000000"/>
        <rFont val="Calibri"/>
      </rPr>
      <t>Section Description</t>
    </r>
    <r>
      <rPr>
        <b/>
        <sz val="9"/>
        <color rgb="FF000000"/>
        <rFont val="Calibri"/>
      </rPr>
      <t xml:space="preserve">
</t>
    </r>
    <r>
      <rPr>
        <b/>
        <sz val="9"/>
        <color rgb="FF1155CC"/>
        <rFont val="Calibri"/>
      </rPr>
      <t>RDA common maDMP standard</t>
    </r>
  </si>
  <si>
    <r>
      <rPr>
        <b/>
        <sz val="9"/>
        <color rgb="FF000000"/>
        <rFont val="Calibri"/>
      </rPr>
      <t>Common standard fieldname
(click on hyperlinks for RDA core maDMP field descriptions)
(</t>
    </r>
    <r>
      <rPr>
        <b/>
        <sz val="12"/>
        <color rgb="FFFF0000"/>
        <rFont val="Calibri"/>
      </rPr>
      <t>see GC maDMP structure</t>
    </r>
    <r>
      <rPr>
        <b/>
        <sz val="12"/>
        <color rgb="FF000000"/>
        <rFont val="Calibri"/>
      </rPr>
      <t>,</t>
    </r>
    <r>
      <rPr>
        <b/>
        <sz val="12"/>
        <color rgb="FF000000"/>
        <rFont val="Calibri"/>
      </rPr>
      <t xml:space="preserve"> </t>
    </r>
    <r>
      <rPr>
        <b/>
        <u/>
        <sz val="12"/>
        <color rgb="FF1155CC"/>
        <rFont val="Calibri"/>
      </rPr>
      <t>here</t>
    </r>
    <r>
      <rPr>
        <b/>
        <sz val="9"/>
        <color rgb="FF000000"/>
        <rFont val="Calibri"/>
      </rPr>
      <t>)</t>
    </r>
  </si>
  <si>
    <r>
      <rPr>
        <b/>
        <sz val="9"/>
        <color rgb="FF000000"/>
        <rFont val="Calibri"/>
      </rPr>
      <t>Section Description</t>
    </r>
    <r>
      <rPr>
        <b/>
        <sz val="9"/>
        <color rgb="FF000000"/>
        <rFont val="Calibri"/>
      </rPr>
      <t xml:space="preserve">
</t>
    </r>
    <r>
      <rPr>
        <b/>
        <sz val="9"/>
        <color rgb="FF1155CC"/>
        <rFont val="Calibri"/>
      </rPr>
      <t>RDA common maDMP standard</t>
    </r>
  </si>
  <si>
    <r>
      <rPr>
        <b/>
        <sz val="9"/>
        <color rgb="FF000000"/>
        <rFont val="Calibri"/>
      </rPr>
      <t>Common standard fieldname
(click on hyperlinks for RDA core maDMP field descriptions)
(</t>
    </r>
    <r>
      <rPr>
        <b/>
        <sz val="12"/>
        <color rgb="FFFF0000"/>
        <rFont val="Calibri"/>
      </rPr>
      <t>see GC maDMP structure</t>
    </r>
    <r>
      <rPr>
        <b/>
        <sz val="12"/>
        <color rgb="FF000000"/>
        <rFont val="Calibri"/>
      </rPr>
      <t>,</t>
    </r>
    <r>
      <rPr>
        <b/>
        <sz val="12"/>
        <color rgb="FF000000"/>
        <rFont val="Calibri"/>
      </rPr>
      <t xml:space="preserve"> </t>
    </r>
    <r>
      <rPr>
        <b/>
        <u/>
        <sz val="12"/>
        <color rgb="FF1155CC"/>
        <rFont val="Calibri"/>
      </rPr>
      <t>here</t>
    </r>
    <r>
      <rPr>
        <b/>
        <sz val="9"/>
        <color rgb="FF000000"/>
        <rFont val="Calibri"/>
      </rPr>
      <t>)</t>
    </r>
  </si>
  <si>
    <r>
      <rPr>
        <b/>
        <sz val="9"/>
        <color rgb="FF000000"/>
        <rFont val="Calibri"/>
      </rPr>
      <t>Section Description</t>
    </r>
    <r>
      <rPr>
        <b/>
        <sz val="9"/>
        <color rgb="FF000000"/>
        <rFont val="Calibri"/>
      </rPr>
      <t xml:space="preserve">
</t>
    </r>
    <r>
      <rPr>
        <b/>
        <sz val="9"/>
        <color rgb="FF1155CC"/>
        <rFont val="Calibri"/>
      </rPr>
      <t>RDA common maDMP standard</t>
    </r>
  </si>
  <si>
    <r>
      <rPr>
        <b/>
        <sz val="9"/>
        <color rgb="FF000000"/>
        <rFont val="Calibri"/>
      </rPr>
      <t>Common standard fieldname
(click on hyperlinks for RDA core maDMP field descriptions)
(</t>
    </r>
    <r>
      <rPr>
        <b/>
        <sz val="12"/>
        <color rgb="FFFF0000"/>
        <rFont val="Calibri"/>
      </rPr>
      <t>see GC maDMP structure</t>
    </r>
    <r>
      <rPr>
        <b/>
        <sz val="12"/>
        <color rgb="FF000000"/>
        <rFont val="Calibri"/>
      </rPr>
      <t>,</t>
    </r>
    <r>
      <rPr>
        <b/>
        <sz val="12"/>
        <color rgb="FF000000"/>
        <rFont val="Calibri"/>
      </rPr>
      <t xml:space="preserve"> </t>
    </r>
    <r>
      <rPr>
        <b/>
        <u/>
        <sz val="12"/>
        <color rgb="FF1155CC"/>
        <rFont val="Calibri"/>
      </rPr>
      <t>here</t>
    </r>
    <r>
      <rPr>
        <b/>
        <sz val="9"/>
        <color rgb="FF000000"/>
        <rFont val="Calibri"/>
      </rPr>
      <t>)</t>
    </r>
  </si>
  <si>
    <r>
      <rPr>
        <b/>
        <sz val="9"/>
        <color rgb="FF000000"/>
        <rFont val="Calibri"/>
      </rPr>
      <t>Section Description</t>
    </r>
    <r>
      <rPr>
        <b/>
        <sz val="9"/>
        <color rgb="FF000000"/>
        <rFont val="Calibri"/>
      </rPr>
      <t xml:space="preserve">
</t>
    </r>
    <r>
      <rPr>
        <b/>
        <sz val="9"/>
        <color rgb="FF1155CC"/>
        <rFont val="Calibri"/>
      </rPr>
      <t>RDA common maDMP standard</t>
    </r>
  </si>
  <si>
    <r>
      <rPr>
        <b/>
        <sz val="9"/>
        <color rgb="FF000000"/>
        <rFont val="Calibri"/>
      </rPr>
      <t>Common standard fieldname
(click on hyperlinks for RDA core maDMP field descriptions)
(</t>
    </r>
    <r>
      <rPr>
        <b/>
        <sz val="12"/>
        <color rgb="FFFF0000"/>
        <rFont val="Calibri"/>
      </rPr>
      <t>see GC maDMP structure</t>
    </r>
    <r>
      <rPr>
        <b/>
        <sz val="12"/>
        <color rgb="FF000000"/>
        <rFont val="Calibri"/>
      </rPr>
      <t>,</t>
    </r>
    <r>
      <rPr>
        <b/>
        <sz val="12"/>
        <color rgb="FF000000"/>
        <rFont val="Calibri"/>
      </rPr>
      <t xml:space="preserve"> </t>
    </r>
    <r>
      <rPr>
        <b/>
        <u/>
        <sz val="12"/>
        <color rgb="FF1155CC"/>
        <rFont val="Calibri"/>
      </rPr>
      <t>here</t>
    </r>
    <r>
      <rPr>
        <b/>
        <sz val="9"/>
        <color rgb="FF000000"/>
        <rFont val="Calibri"/>
      </rPr>
      <t>)</t>
    </r>
  </si>
  <si>
    <r>
      <rPr>
        <b/>
        <sz val="9"/>
        <color rgb="FF000000"/>
        <rFont val="Calibri"/>
      </rPr>
      <t>Section Description</t>
    </r>
    <r>
      <rPr>
        <b/>
        <sz val="9"/>
        <color rgb="FF000000"/>
        <rFont val="Calibri"/>
      </rPr>
      <t xml:space="preserve">
</t>
    </r>
    <r>
      <rPr>
        <b/>
        <sz val="9"/>
        <color rgb="FF1155CC"/>
        <rFont val="Calibri"/>
      </rPr>
      <t>RDA common maDMP standard</t>
    </r>
  </si>
  <si>
    <r>
      <rPr>
        <b/>
        <sz val="9"/>
        <color rgb="FF000000"/>
        <rFont val="Calibri"/>
      </rPr>
      <t>Common standard fieldname
(click on hyperlinks for RDA core maDMP field descriptions)
(</t>
    </r>
    <r>
      <rPr>
        <b/>
        <sz val="12"/>
        <color rgb="FFFF0000"/>
        <rFont val="Calibri"/>
      </rPr>
      <t>see GC maDMP structure</t>
    </r>
    <r>
      <rPr>
        <b/>
        <sz val="12"/>
        <color rgb="FF000000"/>
        <rFont val="Calibri"/>
      </rPr>
      <t>,</t>
    </r>
    <r>
      <rPr>
        <b/>
        <sz val="12"/>
        <color rgb="FF000000"/>
        <rFont val="Calibri"/>
      </rPr>
      <t xml:space="preserve"> </t>
    </r>
    <r>
      <rPr>
        <b/>
        <u/>
        <sz val="12"/>
        <color rgb="FF1155CC"/>
        <rFont val="Calibri"/>
      </rPr>
      <t>here</t>
    </r>
    <r>
      <rPr>
        <b/>
        <sz val="9"/>
        <color rgb="FF000000"/>
        <rFont val="Calibri"/>
      </rPr>
      <t>)</t>
    </r>
  </si>
  <si>
    <r>
      <rPr>
        <b/>
        <sz val="9"/>
        <color rgb="FF000000"/>
        <rFont val="Calibri"/>
      </rPr>
      <t>Section Description</t>
    </r>
    <r>
      <rPr>
        <b/>
        <sz val="9"/>
        <color rgb="FF000000"/>
        <rFont val="Calibri"/>
      </rPr>
      <t xml:space="preserve">
</t>
    </r>
    <r>
      <rPr>
        <b/>
        <sz val="9"/>
        <color rgb="FF1155CC"/>
        <rFont val="Calibri"/>
      </rPr>
      <t>RDA common maDMP standard</t>
    </r>
  </si>
  <si>
    <r>
      <rPr>
        <b/>
        <sz val="9"/>
        <color rgb="FF000000"/>
        <rFont val="Calibri"/>
      </rPr>
      <t>Common standard fieldname
(click on hyperlinks for RDA core maDMP field descriptions)
(</t>
    </r>
    <r>
      <rPr>
        <b/>
        <sz val="12"/>
        <color rgb="FFFF0000"/>
        <rFont val="Calibri"/>
      </rPr>
      <t>see GC maDMP structure</t>
    </r>
    <r>
      <rPr>
        <b/>
        <sz val="12"/>
        <color rgb="FF000000"/>
        <rFont val="Calibri"/>
      </rPr>
      <t>,</t>
    </r>
    <r>
      <rPr>
        <b/>
        <sz val="12"/>
        <color rgb="FF000000"/>
        <rFont val="Calibri"/>
      </rPr>
      <t xml:space="preserve"> </t>
    </r>
    <r>
      <rPr>
        <b/>
        <u/>
        <sz val="12"/>
        <color rgb="FF1155CC"/>
        <rFont val="Calibri"/>
      </rPr>
      <t>here</t>
    </r>
    <r>
      <rPr>
        <b/>
        <sz val="9"/>
        <color rgb="FF000000"/>
        <rFont val="Calibri"/>
      </rPr>
      <t>)</t>
    </r>
  </si>
  <si>
    <r>
      <rPr>
        <b/>
        <sz val="9"/>
        <color rgb="FF000000"/>
        <rFont val="Calibri"/>
      </rPr>
      <t>Section Description</t>
    </r>
    <r>
      <rPr>
        <b/>
        <sz val="9"/>
        <color rgb="FF000000"/>
        <rFont val="Calibri"/>
      </rPr>
      <t xml:space="preserve">
</t>
    </r>
    <r>
      <rPr>
        <b/>
        <sz val="9"/>
        <color rgb="FF1155CC"/>
        <rFont val="Calibri"/>
      </rPr>
      <t>RDA common maDMP standard</t>
    </r>
  </si>
  <si>
    <r>
      <rPr>
        <b/>
        <sz val="9"/>
        <color rgb="FF000000"/>
        <rFont val="Calibri"/>
      </rPr>
      <t>Common standard fieldname
(click on hyperlinks for RDA core maDMP field descriptions)
(</t>
    </r>
    <r>
      <rPr>
        <b/>
        <sz val="12"/>
        <color rgb="FFFF0000"/>
        <rFont val="Calibri"/>
      </rPr>
      <t>see GC maDMP structure</t>
    </r>
    <r>
      <rPr>
        <b/>
        <sz val="12"/>
        <color rgb="FF000000"/>
        <rFont val="Calibri"/>
      </rPr>
      <t>,</t>
    </r>
    <r>
      <rPr>
        <b/>
        <sz val="12"/>
        <color rgb="FF000000"/>
        <rFont val="Calibri"/>
      </rPr>
      <t xml:space="preserve"> </t>
    </r>
    <r>
      <rPr>
        <b/>
        <u/>
        <sz val="12"/>
        <color rgb="FF1155CC"/>
        <rFont val="Calibri"/>
      </rPr>
      <t>here</t>
    </r>
    <r>
      <rPr>
        <b/>
        <sz val="9"/>
        <color rgb="FF000000"/>
        <rFont val="Calibri"/>
      </rPr>
      <t>)</t>
    </r>
  </si>
  <si>
    <r>
      <rPr>
        <b/>
        <sz val="9"/>
        <color rgb="FF000000"/>
        <rFont val="Calibri"/>
      </rPr>
      <t>Section Description</t>
    </r>
    <r>
      <rPr>
        <b/>
        <sz val="9"/>
        <color rgb="FF000000"/>
        <rFont val="Calibri"/>
      </rPr>
      <t xml:space="preserve">
</t>
    </r>
    <r>
      <rPr>
        <b/>
        <sz val="9"/>
        <color rgb="FF1155CC"/>
        <rFont val="Calibri"/>
      </rPr>
      <t>RDA common maDMP standard</t>
    </r>
  </si>
  <si>
    <r>
      <rPr>
        <b/>
        <sz val="9"/>
        <color rgb="FF000000"/>
        <rFont val="Calibri"/>
      </rPr>
      <t>Common standard fieldname
(click on hyperlinks for RDA core maDMP field descriptions)
(</t>
    </r>
    <r>
      <rPr>
        <b/>
        <sz val="12"/>
        <color rgb="FFFF0000"/>
        <rFont val="Calibri"/>
      </rPr>
      <t>see GC maDMP structure</t>
    </r>
    <r>
      <rPr>
        <b/>
        <sz val="12"/>
        <color rgb="FF000000"/>
        <rFont val="Calibri"/>
      </rPr>
      <t>,</t>
    </r>
    <r>
      <rPr>
        <b/>
        <sz val="12"/>
        <color rgb="FF000000"/>
        <rFont val="Calibri"/>
      </rPr>
      <t xml:space="preserve"> </t>
    </r>
    <r>
      <rPr>
        <b/>
        <u/>
        <sz val="12"/>
        <color rgb="FF1155CC"/>
        <rFont val="Calibri"/>
      </rPr>
      <t>here</t>
    </r>
    <r>
      <rPr>
        <b/>
        <sz val="9"/>
        <color rgb="FF000000"/>
        <rFont val="Calibri"/>
      </rPr>
      <t>)</t>
    </r>
  </si>
  <si>
    <r>
      <rPr>
        <b/>
        <sz val="9"/>
        <color rgb="FF000000"/>
        <rFont val="Calibri"/>
      </rPr>
      <t>Section Description</t>
    </r>
    <r>
      <rPr>
        <b/>
        <sz val="9"/>
        <color rgb="FF000000"/>
        <rFont val="Calibri"/>
      </rPr>
      <t xml:space="preserve">
</t>
    </r>
    <r>
      <rPr>
        <b/>
        <sz val="9"/>
        <color rgb="FF1155CC"/>
        <rFont val="Calibri"/>
      </rPr>
      <t>RDA common maDMP standard</t>
    </r>
  </si>
  <si>
    <r>
      <rPr>
        <b/>
        <sz val="9"/>
        <color rgb="FF000000"/>
        <rFont val="Calibri"/>
      </rPr>
      <t>Common standard fieldname
(click on hyperlinks for RDA core maDMP field descriptions)
(</t>
    </r>
    <r>
      <rPr>
        <b/>
        <sz val="12"/>
        <color rgb="FFFF0000"/>
        <rFont val="Calibri"/>
      </rPr>
      <t>see GC maDMP structure</t>
    </r>
    <r>
      <rPr>
        <b/>
        <sz val="12"/>
        <color rgb="FF000000"/>
        <rFont val="Calibri"/>
      </rPr>
      <t>,</t>
    </r>
    <r>
      <rPr>
        <b/>
        <sz val="12"/>
        <color rgb="FF000000"/>
        <rFont val="Calibri"/>
      </rPr>
      <t xml:space="preserve"> </t>
    </r>
    <r>
      <rPr>
        <b/>
        <u/>
        <sz val="12"/>
        <color rgb="FF1155CC"/>
        <rFont val="Calibri"/>
      </rPr>
      <t>here</t>
    </r>
    <r>
      <rPr>
        <b/>
        <sz val="9"/>
        <color rgb="FF000000"/>
        <rFont val="Calibri"/>
      </rPr>
      <t>)</t>
    </r>
  </si>
  <si>
    <r>
      <rPr>
        <b/>
        <sz val="9"/>
        <color rgb="FF000000"/>
        <rFont val="Calibri"/>
      </rPr>
      <t>Section Description</t>
    </r>
    <r>
      <rPr>
        <b/>
        <sz val="9"/>
        <color rgb="FF000000"/>
        <rFont val="Calibri"/>
      </rPr>
      <t xml:space="preserve">
</t>
    </r>
    <r>
      <rPr>
        <b/>
        <sz val="9"/>
        <color rgb="FF1155CC"/>
        <rFont val="Calibri"/>
      </rPr>
      <t>RDA common maDMP standard</t>
    </r>
  </si>
  <si>
    <r>
      <rPr>
        <b/>
        <sz val="9"/>
        <color rgb="FF000000"/>
        <rFont val="Calibri"/>
      </rPr>
      <t>Common standard fieldname
(click on hyperlinks for RDA core maDMP field descriptions)
(</t>
    </r>
    <r>
      <rPr>
        <b/>
        <sz val="12"/>
        <color rgb="FFFF0000"/>
        <rFont val="Calibri"/>
      </rPr>
      <t>see GC maDMP structure</t>
    </r>
    <r>
      <rPr>
        <b/>
        <sz val="12"/>
        <color rgb="FF000000"/>
        <rFont val="Calibri"/>
      </rPr>
      <t>,</t>
    </r>
    <r>
      <rPr>
        <b/>
        <sz val="12"/>
        <color rgb="FF000000"/>
        <rFont val="Calibri"/>
      </rPr>
      <t xml:space="preserve"> </t>
    </r>
    <r>
      <rPr>
        <b/>
        <u/>
        <sz val="12"/>
        <color rgb="FF1155CC"/>
        <rFont val="Calibri"/>
      </rPr>
      <t>here</t>
    </r>
    <r>
      <rPr>
        <b/>
        <sz val="9"/>
        <color rgb="FF000000"/>
        <rFont val="Calibri"/>
      </rPr>
      <t>)</t>
    </r>
  </si>
  <si>
    <r>
      <rPr>
        <b/>
        <sz val="9"/>
        <color rgb="FF000000"/>
        <rFont val="Calibri"/>
      </rPr>
      <t>Section Description</t>
    </r>
    <r>
      <rPr>
        <b/>
        <sz val="9"/>
        <color rgb="FF000000"/>
        <rFont val="Calibri"/>
      </rPr>
      <t xml:space="preserve">
</t>
    </r>
    <r>
      <rPr>
        <b/>
        <sz val="9"/>
        <color rgb="FF1155CC"/>
        <rFont val="Calibri"/>
      </rPr>
      <t>RDA common maDMP standard</t>
    </r>
  </si>
  <si>
    <r>
      <rPr>
        <b/>
        <sz val="9"/>
        <color rgb="FF000000"/>
        <rFont val="Calibri"/>
      </rPr>
      <t>Common standard fieldname
(click on hyperlinks for RDA core maDMP field descriptions)
(</t>
    </r>
    <r>
      <rPr>
        <b/>
        <sz val="12"/>
        <color rgb="FFFF0000"/>
        <rFont val="Calibri"/>
      </rPr>
      <t>see GC maDMP structure</t>
    </r>
    <r>
      <rPr>
        <b/>
        <sz val="12"/>
        <color rgb="FF000000"/>
        <rFont val="Calibri"/>
      </rPr>
      <t>,</t>
    </r>
    <r>
      <rPr>
        <b/>
        <sz val="12"/>
        <color rgb="FF000000"/>
        <rFont val="Calibri"/>
      </rPr>
      <t xml:space="preserve"> </t>
    </r>
    <r>
      <rPr>
        <b/>
        <u/>
        <sz val="12"/>
        <color rgb="FF1155CC"/>
        <rFont val="Calibri"/>
      </rPr>
      <t>here</t>
    </r>
    <r>
      <rPr>
        <b/>
        <sz val="9"/>
        <color rgb="FF000000"/>
        <rFont val="Calibri"/>
      </rPr>
      <t>)</t>
    </r>
  </si>
  <si>
    <r>
      <rPr>
        <b/>
        <sz val="9"/>
        <color rgb="FF000000"/>
        <rFont val="Calibri"/>
      </rPr>
      <t>Section Description</t>
    </r>
    <r>
      <rPr>
        <b/>
        <sz val="9"/>
        <color rgb="FF000000"/>
        <rFont val="Calibri"/>
      </rPr>
      <t xml:space="preserve">
</t>
    </r>
    <r>
      <rPr>
        <b/>
        <sz val="9"/>
        <color rgb="FF1155CC"/>
        <rFont val="Calibri"/>
      </rPr>
      <t>RDA common maDMP standard</t>
    </r>
  </si>
  <si>
    <r>
      <rPr>
        <b/>
        <sz val="9"/>
        <color rgb="FF000000"/>
        <rFont val="Calibri"/>
      </rPr>
      <t>Common standard fieldname
(click on hyperlinks for RDA core maDMP field descriptions)
(</t>
    </r>
    <r>
      <rPr>
        <b/>
        <sz val="12"/>
        <color rgb="FFFF0000"/>
        <rFont val="Calibri"/>
      </rPr>
      <t>see GC maDMP structure</t>
    </r>
    <r>
      <rPr>
        <b/>
        <sz val="12"/>
        <color rgb="FF000000"/>
        <rFont val="Calibri"/>
      </rPr>
      <t>,</t>
    </r>
    <r>
      <rPr>
        <b/>
        <sz val="12"/>
        <color rgb="FF000000"/>
        <rFont val="Calibri"/>
      </rPr>
      <t xml:space="preserve"> </t>
    </r>
    <r>
      <rPr>
        <b/>
        <u/>
        <sz val="12"/>
        <color rgb="FF1155CC"/>
        <rFont val="Calibri"/>
      </rPr>
      <t>here</t>
    </r>
    <r>
      <rPr>
        <b/>
        <sz val="9"/>
        <color rgb="FF000000"/>
        <rFont val="Calibri"/>
      </rPr>
      <t>)</t>
    </r>
  </si>
  <si>
    <r>
      <rPr>
        <b/>
        <sz val="9"/>
        <color rgb="FF000000"/>
        <rFont val="Calibri"/>
      </rPr>
      <t>Section Description</t>
    </r>
    <r>
      <rPr>
        <b/>
        <sz val="9"/>
        <color rgb="FF000000"/>
        <rFont val="Calibri"/>
      </rPr>
      <t xml:space="preserve">
</t>
    </r>
    <r>
      <rPr>
        <b/>
        <sz val="9"/>
        <color rgb="FF1155CC"/>
        <rFont val="Calibri"/>
      </rPr>
      <t>RDA common maDMP standard</t>
    </r>
  </si>
  <si>
    <r>
      <rPr>
        <b/>
        <sz val="9"/>
        <color rgb="FF000000"/>
        <rFont val="Calibri"/>
      </rPr>
      <t>Common standard fieldname
(click on hyperlinks for RDA core maDMP field descriptions)
(</t>
    </r>
    <r>
      <rPr>
        <b/>
        <sz val="12"/>
        <color rgb="FFFF0000"/>
        <rFont val="Calibri"/>
      </rPr>
      <t>see GC maDMP structure</t>
    </r>
    <r>
      <rPr>
        <b/>
        <sz val="12"/>
        <color rgb="FF000000"/>
        <rFont val="Calibri"/>
      </rPr>
      <t>,</t>
    </r>
    <r>
      <rPr>
        <b/>
        <sz val="12"/>
        <color rgb="FF000000"/>
        <rFont val="Calibri"/>
      </rPr>
      <t xml:space="preserve"> </t>
    </r>
    <r>
      <rPr>
        <b/>
        <u/>
        <sz val="12"/>
        <color rgb="FF1155CC"/>
        <rFont val="Calibri"/>
      </rPr>
      <t>here</t>
    </r>
    <r>
      <rPr>
        <b/>
        <sz val="9"/>
        <color rgb="FF000000"/>
        <rFont val="Calibri"/>
      </rPr>
      <t>)</t>
    </r>
  </si>
  <si>
    <r>
      <rPr>
        <b/>
        <sz val="9"/>
        <color rgb="FF000000"/>
        <rFont val="Calibri"/>
      </rPr>
      <t>Section Description</t>
    </r>
    <r>
      <rPr>
        <b/>
        <sz val="9"/>
        <color rgb="FF000000"/>
        <rFont val="Calibri"/>
      </rPr>
      <t xml:space="preserve">
</t>
    </r>
    <r>
      <rPr>
        <b/>
        <sz val="9"/>
        <color rgb="FF1155CC"/>
        <rFont val="Calibri"/>
      </rPr>
      <t>RDA common maDMP standard</t>
    </r>
  </si>
  <si>
    <r>
      <rPr>
        <b/>
        <sz val="9"/>
        <color rgb="FF000000"/>
        <rFont val="Calibri"/>
      </rPr>
      <t>Common standard fieldname
(click on hyperlinks for RDA core maDMP field descriptions)
(</t>
    </r>
    <r>
      <rPr>
        <b/>
        <sz val="12"/>
        <color rgb="FFFF0000"/>
        <rFont val="Calibri"/>
      </rPr>
      <t>see GC maDMP structure</t>
    </r>
    <r>
      <rPr>
        <b/>
        <sz val="12"/>
        <color rgb="FF000000"/>
        <rFont val="Calibri"/>
      </rPr>
      <t>,</t>
    </r>
    <r>
      <rPr>
        <b/>
        <sz val="12"/>
        <color rgb="FF000000"/>
        <rFont val="Calibri"/>
      </rPr>
      <t xml:space="preserve"> </t>
    </r>
    <r>
      <rPr>
        <b/>
        <u/>
        <sz val="12"/>
        <color rgb="FF1155CC"/>
        <rFont val="Calibri"/>
      </rPr>
      <t>here</t>
    </r>
    <r>
      <rPr>
        <b/>
        <sz val="9"/>
        <color rgb="FF000000"/>
        <rFont val="Calibri"/>
      </rPr>
      <t>)</t>
    </r>
  </si>
  <si>
    <r>
      <rPr>
        <b/>
        <sz val="9"/>
        <color rgb="FF000000"/>
        <rFont val="Calibri"/>
      </rPr>
      <t>Section Description</t>
    </r>
    <r>
      <rPr>
        <b/>
        <sz val="9"/>
        <color rgb="FF000000"/>
        <rFont val="Calibri"/>
      </rPr>
      <t xml:space="preserve">
</t>
    </r>
    <r>
      <rPr>
        <b/>
        <sz val="9"/>
        <color rgb="FF1155CC"/>
        <rFont val="Calibri"/>
      </rPr>
      <t>RDA common maDMP standard</t>
    </r>
  </si>
  <si>
    <r>
      <rPr>
        <b/>
        <sz val="9"/>
        <color rgb="FF000000"/>
        <rFont val="Calibri"/>
      </rPr>
      <t>Common standard fieldname
(click on hyperlinks for RDA core maDMP field descriptions)
(</t>
    </r>
    <r>
      <rPr>
        <b/>
        <sz val="12"/>
        <color rgb="FFFF0000"/>
        <rFont val="Calibri"/>
      </rPr>
      <t>see GC maDMP structure</t>
    </r>
    <r>
      <rPr>
        <b/>
        <sz val="12"/>
        <color rgb="FF000000"/>
        <rFont val="Calibri"/>
      </rPr>
      <t>,</t>
    </r>
    <r>
      <rPr>
        <b/>
        <sz val="12"/>
        <color rgb="FF000000"/>
        <rFont val="Calibri"/>
      </rPr>
      <t xml:space="preserve"> </t>
    </r>
    <r>
      <rPr>
        <b/>
        <u/>
        <sz val="12"/>
        <color rgb="FF1155CC"/>
        <rFont val="Calibri"/>
      </rPr>
      <t>here</t>
    </r>
    <r>
      <rPr>
        <b/>
        <sz val="9"/>
        <color rgb="FF000000"/>
        <rFont val="Calibri"/>
      </rPr>
      <t>)</t>
    </r>
  </si>
  <si>
    <t>CCA</t>
  </si>
  <si>
    <t>Verification comments</t>
  </si>
  <si>
    <t>Under development</t>
  </si>
  <si>
    <t>GC_RDA Template
VERSION NUMBER</t>
  </si>
  <si>
    <t>GC_RDA Template
VERSION DATE</t>
  </si>
  <si>
    <t>Verification</t>
  </si>
  <si>
    <r>
      <rPr>
        <b/>
        <sz val="10"/>
        <color rgb="FF000000"/>
        <rFont val="Calibri"/>
      </rPr>
      <t>GC additions not in the RDA standard</t>
    </r>
    <r>
      <rPr>
        <b/>
        <sz val="10"/>
        <color rgb="FF1155CC"/>
        <rFont val="Calibri"/>
      </rPr>
      <t xml:space="preserve">
(See, GC_RDA specification)</t>
    </r>
  </si>
  <si>
    <t>Submit to the RDA</t>
  </si>
  <si>
    <t>These columns are to be used for verifying the features identification.
Once the template is finalized, these columns will be removed.</t>
  </si>
  <si>
    <t>Verification 1
agree/disagree (Name)</t>
  </si>
  <si>
    <t>Verification 2
agree/disagree (Name)</t>
  </si>
  <si>
    <t>Existing dropdown menus - minor modifications</t>
  </si>
  <si>
    <t>KT: not sure what verification entails for this tab, since these are propositions for changes to the RDA standard. Also, not all of them seem to be in the GC_RDA specification linked in cell E3.
LP: I am not certain what verification entails for this tab either.  I did add in a couple comments (below).</t>
  </si>
  <si>
    <t>- The GC_RDA specification document that we were working on is out of sync with this template. Wanting to get the template developed as quickly as possible, I haven't been updating the specification as I go along as I should have. 
- Verification here is just checking that I've copied all the new items over from the orange tab, and from controlled vocabularies tab. Sometimes I forget to do that. Sometimes I make changes in those two tabs and forget to update this one. My suggestions is to wait until all the other tabs are settled before coming back to this one,</t>
  </si>
  <si>
    <t>not yet</t>
  </si>
  <si>
    <t>host_certified_with: added 'not certified'</t>
  </si>
  <si>
    <t>host_PID_system: added 'no PID system'</t>
  </si>
  <si>
    <t>New controlled vocabularies</t>
  </si>
  <si>
    <t>contributor_role</t>
  </si>
  <si>
    <t>LP: data quality or data quality control could be interpreted differently by researchers.  Perhaps we should avoid the term "quality" here?</t>
  </si>
  <si>
    <t>Changed to "data quality control level" encoded according to the NARSTO Std.</t>
  </si>
  <si>
    <t>LP: I have heard that the TBS OG team was considering reworking their rating system.  I believe they were planning to move away from the 5 star rating.  If I am remembering correctly, there were some concerns about this evaluation system.</t>
  </si>
  <si>
    <t>I also have concerns about the OG 5-star rating system, so that would be a good thing. I'm not sure, though that they're using the Tim Berners-Lee 5-star rating system (need to check). But that one is a bit problematic, also, in my opinion.</t>
  </si>
  <si>
    <t>no - specific to GC context</t>
  </si>
  <si>
    <t>distribution_classification_level</t>
  </si>
  <si>
    <t>funding_type ('A-base', 'MOU funds transfer', 'VNR', etc.)</t>
  </si>
  <si>
    <t>distribution/license/license_ref</t>
  </si>
  <si>
    <t>New properties</t>
  </si>
  <si>
    <t>dmp/contact/succession_plan'</t>
  </si>
  <si>
    <t>dmp/dataset/distribution/quality_control_level'</t>
  </si>
  <si>
    <t>dmp/dataset/distribution/linked_data_star_rating'</t>
  </si>
  <si>
    <t>dmp/project/funding/funding_type'</t>
  </si>
  <si>
    <t>dmp/dataset/distribution/protection_level'</t>
  </si>
  <si>
    <t>dmp/dataset/distribution/classification_level</t>
  </si>
  <si>
    <t>dmp/indigenous_data_governance_exists</t>
  </si>
  <si>
    <t>dmp/indigenous_data_governance_description</t>
  </si>
  <si>
    <t>dmp/indigenous_issues_description</t>
  </si>
  <si>
    <t>dmp/indigenous_issues_exist</t>
  </si>
  <si>
    <t>dmp/dataset/distribution/intellectual_property/copyright</t>
  </si>
  <si>
    <t>dmp/dataset/distribution/intellectual_property/copyright_holder</t>
  </si>
  <si>
    <t>dmp/dataset/distribution/intellectual_property/copyright_description</t>
  </si>
  <si>
    <t>dmp/contributor/affiliation/citizen_science_group_name</t>
  </si>
  <si>
    <t>dmp/contributor/affiliation/federal_department_or_agency/organizational_group</t>
  </si>
  <si>
    <t>dmp/contributor/affiliation/federal_department_or_agency/organizational_subgroup</t>
  </si>
  <si>
    <t>dmp/contributor/affiliation/industry/industry_classification_scheme</t>
  </si>
  <si>
    <t>dmp/contributor/affiliation/industry/industry_code</t>
  </si>
  <si>
    <t>dmp/contributor/affiliation/industry/name</t>
  </si>
  <si>
    <t>dmp/contributor/affiliation/municipality_name</t>
  </si>
  <si>
    <t>dmp/dataset/disposition/nonarchive_elements</t>
  </si>
  <si>
    <t>dmp/dataset/disposition/nonarchive_elements_description</t>
  </si>
  <si>
    <t>dmp/dataset/disposition/required_destruction</t>
  </si>
  <si>
    <t>dmp/dataset/disposition/required_destruction_description</t>
  </si>
  <si>
    <t>dmp/dataset/disposition/scope</t>
  </si>
  <si>
    <t>dmp/dataset/archival_value</t>
  </si>
  <si>
    <t>dmp/dataset/distribution/disposition_archival_value</t>
  </si>
  <si>
    <t>dmp/dataset/distribution/disposition_authorization</t>
  </si>
  <si>
    <t>dmp/dataset/distribution/disposition_date</t>
  </si>
  <si>
    <t>dmp/dataset/distribution/disposition_notes</t>
  </si>
  <si>
    <t>dmp/dataset/distribution/disposition_type</t>
  </si>
  <si>
    <t>dmp/dataset/distribution/required_destruction</t>
  </si>
  <si>
    <t>dmp/dataset/distribution/required_destruction_description</t>
  </si>
  <si>
    <t>dmp/dataset/distribution/required_perpetual_use</t>
  </si>
  <si>
    <t>dmp/dataset/distribution/required_perpetual_use_description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</si>
</sst>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m\-d"/>
  </numFmts>
  <fonts count="64">
    <font>
      <sz val="10"/>
      <color rgb="FF000000"/>
      <name val="Arial"/>
      <scheme val="minor"/>
    </font>
    <font>
      <sz val="10"/>
      <color theme="1"/>
      <name val="Arial"/>
    </font>
    <font>
      <b/>
      <sz val="9"/>
      <color rgb="FF000000"/>
      <name val="Calibri"/>
    </font>
    <font>
      <b/>
      <sz val="9"/>
      <color theme="1"/>
      <name val="Calibri"/>
    </font>
    <font>
      <b/>
      <sz val="9"/>
      <color rgb="FF1155CC"/>
      <name val="Calibri"/>
    </font>
    <font>
      <sz val="9"/>
      <color theme="1"/>
      <name val="Calibri"/>
    </font>
    <font>
      <sz val="9"/>
      <color rgb="FF000000"/>
      <name val="Calibri"/>
    </font>
    <font>
      <sz val="10"/>
      <color rgb="FF000000"/>
      <name val="Arial"/>
    </font>
    <font>
      <sz val="9"/>
      <color rgb="FFFF0000"/>
      <name val="Calibri"/>
    </font>
    <font>
      <u/>
      <sz val="9"/>
      <color rgb="FF9900FF"/>
      <name val="Calibri"/>
    </font>
    <font>
      <sz val="9"/>
      <color rgb="FF1155CC"/>
      <name val="Calibri"/>
    </font>
    <font>
      <sz val="9"/>
      <color rgb="FF0000FF"/>
      <name val="Calibri"/>
    </font>
    <font>
      <sz val="10"/>
      <color theme="1"/>
      <name val="Arial"/>
      <scheme val="minor"/>
    </font>
    <font>
      <sz val="9"/>
      <color rgb="FF1F1F1F"/>
      <name val="Calibri"/>
    </font>
    <font>
      <u/>
      <sz val="9"/>
      <color rgb="FF0000FF"/>
      <name val="Calibri"/>
    </font>
    <font>
      <u/>
      <sz val="9"/>
      <color rgb="FF0000FF"/>
      <name val="Calibri"/>
    </font>
    <font>
      <u/>
      <sz val="9"/>
      <color rgb="FF0000FF"/>
      <name val="Calibri"/>
    </font>
    <font>
      <u/>
      <sz val="9"/>
      <color rgb="FF0000FF"/>
      <name val="Calibri"/>
    </font>
    <font>
      <sz val="9"/>
      <color rgb="FF24292E"/>
      <name val="Calibri"/>
    </font>
    <font>
      <sz val="9"/>
      <color rgb="FFEA4335"/>
      <name val="Calibri"/>
    </font>
    <font>
      <sz val="9"/>
      <color rgb="FF434343"/>
      <name val="Calibri"/>
    </font>
    <font>
      <u/>
      <sz val="9"/>
      <color theme="1"/>
      <name val="Calibri"/>
    </font>
    <font>
      <sz val="9"/>
      <color theme="1"/>
      <name val="Arial"/>
      <scheme val="minor"/>
    </font>
    <font>
      <u/>
      <sz val="9"/>
      <color rgb="FF1155CC"/>
      <name val="Calibri"/>
    </font>
    <font>
      <u/>
      <sz val="9"/>
      <color rgb="FF1155CC"/>
      <name val="Calibri"/>
    </font>
    <font>
      <b/>
      <sz val="9"/>
      <color rgb="FFFF0000"/>
      <name val="Calibri"/>
    </font>
    <font>
      <u/>
      <sz val="9"/>
      <color rgb="FF1155CC"/>
      <name val="Calibri"/>
    </font>
    <font>
      <sz val="9"/>
      <color rgb="FF9900FF"/>
      <name val="Calibri"/>
    </font>
    <font>
      <u/>
      <sz val="9"/>
      <color rgb="FF000000"/>
      <name val="Calibri"/>
    </font>
    <font>
      <u/>
      <sz val="9"/>
      <color rgb="FF9900FF"/>
      <name val="Calibri"/>
    </font>
    <font>
      <u/>
      <sz val="9"/>
      <color rgb="FF0000FF"/>
      <name val="Calibri"/>
    </font>
    <font>
      <u/>
      <sz val="9"/>
      <color rgb="FF0000FF"/>
      <name val="&quot;Aptos Narrow&quot;"/>
    </font>
    <font>
      <u/>
      <sz val="9"/>
      <color rgb="FF000000"/>
      <name val="Calibri"/>
    </font>
    <font>
      <u/>
      <sz val="9"/>
      <color rgb="FF000000"/>
      <name val="Calibri"/>
    </font>
    <font>
      <sz val="10"/>
      <color rgb="FF000000"/>
      <name val="Calibri"/>
    </font>
    <font>
      <b/>
      <sz val="12"/>
      <color rgb="FF000000"/>
      <name val="Calibri"/>
    </font>
    <font>
      <sz val="10"/>
      <color theme="1"/>
      <name val="Calibri"/>
    </font>
    <font>
      <b/>
      <sz val="10"/>
      <color rgb="FF000000"/>
      <name val="Calibri"/>
    </font>
    <font>
      <sz val="10"/>
      <color rgb="FF000000"/>
      <name val="Calibri"/>
    </font>
    <font>
      <sz val="9"/>
      <color rgb="FF000000"/>
      <name val="Arial"/>
    </font>
    <font>
      <sz val="10"/>
      <color rgb="FF0000FF"/>
      <name val="Calibri"/>
    </font>
    <font>
      <sz val="10"/>
      <color rgb="FF1155CC"/>
      <name val="Calibri"/>
    </font>
    <font>
      <sz val="10"/>
      <color rgb="FFFF0000"/>
      <name val="Calibri"/>
    </font>
    <font>
      <b/>
      <sz val="10"/>
      <color theme="1"/>
      <name val="Calibri"/>
    </font>
    <font>
      <sz val="10"/>
      <color rgb="FFEA4335"/>
      <name val="Calibri"/>
    </font>
    <font>
      <b/>
      <sz val="10"/>
      <color rgb="FFFF0000"/>
      <name val="Calibri"/>
    </font>
    <font>
      <u/>
      <sz val="10"/>
      <color rgb="FF1155CC"/>
      <name val="Calibri"/>
    </font>
    <font>
      <u/>
      <sz val="10"/>
      <color rgb="FF1155CC"/>
      <name val="Calibri"/>
    </font>
    <font>
      <u/>
      <sz val="9"/>
      <color rgb="FF0645AD"/>
      <name val="Calibri"/>
    </font>
    <font>
      <sz val="9"/>
      <color rgb="FF202122"/>
      <name val="Calibri"/>
    </font>
    <font>
      <u/>
      <sz val="9"/>
      <color rgb="FF202122"/>
      <name val="Calibri"/>
    </font>
    <font>
      <u/>
      <sz val="9"/>
      <color rgb="FF202122"/>
      <name val="Calibri"/>
    </font>
    <font>
      <u/>
      <sz val="9"/>
      <color rgb="FF0563C1"/>
      <name val="Calibri"/>
    </font>
    <font>
      <b/>
      <u/>
      <sz val="8"/>
      <color rgb="FF1155CC"/>
      <name val="Calibri"/>
    </font>
    <font>
      <b/>
      <u/>
      <sz val="9"/>
      <color rgb="FF1155CC"/>
      <name val="Calibri"/>
    </font>
    <font>
      <b/>
      <sz val="10"/>
      <color theme="1"/>
      <name val="Calibri"/>
    </font>
    <font>
      <sz val="10"/>
      <color theme="1"/>
      <name val="Calibri"/>
    </font>
    <font>
      <b/>
      <sz val="10"/>
      <color rgb="FF000000"/>
      <name val="Calibri"/>
    </font>
    <font>
      <b/>
      <sz val="10"/>
      <color rgb="FF1155CC"/>
      <name val="Calibri"/>
    </font>
    <font>
      <b/>
      <u/>
      <sz val="10"/>
      <color rgb="FF1155CC"/>
      <name val="Calibri"/>
    </font>
    <font>
      <u/>
      <sz val="9"/>
      <color rgb="FF1155CC"/>
      <name val="&quot;Aptos Narrow&quot;, sans-serif"/>
    </font>
    <font>
      <sz val="10"/>
      <color theme="5"/>
      <name val="Calibri"/>
    </font>
    <font>
      <b/>
      <sz val="12"/>
      <color rgb="FFFF0000"/>
      <name val="Calibri"/>
    </font>
    <font>
      <b/>
      <u/>
      <sz val="12"/>
      <color rgb="FF1155CC"/>
      <name val="Calibri"/>
    </font>
  </fonts>
  <fills count="19">
    <fill>
      <patternFill patternType="none"/>
    </fill>
    <fill>
      <patternFill patternType="gray125"/>
    </fill>
    <fill>
      <patternFill patternType="solid">
        <fgColor rgb="FF00FF00"/>
        <bgColor rgb="FF00FF00"/>
      </patternFill>
    </fill>
    <fill>
      <patternFill patternType="solid">
        <fgColor rgb="FFFF00FF"/>
        <bgColor rgb="FFFF00FF"/>
      </patternFill>
    </fill>
    <fill>
      <patternFill patternType="solid">
        <fgColor rgb="FF00FFFF"/>
        <bgColor rgb="FF00FFFF"/>
      </patternFill>
    </fill>
    <fill>
      <patternFill patternType="solid">
        <fgColor rgb="FFFFF2CC"/>
        <bgColor rgb="FFFFF2CC"/>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
      <patternFill patternType="solid">
        <fgColor rgb="FFEA9999"/>
        <bgColor rgb="FFEA9999"/>
      </patternFill>
    </fill>
    <fill>
      <patternFill patternType="solid">
        <fgColor rgb="FFB6D7A8"/>
        <bgColor rgb="FFB6D7A8"/>
      </patternFill>
    </fill>
    <fill>
      <patternFill patternType="solid">
        <fgColor rgb="FFCCCCCC"/>
        <bgColor rgb="FFCCCCCC"/>
      </patternFill>
    </fill>
    <fill>
      <patternFill patternType="solid">
        <fgColor rgb="FFB7E1CD"/>
        <bgColor rgb="FFB7E1CD"/>
      </patternFill>
    </fill>
    <fill>
      <patternFill patternType="solid">
        <fgColor rgb="FFEFEFEF"/>
        <bgColor rgb="FFEFEFEF"/>
      </patternFill>
    </fill>
    <fill>
      <patternFill patternType="solid">
        <fgColor rgb="FFF4CAE4"/>
        <bgColor rgb="FFF4CAE4"/>
      </patternFill>
    </fill>
    <fill>
      <patternFill patternType="solid">
        <fgColor rgb="FFF6F8FA"/>
        <bgColor rgb="FFF6F8FA"/>
      </patternFill>
    </fill>
    <fill>
      <patternFill patternType="solid">
        <fgColor rgb="FFF3F3F3"/>
        <bgColor rgb="FFF3F3F3"/>
      </patternFill>
    </fill>
    <fill>
      <patternFill patternType="solid">
        <fgColor theme="6"/>
        <bgColor theme="6"/>
      </patternFill>
    </fill>
    <fill>
      <patternFill patternType="solid">
        <fgColor rgb="FFF8F9FA"/>
        <bgColor rgb="FFF8F9FA"/>
      </patternFill>
    </fill>
  </fills>
  <borders count="9">
    <border>
      <left/>
      <right/>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344">
    <xf numFmtId="0" fontId="0" fillId="0" borderId="0" xfId="0"/>
    <xf numFmtId="49" fontId="2" fillId="0" borderId="0" xfId="0" applyNumberFormat="1" applyFont="1" applyAlignment="1">
      <alignment horizontal="center" vertical="center" wrapText="1"/>
    </xf>
    <xf numFmtId="49" fontId="2" fillId="2" borderId="2" xfId="0" applyNumberFormat="1" applyFont="1" applyFill="1" applyBorder="1" applyAlignment="1">
      <alignment horizontal="center"/>
    </xf>
    <xf numFmtId="49" fontId="3" fillId="2" borderId="0" xfId="0" applyNumberFormat="1" applyFont="1" applyFill="1" applyAlignment="1">
      <alignment horizontal="center" vertical="center" wrapText="1"/>
    </xf>
    <xf numFmtId="49" fontId="3" fillId="2" borderId="2"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5" fillId="0" borderId="0" xfId="0" applyNumberFormat="1" applyFont="1" applyAlignment="1">
      <alignment horizontal="center" vertical="center"/>
    </xf>
    <xf numFmtId="49" fontId="6" fillId="0" borderId="0" xfId="0" applyNumberFormat="1" applyFont="1" applyAlignment="1">
      <alignment horizontal="left" vertical="center"/>
    </xf>
    <xf numFmtId="49" fontId="6" fillId="0" borderId="2" xfId="0" applyNumberFormat="1" applyFont="1" applyBorder="1"/>
    <xf numFmtId="49" fontId="6" fillId="0" borderId="0" xfId="0" applyNumberFormat="1" applyFont="1" applyAlignment="1">
      <alignment vertical="center"/>
    </xf>
    <xf numFmtId="49" fontId="5" fillId="0" borderId="2" xfId="0" applyNumberFormat="1" applyFont="1" applyBorder="1"/>
    <xf numFmtId="49" fontId="6" fillId="0" borderId="0" xfId="0" applyNumberFormat="1" applyFont="1" applyAlignment="1">
      <alignment horizontal="center" vertical="center"/>
    </xf>
    <xf numFmtId="49" fontId="6" fillId="0" borderId="2" xfId="0" applyNumberFormat="1" applyFont="1" applyBorder="1" applyAlignment="1">
      <alignment horizontal="center" vertical="center"/>
    </xf>
    <xf numFmtId="49" fontId="6" fillId="0" borderId="2" xfId="0" applyNumberFormat="1" applyFont="1" applyBorder="1" applyAlignment="1">
      <alignment vertical="center"/>
    </xf>
    <xf numFmtId="49" fontId="5" fillId="0" borderId="2" xfId="0" applyNumberFormat="1" applyFont="1" applyBorder="1" applyAlignment="1">
      <alignment vertical="center"/>
    </xf>
    <xf numFmtId="49" fontId="6" fillId="0" borderId="2" xfId="0" applyNumberFormat="1" applyFont="1" applyBorder="1" applyAlignment="1">
      <alignment horizontal="left" vertical="center"/>
    </xf>
    <xf numFmtId="49" fontId="5" fillId="4" borderId="2" xfId="0" applyNumberFormat="1" applyFont="1" applyFill="1" applyBorder="1" applyAlignment="1">
      <alignment vertical="center"/>
    </xf>
    <xf numFmtId="49" fontId="5" fillId="0" borderId="2" xfId="0" applyNumberFormat="1" applyFont="1" applyBorder="1" applyAlignment="1">
      <alignment horizontal="left"/>
    </xf>
    <xf numFmtId="49" fontId="5" fillId="0" borderId="2" xfId="0" applyNumberFormat="1" applyFont="1" applyBorder="1" applyAlignment="1">
      <alignment horizontal="left" vertical="center"/>
    </xf>
    <xf numFmtId="49" fontId="5" fillId="0" borderId="2" xfId="0" applyNumberFormat="1" applyFont="1" applyBorder="1" applyAlignment="1">
      <alignment horizontal="center"/>
    </xf>
    <xf numFmtId="49" fontId="3" fillId="2" borderId="0" xfId="0" applyNumberFormat="1" applyFont="1" applyFill="1" applyAlignment="1">
      <alignment horizontal="center" vertical="center"/>
    </xf>
    <xf numFmtId="49" fontId="6" fillId="0" borderId="0" xfId="0" applyNumberFormat="1" applyFont="1" applyAlignment="1">
      <alignment horizontal="left"/>
    </xf>
    <xf numFmtId="49" fontId="5" fillId="0" borderId="0" xfId="0" applyNumberFormat="1" applyFont="1" applyAlignment="1">
      <alignment vertical="center"/>
    </xf>
    <xf numFmtId="49" fontId="7" fillId="7" borderId="3" xfId="0" applyNumberFormat="1" applyFont="1" applyFill="1" applyBorder="1"/>
    <xf numFmtId="49" fontId="6" fillId="7" borderId="0" xfId="0" applyNumberFormat="1" applyFont="1" applyFill="1" applyAlignment="1">
      <alignment horizontal="left"/>
    </xf>
    <xf numFmtId="49" fontId="6" fillId="7" borderId="2" xfId="0" applyNumberFormat="1" applyFont="1" applyFill="1" applyBorder="1"/>
    <xf numFmtId="49" fontId="7" fillId="0" borderId="0" xfId="0" applyNumberFormat="1" applyFont="1"/>
    <xf numFmtId="49" fontId="6" fillId="7" borderId="3" xfId="0" applyNumberFormat="1" applyFont="1" applyFill="1" applyBorder="1"/>
    <xf numFmtId="49" fontId="6" fillId="7" borderId="3" xfId="0" applyNumberFormat="1" applyFont="1" applyFill="1" applyBorder="1" applyAlignment="1">
      <alignment horizontal="center"/>
    </xf>
    <xf numFmtId="49" fontId="7" fillId="7" borderId="2" xfId="0" applyNumberFormat="1" applyFont="1" applyFill="1" applyBorder="1"/>
    <xf numFmtId="49" fontId="8" fillId="7" borderId="3" xfId="0" applyNumberFormat="1" applyFont="1" applyFill="1" applyBorder="1" applyAlignment="1">
      <alignment horizontal="center"/>
    </xf>
    <xf numFmtId="49" fontId="6" fillId="7" borderId="0" xfId="0" applyNumberFormat="1" applyFont="1" applyFill="1"/>
    <xf numFmtId="49" fontId="7" fillId="0" borderId="3" xfId="0" applyNumberFormat="1" applyFont="1" applyBorder="1"/>
    <xf numFmtId="49" fontId="6" fillId="0" borderId="2" xfId="0" applyNumberFormat="1" applyFont="1" applyBorder="1" applyAlignment="1">
      <alignment horizontal="left"/>
    </xf>
    <xf numFmtId="49" fontId="6" fillId="0" borderId="3" xfId="0" applyNumberFormat="1" applyFont="1" applyBorder="1"/>
    <xf numFmtId="49" fontId="6" fillId="0" borderId="3" xfId="0" applyNumberFormat="1" applyFont="1" applyBorder="1" applyAlignment="1">
      <alignment horizontal="center"/>
    </xf>
    <xf numFmtId="49" fontId="8" fillId="0" borderId="3" xfId="0" applyNumberFormat="1" applyFont="1" applyBorder="1" applyAlignment="1">
      <alignment horizontal="center"/>
    </xf>
    <xf numFmtId="49" fontId="9" fillId="8" borderId="2" xfId="0" applyNumberFormat="1" applyFont="1" applyFill="1" applyBorder="1"/>
    <xf numFmtId="49" fontId="7" fillId="0" borderId="2" xfId="0" applyNumberFormat="1" applyFont="1" applyBorder="1"/>
    <xf numFmtId="49" fontId="6" fillId="0" borderId="0" xfId="0" applyNumberFormat="1" applyFont="1"/>
    <xf numFmtId="49" fontId="10" fillId="0" borderId="2" xfId="0" applyNumberFormat="1" applyFont="1" applyBorder="1" applyAlignment="1">
      <alignment horizontal="left" vertical="center"/>
    </xf>
    <xf numFmtId="49" fontId="6" fillId="0" borderId="3" xfId="0" applyNumberFormat="1" applyFont="1" applyBorder="1" applyAlignment="1">
      <alignment horizontal="right"/>
    </xf>
    <xf numFmtId="49" fontId="5" fillId="4" borderId="2" xfId="0" applyNumberFormat="1" applyFont="1" applyFill="1" applyBorder="1"/>
    <xf numFmtId="49" fontId="5" fillId="7" borderId="0" xfId="0" applyNumberFormat="1" applyFont="1" applyFill="1" applyAlignment="1">
      <alignment horizontal="center" vertical="center"/>
    </xf>
    <xf numFmtId="49" fontId="6" fillId="7" borderId="0" xfId="0" applyNumberFormat="1" applyFont="1" applyFill="1" applyAlignment="1">
      <alignment vertical="center"/>
    </xf>
    <xf numFmtId="49" fontId="5" fillId="7" borderId="2" xfId="0" applyNumberFormat="1" applyFont="1" applyFill="1" applyBorder="1"/>
    <xf numFmtId="49" fontId="6" fillId="7" borderId="0" xfId="0" applyNumberFormat="1" applyFont="1" applyFill="1" applyAlignment="1">
      <alignment horizontal="center" vertical="center"/>
    </xf>
    <xf numFmtId="49" fontId="6" fillId="7" borderId="2" xfId="0" applyNumberFormat="1" applyFont="1" applyFill="1" applyBorder="1" applyAlignment="1">
      <alignment horizontal="center" vertical="center"/>
    </xf>
    <xf numFmtId="49" fontId="3" fillId="7" borderId="0" xfId="0" applyNumberFormat="1" applyFont="1" applyFill="1" applyAlignment="1">
      <alignment horizontal="center" vertical="center"/>
    </xf>
    <xf numFmtId="49" fontId="6" fillId="7" borderId="2" xfId="0" applyNumberFormat="1" applyFont="1" applyFill="1" applyBorder="1" applyAlignment="1">
      <alignment vertical="center"/>
    </xf>
    <xf numFmtId="49" fontId="5" fillId="7" borderId="2" xfId="0" applyNumberFormat="1" applyFont="1" applyFill="1" applyBorder="1" applyAlignment="1">
      <alignment horizontal="left" vertical="center"/>
    </xf>
    <xf numFmtId="49" fontId="5" fillId="7" borderId="2" xfId="0" applyNumberFormat="1" applyFont="1" applyFill="1" applyBorder="1" applyAlignment="1">
      <alignment vertical="center"/>
    </xf>
    <xf numFmtId="49" fontId="5" fillId="7" borderId="2" xfId="0" applyNumberFormat="1" applyFont="1" applyFill="1" applyBorder="1" applyAlignment="1">
      <alignment horizontal="left"/>
    </xf>
    <xf numFmtId="49" fontId="5" fillId="7" borderId="2" xfId="0" applyNumberFormat="1" applyFont="1" applyFill="1" applyBorder="1" applyAlignment="1">
      <alignment horizontal="center"/>
    </xf>
    <xf numFmtId="49" fontId="5" fillId="7" borderId="0" xfId="0" applyNumberFormat="1" applyFont="1" applyFill="1" applyAlignment="1">
      <alignment vertical="center"/>
    </xf>
    <xf numFmtId="49" fontId="8" fillId="0" borderId="0" xfId="0" applyNumberFormat="1" applyFont="1" applyAlignment="1">
      <alignment horizontal="center" vertical="center"/>
    </xf>
    <xf numFmtId="49" fontId="5" fillId="9" borderId="2" xfId="0" applyNumberFormat="1" applyFont="1" applyFill="1" applyBorder="1" applyAlignment="1">
      <alignment vertical="center"/>
    </xf>
    <xf numFmtId="49" fontId="6" fillId="7" borderId="0" xfId="0" applyNumberFormat="1" applyFont="1" applyFill="1" applyAlignment="1">
      <alignment horizontal="left" vertical="center"/>
    </xf>
    <xf numFmtId="49" fontId="6" fillId="7" borderId="0" xfId="0" applyNumberFormat="1" applyFont="1" applyFill="1" applyAlignment="1">
      <alignment horizontal="center"/>
    </xf>
    <xf numFmtId="49" fontId="11" fillId="0" borderId="2" xfId="0" applyNumberFormat="1" applyFont="1" applyBorder="1" applyAlignment="1">
      <alignment horizontal="left" vertical="center"/>
    </xf>
    <xf numFmtId="49" fontId="12" fillId="0" borderId="0" xfId="0" applyNumberFormat="1" applyFont="1"/>
    <xf numFmtId="49" fontId="6" fillId="0" borderId="0" xfId="0" applyNumberFormat="1" applyFont="1" applyAlignment="1">
      <alignment horizontal="center"/>
    </xf>
    <xf numFmtId="49" fontId="5" fillId="10" borderId="0" xfId="0" applyNumberFormat="1" applyFont="1" applyFill="1" applyAlignment="1">
      <alignment horizontal="center" vertical="center"/>
    </xf>
    <xf numFmtId="49" fontId="13" fillId="10" borderId="2" xfId="0" applyNumberFormat="1" applyFont="1" applyFill="1" applyBorder="1"/>
    <xf numFmtId="49" fontId="5" fillId="10" borderId="0" xfId="0" applyNumberFormat="1" applyFont="1" applyFill="1" applyAlignment="1">
      <alignment vertical="center"/>
    </xf>
    <xf numFmtId="49" fontId="5" fillId="10" borderId="2" xfId="0" applyNumberFormat="1" applyFont="1" applyFill="1" applyBorder="1" applyAlignment="1">
      <alignment vertical="center"/>
    </xf>
    <xf numFmtId="49" fontId="6" fillId="10" borderId="0" xfId="0" applyNumberFormat="1" applyFont="1" applyFill="1" applyAlignment="1">
      <alignment horizontal="center" vertical="center"/>
    </xf>
    <xf numFmtId="49" fontId="6" fillId="10" borderId="2" xfId="0" applyNumberFormat="1" applyFont="1" applyFill="1" applyBorder="1" applyAlignment="1">
      <alignment horizontal="center" vertical="center"/>
    </xf>
    <xf numFmtId="49" fontId="6" fillId="10" borderId="2" xfId="0" applyNumberFormat="1" applyFont="1" applyFill="1" applyBorder="1" applyAlignment="1">
      <alignment vertical="center"/>
    </xf>
    <xf numFmtId="49" fontId="6" fillId="10" borderId="0" xfId="0" applyNumberFormat="1" applyFont="1" applyFill="1" applyAlignment="1">
      <alignment vertical="center"/>
    </xf>
    <xf numFmtId="49" fontId="5" fillId="10" borderId="2" xfId="0" applyNumberFormat="1" applyFont="1" applyFill="1" applyBorder="1" applyAlignment="1">
      <alignment horizontal="left" vertical="center"/>
    </xf>
    <xf numFmtId="49" fontId="5" fillId="10" borderId="2" xfId="0" applyNumberFormat="1" applyFont="1" applyFill="1" applyBorder="1" applyAlignment="1">
      <alignment horizontal="left"/>
    </xf>
    <xf numFmtId="49" fontId="5" fillId="10" borderId="2" xfId="0" applyNumberFormat="1" applyFont="1" applyFill="1" applyBorder="1" applyAlignment="1">
      <alignment horizontal="center"/>
    </xf>
    <xf numFmtId="49" fontId="14" fillId="0" borderId="2" xfId="0" applyNumberFormat="1" applyFont="1" applyBorder="1"/>
    <xf numFmtId="49" fontId="15" fillId="0" borderId="2" xfId="0" applyNumberFormat="1" applyFont="1" applyBorder="1" applyAlignment="1">
      <alignment horizontal="left" vertical="center"/>
    </xf>
    <xf numFmtId="49" fontId="6" fillId="10" borderId="0" xfId="0" applyNumberFormat="1" applyFont="1" applyFill="1"/>
    <xf numFmtId="49" fontId="12" fillId="10" borderId="2" xfId="0" applyNumberFormat="1" applyFont="1" applyFill="1" applyBorder="1"/>
    <xf numFmtId="49" fontId="10" fillId="10" borderId="2" xfId="0" applyNumberFormat="1" applyFont="1" applyFill="1" applyBorder="1" applyAlignment="1">
      <alignment horizontal="left" vertical="center"/>
    </xf>
    <xf numFmtId="49" fontId="2" fillId="7" borderId="0" xfId="0" applyNumberFormat="1" applyFont="1" applyFill="1" applyAlignment="1">
      <alignment horizontal="center" vertical="center"/>
    </xf>
    <xf numFmtId="49" fontId="6" fillId="7" borderId="2" xfId="0" applyNumberFormat="1" applyFont="1" applyFill="1" applyBorder="1" applyAlignment="1">
      <alignment horizontal="left" vertical="center"/>
    </xf>
    <xf numFmtId="49" fontId="8" fillId="7" borderId="0" xfId="0" applyNumberFormat="1" applyFont="1" applyFill="1" applyAlignment="1">
      <alignment horizontal="center" vertical="center"/>
    </xf>
    <xf numFmtId="49" fontId="5" fillId="0" borderId="0" xfId="0" applyNumberFormat="1" applyFont="1"/>
    <xf numFmtId="49" fontId="6" fillId="7" borderId="1" xfId="0" applyNumberFormat="1" applyFont="1" applyFill="1" applyBorder="1" applyAlignment="1">
      <alignment vertical="center"/>
    </xf>
    <xf numFmtId="49" fontId="6" fillId="10" borderId="0" xfId="0" applyNumberFormat="1" applyFont="1" applyFill="1" applyAlignment="1">
      <alignment horizontal="left" vertical="center"/>
    </xf>
    <xf numFmtId="49" fontId="16" fillId="7" borderId="2" xfId="0" applyNumberFormat="1" applyFont="1" applyFill="1" applyBorder="1"/>
    <xf numFmtId="49" fontId="8" fillId="7" borderId="0" xfId="0" applyNumberFormat="1" applyFont="1" applyFill="1" applyAlignment="1">
      <alignment horizontal="center"/>
    </xf>
    <xf numFmtId="49" fontId="2" fillId="0" borderId="0" xfId="0" applyNumberFormat="1" applyFont="1" applyAlignment="1">
      <alignment horizontal="center" vertical="center"/>
    </xf>
    <xf numFmtId="49" fontId="8" fillId="0" borderId="0" xfId="0" applyNumberFormat="1" applyFont="1" applyAlignment="1">
      <alignment horizontal="center"/>
    </xf>
    <xf numFmtId="49" fontId="5" fillId="4" borderId="2" xfId="0" applyNumberFormat="1" applyFont="1" applyFill="1" applyBorder="1" applyAlignment="1">
      <alignment horizontal="left" vertical="center"/>
    </xf>
    <xf numFmtId="49" fontId="2" fillId="2" borderId="0" xfId="0" applyNumberFormat="1" applyFont="1" applyFill="1" applyAlignment="1">
      <alignment horizontal="center" vertical="center"/>
    </xf>
    <xf numFmtId="49" fontId="17" fillId="0" borderId="2" xfId="0" applyNumberFormat="1" applyFont="1" applyBorder="1"/>
    <xf numFmtId="49" fontId="6" fillId="10" borderId="2" xfId="0" applyNumberFormat="1" applyFont="1" applyFill="1" applyBorder="1"/>
    <xf numFmtId="49" fontId="1" fillId="0" borderId="0" xfId="0" applyNumberFormat="1" applyFont="1"/>
    <xf numFmtId="49" fontId="11" fillId="10" borderId="2" xfId="0" applyNumberFormat="1" applyFont="1" applyFill="1" applyBorder="1" applyAlignment="1">
      <alignment horizontal="left" vertical="center"/>
    </xf>
    <xf numFmtId="49" fontId="6" fillId="7" borderId="2" xfId="0" applyNumberFormat="1" applyFont="1" applyFill="1" applyBorder="1" applyAlignment="1">
      <alignment horizontal="left"/>
    </xf>
    <xf numFmtId="49" fontId="18" fillId="9" borderId="2" xfId="0" applyNumberFormat="1" applyFont="1" applyFill="1" applyBorder="1" applyAlignment="1">
      <alignment horizontal="left" vertical="center"/>
    </xf>
    <xf numFmtId="49" fontId="18" fillId="0" borderId="2" xfId="0" applyNumberFormat="1" applyFont="1" applyBorder="1" applyAlignment="1">
      <alignment horizontal="left" vertical="center"/>
    </xf>
    <xf numFmtId="49" fontId="19" fillId="0" borderId="2" xfId="0" applyNumberFormat="1" applyFont="1" applyBorder="1" applyAlignment="1">
      <alignment horizontal="left"/>
    </xf>
    <xf numFmtId="49" fontId="5" fillId="0" borderId="0" xfId="0" applyNumberFormat="1" applyFont="1" applyAlignment="1">
      <alignment horizontal="center"/>
    </xf>
    <xf numFmtId="49" fontId="1" fillId="0" borderId="2" xfId="0" applyNumberFormat="1" applyFont="1" applyBorder="1"/>
    <xf numFmtId="49" fontId="5" fillId="9" borderId="2" xfId="0" applyNumberFormat="1" applyFont="1" applyFill="1" applyBorder="1"/>
    <xf numFmtId="49" fontId="8" fillId="0" borderId="2" xfId="0" applyNumberFormat="1" applyFont="1" applyBorder="1"/>
    <xf numFmtId="49" fontId="5" fillId="0" borderId="2" xfId="0" applyNumberFormat="1" applyFont="1" applyBorder="1" applyAlignment="1">
      <alignment horizontal="center" vertical="center"/>
    </xf>
    <xf numFmtId="49" fontId="6" fillId="11" borderId="0" xfId="0" applyNumberFormat="1" applyFont="1" applyFill="1" applyAlignment="1">
      <alignment horizontal="center"/>
    </xf>
    <xf numFmtId="49" fontId="6" fillId="11" borderId="0" xfId="0" applyNumberFormat="1" applyFont="1" applyFill="1" applyAlignment="1">
      <alignment horizontal="left"/>
    </xf>
    <xf numFmtId="49" fontId="6" fillId="11" borderId="2" xfId="0" applyNumberFormat="1" applyFont="1" applyFill="1" applyBorder="1"/>
    <xf numFmtId="49" fontId="6" fillId="11" borderId="2" xfId="0" applyNumberFormat="1" applyFont="1" applyFill="1" applyBorder="1" applyAlignment="1">
      <alignment horizontal="left"/>
    </xf>
    <xf numFmtId="49" fontId="6" fillId="11" borderId="2" xfId="0" applyNumberFormat="1" applyFont="1" applyFill="1" applyBorder="1" applyAlignment="1">
      <alignment horizontal="center"/>
    </xf>
    <xf numFmtId="49" fontId="5" fillId="11" borderId="2" xfId="0" applyNumberFormat="1" applyFont="1" applyFill="1" applyBorder="1" applyAlignment="1">
      <alignment horizontal="center"/>
    </xf>
    <xf numFmtId="49" fontId="6" fillId="7" borderId="2" xfId="0" applyNumberFormat="1" applyFont="1" applyFill="1" applyBorder="1" applyAlignment="1">
      <alignment horizontal="center"/>
    </xf>
    <xf numFmtId="49" fontId="6" fillId="0" borderId="2" xfId="0" applyNumberFormat="1" applyFont="1" applyBorder="1" applyAlignment="1">
      <alignment horizontal="center"/>
    </xf>
    <xf numFmtId="49" fontId="6" fillId="0" borderId="1" xfId="0" applyNumberFormat="1" applyFont="1" applyBorder="1"/>
    <xf numFmtId="49" fontId="6" fillId="4" borderId="2" xfId="0" applyNumberFormat="1" applyFont="1" applyFill="1" applyBorder="1"/>
    <xf numFmtId="49" fontId="8" fillId="8" borderId="0" xfId="0" applyNumberFormat="1" applyFont="1" applyFill="1" applyAlignment="1">
      <alignment horizontal="center"/>
    </xf>
    <xf numFmtId="49" fontId="6" fillId="8" borderId="0" xfId="0" applyNumberFormat="1" applyFont="1" applyFill="1" applyAlignment="1">
      <alignment vertical="center"/>
    </xf>
    <xf numFmtId="49" fontId="6" fillId="8" borderId="2" xfId="0" applyNumberFormat="1" applyFont="1" applyFill="1" applyBorder="1" applyAlignment="1">
      <alignment vertical="center"/>
    </xf>
    <xf numFmtId="49" fontId="5" fillId="8" borderId="2" xfId="0" applyNumberFormat="1" applyFont="1" applyFill="1" applyBorder="1"/>
    <xf numFmtId="49" fontId="6" fillId="10" borderId="3" xfId="0" applyNumberFormat="1" applyFont="1" applyFill="1" applyBorder="1" applyAlignment="1">
      <alignment horizontal="center" vertical="center"/>
    </xf>
    <xf numFmtId="49" fontId="6" fillId="10" borderId="2" xfId="0" applyNumberFormat="1" applyFont="1" applyFill="1" applyBorder="1" applyAlignment="1">
      <alignment horizontal="left" vertical="center"/>
    </xf>
    <xf numFmtId="49" fontId="6" fillId="10" borderId="2" xfId="0" applyNumberFormat="1" applyFont="1" applyFill="1" applyBorder="1" applyAlignment="1">
      <alignment horizontal="left"/>
    </xf>
    <xf numFmtId="49" fontId="20" fillId="4" borderId="2" xfId="0" applyNumberFormat="1" applyFont="1" applyFill="1" applyBorder="1" applyAlignment="1">
      <alignment horizontal="left" vertical="center"/>
    </xf>
    <xf numFmtId="49" fontId="20" fillId="0" borderId="2" xfId="0" applyNumberFormat="1" applyFont="1" applyBorder="1" applyAlignment="1">
      <alignment horizontal="left" vertical="center"/>
    </xf>
    <xf numFmtId="49" fontId="20" fillId="7" borderId="2" xfId="0" applyNumberFormat="1" applyFont="1" applyFill="1" applyBorder="1" applyAlignment="1">
      <alignment horizontal="left" vertical="center"/>
    </xf>
    <xf numFmtId="49" fontId="6" fillId="8" borderId="2" xfId="0" applyNumberFormat="1" applyFont="1" applyFill="1" applyBorder="1" applyAlignment="1">
      <alignment horizontal="left" vertical="center"/>
    </xf>
    <xf numFmtId="49" fontId="18" fillId="8" borderId="0" xfId="0" applyNumberFormat="1" applyFont="1" applyFill="1" applyAlignment="1">
      <alignment horizontal="center" vertical="center"/>
    </xf>
    <xf numFmtId="49" fontId="6" fillId="8" borderId="2" xfId="0" applyNumberFormat="1" applyFont="1" applyFill="1" applyBorder="1"/>
    <xf numFmtId="49" fontId="6" fillId="4" borderId="2" xfId="0" applyNumberFormat="1" applyFont="1" applyFill="1" applyBorder="1" applyAlignment="1">
      <alignment horizontal="left" vertical="center"/>
    </xf>
    <xf numFmtId="49" fontId="18" fillId="8" borderId="2" xfId="0" applyNumberFormat="1" applyFont="1" applyFill="1" applyBorder="1"/>
    <xf numFmtId="49" fontId="18" fillId="0" borderId="2" xfId="0" applyNumberFormat="1" applyFont="1" applyBorder="1"/>
    <xf numFmtId="49" fontId="18" fillId="9" borderId="2" xfId="0" applyNumberFormat="1" applyFont="1" applyFill="1" applyBorder="1"/>
    <xf numFmtId="49" fontId="11" fillId="10" borderId="2" xfId="0" applyNumberFormat="1" applyFont="1" applyFill="1" applyBorder="1"/>
    <xf numFmtId="49" fontId="8" fillId="10" borderId="0" xfId="0" applyNumberFormat="1" applyFont="1" applyFill="1" applyAlignment="1">
      <alignment horizontal="center" vertical="center"/>
    </xf>
    <xf numFmtId="49" fontId="6" fillId="3" borderId="2" xfId="0" applyNumberFormat="1" applyFont="1" applyFill="1" applyBorder="1" applyAlignment="1">
      <alignment vertical="center"/>
    </xf>
    <xf numFmtId="49" fontId="6" fillId="4" borderId="2" xfId="0" applyNumberFormat="1" applyFont="1" applyFill="1" applyBorder="1" applyAlignment="1">
      <alignment vertical="center"/>
    </xf>
    <xf numFmtId="49" fontId="21" fillId="10" borderId="2" xfId="0" applyNumberFormat="1" applyFont="1" applyFill="1" applyBorder="1" applyAlignment="1">
      <alignment horizontal="left" vertical="center"/>
    </xf>
    <xf numFmtId="49" fontId="5" fillId="7" borderId="0" xfId="0" applyNumberFormat="1" applyFont="1" applyFill="1" applyAlignment="1">
      <alignment horizontal="center"/>
    </xf>
    <xf numFmtId="49" fontId="5" fillId="7" borderId="0" xfId="0" applyNumberFormat="1" applyFont="1" applyFill="1"/>
    <xf numFmtId="49" fontId="5" fillId="11" borderId="2" xfId="0" applyNumberFormat="1" applyFont="1" applyFill="1" applyBorder="1"/>
    <xf numFmtId="49" fontId="5" fillId="11" borderId="0" xfId="0" applyNumberFormat="1" applyFont="1" applyFill="1"/>
    <xf numFmtId="49" fontId="5" fillId="11" borderId="0" xfId="0" applyNumberFormat="1" applyFont="1" applyFill="1" applyAlignment="1">
      <alignment horizontal="center"/>
    </xf>
    <xf numFmtId="49" fontId="1" fillId="11" borderId="2" xfId="0" applyNumberFormat="1" applyFont="1" applyFill="1" applyBorder="1"/>
    <xf numFmtId="49" fontId="23" fillId="0" borderId="2" xfId="0" applyNumberFormat="1" applyFont="1" applyBorder="1"/>
    <xf numFmtId="49" fontId="6" fillId="6" borderId="2" xfId="0" applyNumberFormat="1" applyFont="1" applyFill="1" applyBorder="1"/>
    <xf numFmtId="49" fontId="5" fillId="0" borderId="3" xfId="0" applyNumberFormat="1" applyFont="1" applyBorder="1" applyAlignment="1">
      <alignment vertical="top"/>
    </xf>
    <xf numFmtId="49" fontId="5" fillId="0" borderId="3" xfId="0" applyNumberFormat="1" applyFont="1" applyBorder="1" applyAlignment="1">
      <alignment horizontal="center" vertical="top"/>
    </xf>
    <xf numFmtId="49" fontId="1" fillId="0" borderId="3" xfId="0" applyNumberFormat="1" applyFont="1" applyBorder="1" applyAlignment="1">
      <alignment vertical="top"/>
    </xf>
    <xf numFmtId="49" fontId="1" fillId="0" borderId="2" xfId="0" applyNumberFormat="1" applyFont="1" applyBorder="1" applyAlignment="1">
      <alignment vertical="top"/>
    </xf>
    <xf numFmtId="49" fontId="5" fillId="0" borderId="2" xfId="0" applyNumberFormat="1" applyFont="1" applyBorder="1" applyAlignment="1">
      <alignment vertical="top"/>
    </xf>
    <xf numFmtId="49" fontId="5" fillId="4" borderId="2" xfId="0" applyNumberFormat="1" applyFont="1" applyFill="1" applyBorder="1" applyAlignment="1">
      <alignment vertical="top"/>
    </xf>
    <xf numFmtId="49" fontId="5" fillId="12" borderId="2" xfId="0" applyNumberFormat="1" applyFont="1" applyFill="1" applyBorder="1"/>
    <xf numFmtId="49" fontId="6" fillId="12" borderId="2" xfId="0" applyNumberFormat="1" applyFont="1" applyFill="1" applyBorder="1"/>
    <xf numFmtId="49" fontId="5" fillId="12" borderId="0" xfId="0" applyNumberFormat="1" applyFont="1" applyFill="1"/>
    <xf numFmtId="49" fontId="5" fillId="12" borderId="0" xfId="0" applyNumberFormat="1" applyFont="1" applyFill="1" applyAlignment="1">
      <alignment horizontal="center"/>
    </xf>
    <xf numFmtId="49" fontId="5" fillId="12" borderId="2" xfId="0" applyNumberFormat="1" applyFont="1" applyFill="1" applyBorder="1" applyAlignment="1">
      <alignment horizontal="center"/>
    </xf>
    <xf numFmtId="49" fontId="8" fillId="12" borderId="0" xfId="0" applyNumberFormat="1" applyFont="1" applyFill="1" applyAlignment="1">
      <alignment horizontal="center"/>
    </xf>
    <xf numFmtId="49" fontId="1" fillId="12" borderId="2" xfId="0" applyNumberFormat="1" applyFont="1" applyFill="1" applyBorder="1"/>
    <xf numFmtId="49" fontId="24" fillId="0" borderId="2" xfId="0" applyNumberFormat="1" applyFont="1" applyBorder="1"/>
    <xf numFmtId="49" fontId="13" fillId="8" borderId="2" xfId="0" applyNumberFormat="1" applyFont="1" applyFill="1" applyBorder="1"/>
    <xf numFmtId="49" fontId="6" fillId="13" borderId="2" xfId="0" applyNumberFormat="1" applyFont="1" applyFill="1" applyBorder="1" applyAlignment="1">
      <alignment vertical="center"/>
    </xf>
    <xf numFmtId="49" fontId="1" fillId="7" borderId="2" xfId="0" applyNumberFormat="1" applyFont="1" applyFill="1" applyBorder="1"/>
    <xf numFmtId="49" fontId="5" fillId="10" borderId="0" xfId="0" applyNumberFormat="1" applyFont="1" applyFill="1" applyAlignment="1">
      <alignment horizontal="center"/>
    </xf>
    <xf numFmtId="49" fontId="1" fillId="10" borderId="2" xfId="0" applyNumberFormat="1" applyFont="1" applyFill="1" applyBorder="1"/>
    <xf numFmtId="49" fontId="5" fillId="10" borderId="2" xfId="0" applyNumberFormat="1" applyFont="1" applyFill="1" applyBorder="1"/>
    <xf numFmtId="49" fontId="8" fillId="10" borderId="0" xfId="0" applyNumberFormat="1" applyFont="1" applyFill="1" applyAlignment="1">
      <alignment horizontal="center"/>
    </xf>
    <xf numFmtId="49" fontId="25" fillId="0" borderId="0" xfId="0" applyNumberFormat="1" applyFont="1" applyAlignment="1">
      <alignment horizontal="center" vertical="center"/>
    </xf>
    <xf numFmtId="49" fontId="5" fillId="6" borderId="2" xfId="0" applyNumberFormat="1" applyFont="1" applyFill="1" applyBorder="1" applyAlignment="1">
      <alignment horizontal="left" vertical="center"/>
    </xf>
    <xf numFmtId="49" fontId="3" fillId="0" borderId="0" xfId="0" applyNumberFormat="1" applyFont="1" applyAlignment="1">
      <alignment horizontal="center"/>
    </xf>
    <xf numFmtId="49" fontId="5" fillId="4" borderId="0" xfId="0" applyNumberFormat="1" applyFont="1" applyFill="1"/>
    <xf numFmtId="49" fontId="12" fillId="0" borderId="2" xfId="0" applyNumberFormat="1" applyFont="1" applyBorder="1"/>
    <xf numFmtId="49" fontId="26" fillId="12" borderId="2" xfId="0" applyNumberFormat="1" applyFont="1" applyFill="1" applyBorder="1"/>
    <xf numFmtId="49" fontId="5" fillId="2" borderId="0" xfId="0" applyNumberFormat="1" applyFont="1" applyFill="1"/>
    <xf numFmtId="49" fontId="18" fillId="12" borderId="2" xfId="0" applyNumberFormat="1" applyFont="1" applyFill="1" applyBorder="1"/>
    <xf numFmtId="49" fontId="5" fillId="12" borderId="3" xfId="0" applyNumberFormat="1" applyFont="1" applyFill="1" applyBorder="1" applyAlignment="1">
      <alignment horizontal="center" vertical="top"/>
    </xf>
    <xf numFmtId="49" fontId="1" fillId="12" borderId="3" xfId="0" applyNumberFormat="1" applyFont="1" applyFill="1" applyBorder="1" applyAlignment="1">
      <alignment vertical="top"/>
    </xf>
    <xf numFmtId="49" fontId="1" fillId="12" borderId="2" xfId="0" applyNumberFormat="1" applyFont="1" applyFill="1" applyBorder="1" applyAlignment="1">
      <alignment vertical="top"/>
    </xf>
    <xf numFmtId="49" fontId="5" fillId="12" borderId="2" xfId="0" applyNumberFormat="1" applyFont="1" applyFill="1" applyBorder="1" applyAlignment="1">
      <alignment vertical="top"/>
    </xf>
    <xf numFmtId="49" fontId="5" fillId="14" borderId="0" xfId="0" applyNumberFormat="1" applyFont="1" applyFill="1" applyAlignment="1">
      <alignment horizontal="center"/>
    </xf>
    <xf numFmtId="49" fontId="5" fillId="14" borderId="2" xfId="0" applyNumberFormat="1" applyFont="1" applyFill="1" applyBorder="1"/>
    <xf numFmtId="49" fontId="25" fillId="14" borderId="0" xfId="0" applyNumberFormat="1" applyFont="1" applyFill="1"/>
    <xf numFmtId="49" fontId="5" fillId="14" borderId="2" xfId="0" applyNumberFormat="1" applyFont="1" applyFill="1" applyBorder="1" applyAlignment="1">
      <alignment horizontal="center"/>
    </xf>
    <xf numFmtId="49" fontId="1" fillId="14" borderId="2" xfId="0" applyNumberFormat="1" applyFont="1" applyFill="1" applyBorder="1"/>
    <xf numFmtId="49" fontId="19" fillId="12" borderId="2" xfId="0" applyNumberFormat="1" applyFont="1" applyFill="1" applyBorder="1"/>
    <xf numFmtId="49" fontId="27" fillId="8" borderId="2" xfId="0" applyNumberFormat="1" applyFont="1" applyFill="1" applyBorder="1" applyAlignment="1">
      <alignment horizontal="left" vertical="center"/>
    </xf>
    <xf numFmtId="49" fontId="11" fillId="15" borderId="2" xfId="0" applyNumberFormat="1" applyFont="1" applyFill="1" applyBorder="1" applyAlignment="1">
      <alignment horizontal="left" vertical="center"/>
    </xf>
    <xf numFmtId="49" fontId="6" fillId="8" borderId="0" xfId="0" applyNumberFormat="1" applyFont="1" applyFill="1"/>
    <xf numFmtId="49" fontId="28" fillId="0" borderId="2" xfId="0" applyNumberFormat="1" applyFont="1" applyBorder="1" applyAlignment="1">
      <alignment horizontal="left"/>
    </xf>
    <xf numFmtId="49" fontId="6" fillId="6" borderId="2" xfId="0" applyNumberFormat="1" applyFont="1" applyFill="1" applyBorder="1" applyAlignment="1">
      <alignment horizontal="left"/>
    </xf>
    <xf numFmtId="49" fontId="6" fillId="11" borderId="0" xfId="0" applyNumberFormat="1" applyFont="1" applyFill="1" applyAlignment="1">
      <alignment vertical="center"/>
    </xf>
    <xf numFmtId="49" fontId="6" fillId="11" borderId="2" xfId="0" applyNumberFormat="1" applyFont="1" applyFill="1" applyBorder="1" applyAlignment="1">
      <alignment vertical="center"/>
    </xf>
    <xf numFmtId="49" fontId="6" fillId="11" borderId="0" xfId="0" applyNumberFormat="1" applyFont="1" applyFill="1" applyAlignment="1">
      <alignment horizontal="center" vertical="center"/>
    </xf>
    <xf numFmtId="49" fontId="6" fillId="11" borderId="2" xfId="0" applyNumberFormat="1" applyFont="1" applyFill="1" applyBorder="1" applyAlignment="1">
      <alignment horizontal="center" vertical="center"/>
    </xf>
    <xf numFmtId="49" fontId="6" fillId="11" borderId="2" xfId="0" applyNumberFormat="1" applyFont="1" applyFill="1" applyBorder="1" applyAlignment="1">
      <alignment horizontal="left" vertical="center"/>
    </xf>
    <xf numFmtId="49" fontId="5" fillId="11" borderId="2" xfId="0" applyNumberFormat="1" applyFont="1" applyFill="1" applyBorder="1" applyAlignment="1">
      <alignment vertical="center"/>
    </xf>
    <xf numFmtId="49" fontId="5" fillId="11" borderId="2" xfId="0" applyNumberFormat="1" applyFont="1" applyFill="1" applyBorder="1" applyAlignment="1">
      <alignment horizontal="left" vertical="center"/>
    </xf>
    <xf numFmtId="49" fontId="5" fillId="11" borderId="2" xfId="0" applyNumberFormat="1" applyFont="1" applyFill="1" applyBorder="1" applyAlignment="1">
      <alignment horizontal="left"/>
    </xf>
    <xf numFmtId="49" fontId="8" fillId="11" borderId="0" xfId="0" applyNumberFormat="1" applyFont="1" applyFill="1" applyAlignment="1">
      <alignment horizontal="center" vertical="center"/>
    </xf>
    <xf numFmtId="49" fontId="29" fillId="8" borderId="2" xfId="0" applyNumberFormat="1" applyFont="1" applyFill="1" applyBorder="1"/>
    <xf numFmtId="49" fontId="2" fillId="2" borderId="2" xfId="0" applyNumberFormat="1" applyFont="1" applyFill="1" applyBorder="1" applyAlignment="1">
      <alignment horizontal="center" vertical="center"/>
    </xf>
    <xf numFmtId="49" fontId="30" fillId="0" borderId="2" xfId="0" applyNumberFormat="1" applyFont="1" applyBorder="1"/>
    <xf numFmtId="49" fontId="31" fillId="0" borderId="3" xfId="0" applyNumberFormat="1" applyFont="1" applyBorder="1"/>
    <xf numFmtId="49" fontId="6" fillId="4" borderId="3" xfId="0" applyNumberFormat="1" applyFont="1" applyFill="1" applyBorder="1"/>
    <xf numFmtId="49" fontId="6" fillId="8" borderId="0" xfId="0" applyNumberFormat="1" applyFont="1" applyFill="1" applyAlignment="1">
      <alignment horizontal="left" vertical="center"/>
    </xf>
    <xf numFmtId="49" fontId="18" fillId="7" borderId="2" xfId="0" applyNumberFormat="1" applyFont="1" applyFill="1" applyBorder="1"/>
    <xf numFmtId="49" fontId="18" fillId="7" borderId="0" xfId="0" applyNumberFormat="1" applyFont="1" applyFill="1" applyAlignment="1">
      <alignment horizontal="center" vertical="center"/>
    </xf>
    <xf numFmtId="49" fontId="18" fillId="7" borderId="2" xfId="0" applyNumberFormat="1" applyFont="1" applyFill="1" applyBorder="1" applyAlignment="1">
      <alignment horizontal="left" vertical="center"/>
    </xf>
    <xf numFmtId="49" fontId="32" fillId="0" borderId="2" xfId="0" applyNumberFormat="1" applyFont="1" applyBorder="1" applyAlignment="1">
      <alignment horizontal="left" vertical="center"/>
    </xf>
    <xf numFmtId="49" fontId="33" fillId="0" borderId="2" xfId="0" applyNumberFormat="1" applyFont="1" applyBorder="1" applyAlignment="1">
      <alignment horizontal="left" vertical="center"/>
    </xf>
    <xf numFmtId="0" fontId="6" fillId="0" borderId="0" xfId="0" applyFont="1" applyAlignment="1">
      <alignment horizontal="right"/>
    </xf>
    <xf numFmtId="0" fontId="3" fillId="0" borderId="4" xfId="0" applyFont="1" applyBorder="1" applyAlignment="1">
      <alignment horizontal="center" vertical="center" wrapText="1"/>
    </xf>
    <xf numFmtId="0" fontId="2" fillId="0" borderId="4" xfId="0" applyFont="1" applyBorder="1" applyAlignment="1">
      <alignment horizontal="center" vertical="center" wrapText="1"/>
    </xf>
    <xf numFmtId="0" fontId="36" fillId="0" borderId="0" xfId="0" applyFont="1"/>
    <xf numFmtId="0" fontId="37" fillId="0" borderId="5" xfId="0" applyFont="1" applyBorder="1" applyAlignment="1">
      <alignment horizontal="center" vertical="center" wrapText="1"/>
    </xf>
    <xf numFmtId="0" fontId="2" fillId="0" borderId="0" xfId="0" applyFont="1" applyAlignment="1">
      <alignment horizontal="center"/>
    </xf>
    <xf numFmtId="0" fontId="38" fillId="8" borderId="0" xfId="0" applyFont="1" applyFill="1"/>
    <xf numFmtId="0" fontId="39" fillId="0" borderId="0" xfId="0" applyFont="1"/>
    <xf numFmtId="0" fontId="6" fillId="0" borderId="0" xfId="0" applyFont="1"/>
    <xf numFmtId="0" fontId="38" fillId="8" borderId="0" xfId="0" applyFont="1" applyFill="1" applyAlignment="1">
      <alignment horizontal="left" vertical="center"/>
    </xf>
    <xf numFmtId="0" fontId="38" fillId="8" borderId="0" xfId="0" applyFont="1" applyFill="1" applyAlignment="1">
      <alignment vertical="center"/>
    </xf>
    <xf numFmtId="0" fontId="38" fillId="8" borderId="1" xfId="0" applyFont="1" applyFill="1" applyBorder="1" applyAlignment="1">
      <alignment vertical="center"/>
    </xf>
    <xf numFmtId="0" fontId="38" fillId="16" borderId="0" xfId="0" applyFont="1" applyFill="1" applyAlignment="1">
      <alignment horizontal="left"/>
    </xf>
    <xf numFmtId="0" fontId="38" fillId="5" borderId="0" xfId="0" applyFont="1" applyFill="1" applyAlignment="1">
      <alignment vertical="center"/>
    </xf>
    <xf numFmtId="0" fontId="38" fillId="5" borderId="1" xfId="0" applyFont="1" applyFill="1" applyBorder="1" applyAlignment="1">
      <alignment vertical="center"/>
    </xf>
    <xf numFmtId="0" fontId="38" fillId="0" borderId="0" xfId="0" applyFont="1" applyAlignment="1">
      <alignment vertical="center"/>
    </xf>
    <xf numFmtId="0" fontId="38" fillId="0" borderId="2" xfId="0" applyFont="1" applyBorder="1" applyAlignment="1">
      <alignment vertical="center"/>
    </xf>
    <xf numFmtId="0" fontId="36" fillId="0" borderId="2" xfId="0" applyFont="1" applyBorder="1" applyAlignment="1">
      <alignment horizontal="center" vertical="center"/>
    </xf>
    <xf numFmtId="0" fontId="36" fillId="0" borderId="2" xfId="0" applyFont="1" applyBorder="1" applyAlignment="1">
      <alignment vertical="center"/>
    </xf>
    <xf numFmtId="0" fontId="38" fillId="0" borderId="2" xfId="0" applyFont="1" applyBorder="1" applyAlignment="1">
      <alignment horizontal="left" vertical="center"/>
    </xf>
    <xf numFmtId="0" fontId="36" fillId="0" borderId="2" xfId="0" applyFont="1" applyBorder="1" applyAlignment="1">
      <alignment horizontal="center"/>
    </xf>
    <xf numFmtId="0" fontId="38" fillId="0" borderId="1" xfId="0" applyFont="1" applyBorder="1" applyAlignment="1">
      <alignment vertical="center"/>
    </xf>
    <xf numFmtId="0" fontId="38" fillId="5" borderId="0" xfId="0" applyFont="1" applyFill="1" applyAlignment="1">
      <alignment horizontal="left" vertical="center"/>
    </xf>
    <xf numFmtId="0" fontId="40" fillId="5" borderId="0" xfId="0" applyFont="1" applyFill="1" applyAlignment="1">
      <alignment vertical="center"/>
    </xf>
    <xf numFmtId="0" fontId="40" fillId="0" borderId="0" xfId="0" applyFont="1" applyAlignment="1">
      <alignment vertical="center"/>
    </xf>
    <xf numFmtId="0" fontId="6" fillId="6" borderId="0" xfId="0" applyFont="1" applyFill="1"/>
    <xf numFmtId="0" fontId="38" fillId="16" borderId="1" xfId="0" applyFont="1" applyFill="1" applyBorder="1" applyAlignment="1">
      <alignment vertical="center"/>
    </xf>
    <xf numFmtId="0" fontId="36" fillId="16" borderId="1" xfId="0" applyFont="1" applyFill="1" applyBorder="1" applyAlignment="1">
      <alignment horizontal="left" vertical="center"/>
    </xf>
    <xf numFmtId="0" fontId="36" fillId="5" borderId="1" xfId="0" applyFont="1" applyFill="1" applyBorder="1" applyAlignment="1">
      <alignment horizontal="left" vertical="center"/>
    </xf>
    <xf numFmtId="0" fontId="38" fillId="16" borderId="1" xfId="0" applyFont="1" applyFill="1" applyBorder="1" applyAlignment="1">
      <alignment horizontal="left" vertical="center"/>
    </xf>
    <xf numFmtId="0" fontId="38" fillId="5" borderId="1" xfId="0" applyFont="1" applyFill="1" applyBorder="1" applyAlignment="1">
      <alignment horizontal="left" vertical="center"/>
    </xf>
    <xf numFmtId="0" fontId="36" fillId="16" borderId="1" xfId="0" applyFont="1" applyFill="1" applyBorder="1" applyAlignment="1">
      <alignment vertical="center"/>
    </xf>
    <xf numFmtId="0" fontId="40" fillId="0" borderId="1" xfId="0" applyFont="1" applyBorder="1" applyAlignment="1">
      <alignment vertical="center"/>
    </xf>
    <xf numFmtId="165" fontId="36" fillId="0" borderId="0" xfId="0" applyNumberFormat="1" applyFont="1"/>
    <xf numFmtId="0" fontId="36" fillId="5" borderId="1" xfId="0" applyFont="1" applyFill="1" applyBorder="1" applyAlignment="1">
      <alignment vertical="center"/>
    </xf>
    <xf numFmtId="0" fontId="40" fillId="16" borderId="7" xfId="0" applyFont="1" applyFill="1" applyBorder="1" applyAlignment="1">
      <alignment vertical="center"/>
    </xf>
    <xf numFmtId="0" fontId="40" fillId="8" borderId="1" xfId="0" applyFont="1" applyFill="1" applyBorder="1" applyAlignment="1">
      <alignment vertical="center"/>
    </xf>
    <xf numFmtId="0" fontId="38" fillId="13" borderId="1" xfId="0" applyFont="1" applyFill="1" applyBorder="1" applyAlignment="1">
      <alignment vertical="center"/>
    </xf>
    <xf numFmtId="0" fontId="41" fillId="0" borderId="1" xfId="0" applyFont="1" applyBorder="1" applyAlignment="1">
      <alignment vertical="center"/>
    </xf>
    <xf numFmtId="0" fontId="41" fillId="8" borderId="1" xfId="0" applyFont="1" applyFill="1" applyBorder="1" applyAlignment="1">
      <alignment horizontal="left" vertical="center"/>
    </xf>
    <xf numFmtId="0" fontId="38" fillId="5" borderId="8" xfId="0" applyFont="1" applyFill="1" applyBorder="1" applyAlignment="1">
      <alignment vertical="center"/>
    </xf>
    <xf numFmtId="0" fontId="42" fillId="16" borderId="2" xfId="0" applyFont="1" applyFill="1" applyBorder="1" applyAlignment="1">
      <alignment vertical="center"/>
    </xf>
    <xf numFmtId="0" fontId="42" fillId="5" borderId="2" xfId="0" applyFont="1" applyFill="1" applyBorder="1" applyAlignment="1">
      <alignment vertical="center"/>
    </xf>
    <xf numFmtId="0" fontId="42" fillId="0" borderId="2" xfId="0" applyFont="1" applyBorder="1" applyAlignment="1">
      <alignment vertical="center"/>
    </xf>
    <xf numFmtId="0" fontId="43" fillId="2" borderId="2" xfId="0" applyFont="1" applyFill="1" applyBorder="1" applyAlignment="1">
      <alignment horizontal="center" vertical="center"/>
    </xf>
    <xf numFmtId="0" fontId="36" fillId="4" borderId="2" xfId="0" applyFont="1" applyFill="1" applyBorder="1" applyAlignment="1">
      <alignment vertical="center"/>
    </xf>
    <xf numFmtId="0" fontId="36" fillId="4" borderId="2" xfId="0" applyFont="1" applyFill="1" applyBorder="1" applyAlignment="1">
      <alignment horizontal="left" vertical="center"/>
    </xf>
    <xf numFmtId="0" fontId="44" fillId="6" borderId="2" xfId="0" applyFont="1" applyFill="1" applyBorder="1" applyAlignment="1">
      <alignment horizontal="center"/>
    </xf>
    <xf numFmtId="0" fontId="36" fillId="6" borderId="3" xfId="0" applyFont="1" applyFill="1" applyBorder="1"/>
    <xf numFmtId="0" fontId="36" fillId="0" borderId="3" xfId="0" applyFont="1" applyBorder="1" applyAlignment="1">
      <alignment horizontal="left"/>
    </xf>
    <xf numFmtId="0" fontId="41" fillId="0" borderId="2" xfId="0" applyFont="1" applyBorder="1" applyAlignment="1">
      <alignment vertical="center"/>
    </xf>
    <xf numFmtId="0" fontId="36" fillId="0" borderId="2" xfId="0" applyFont="1" applyBorder="1" applyAlignment="1">
      <alignment horizontal="left" vertical="center"/>
    </xf>
    <xf numFmtId="0" fontId="36" fillId="0" borderId="1" xfId="0" applyFont="1" applyBorder="1" applyAlignment="1">
      <alignment vertical="center"/>
    </xf>
    <xf numFmtId="0" fontId="45" fillId="2" borderId="2" xfId="0" applyFont="1" applyFill="1" applyBorder="1" applyAlignment="1">
      <alignment horizontal="center" vertical="center"/>
    </xf>
    <xf numFmtId="0" fontId="38" fillId="0" borderId="5" xfId="0" applyFont="1" applyBorder="1" applyAlignment="1">
      <alignment horizontal="left" vertical="center"/>
    </xf>
    <xf numFmtId="0" fontId="36" fillId="0" borderId="3" xfId="0" applyFont="1" applyBorder="1"/>
    <xf numFmtId="0" fontId="38" fillId="17" borderId="1" xfId="0" applyFont="1" applyFill="1" applyBorder="1" applyAlignment="1">
      <alignment vertical="center"/>
    </xf>
    <xf numFmtId="0" fontId="38" fillId="0" borderId="4" xfId="0" applyFont="1" applyBorder="1" applyAlignment="1">
      <alignment horizontal="left" vertical="center" wrapText="1"/>
    </xf>
    <xf numFmtId="0" fontId="38" fillId="5" borderId="7" xfId="0" applyFont="1" applyFill="1" applyBorder="1" applyAlignment="1">
      <alignment vertical="center"/>
    </xf>
    <xf numFmtId="0" fontId="38" fillId="0" borderId="7" xfId="0" applyFont="1" applyBorder="1" applyAlignment="1">
      <alignment vertical="center"/>
    </xf>
    <xf numFmtId="0" fontId="38" fillId="0" borderId="5" xfId="0" applyFont="1" applyBorder="1" applyAlignment="1">
      <alignment vertical="center"/>
    </xf>
    <xf numFmtId="0" fontId="38" fillId="0" borderId="5" xfId="0" applyFont="1" applyBorder="1" applyAlignment="1">
      <alignment horizontal="center" vertical="center"/>
    </xf>
    <xf numFmtId="0" fontId="36" fillId="6" borderId="3" xfId="0" applyFont="1" applyFill="1" applyBorder="1" applyAlignment="1">
      <alignment horizontal="left"/>
    </xf>
    <xf numFmtId="0" fontId="36" fillId="0" borderId="5" xfId="0" applyFont="1" applyBorder="1" applyAlignment="1">
      <alignment horizontal="center" vertical="center"/>
    </xf>
    <xf numFmtId="0" fontId="38" fillId="16" borderId="2" xfId="0" applyFont="1" applyFill="1" applyBorder="1" applyAlignment="1">
      <alignment vertical="center"/>
    </xf>
    <xf numFmtId="0" fontId="38" fillId="6" borderId="2" xfId="0" applyFont="1" applyFill="1" applyBorder="1" applyAlignment="1">
      <alignment vertical="center"/>
    </xf>
    <xf numFmtId="0" fontId="38" fillId="0" borderId="5" xfId="0" applyFont="1" applyBorder="1" applyAlignment="1">
      <alignment horizontal="left" vertical="center" wrapText="1"/>
    </xf>
    <xf numFmtId="0" fontId="36" fillId="6" borderId="7" xfId="0" applyFont="1" applyFill="1" applyBorder="1" applyAlignment="1">
      <alignment vertical="center"/>
    </xf>
    <xf numFmtId="0" fontId="38" fillId="3" borderId="7" xfId="0" applyFont="1" applyFill="1" applyBorder="1" applyAlignment="1">
      <alignment vertical="center"/>
    </xf>
    <xf numFmtId="0" fontId="36" fillId="0" borderId="3" xfId="0" applyFont="1" applyBorder="1" applyAlignment="1">
      <alignment horizontal="center"/>
    </xf>
    <xf numFmtId="0" fontId="36" fillId="6" borderId="3" xfId="0" applyFont="1" applyFill="1" applyBorder="1" applyAlignment="1">
      <alignment horizontal="left" vertical="center"/>
    </xf>
    <xf numFmtId="0" fontId="46" fillId="0" borderId="2" xfId="0" applyFont="1" applyBorder="1" applyAlignment="1">
      <alignment vertical="center"/>
    </xf>
    <xf numFmtId="0" fontId="47" fillId="0" borderId="2" xfId="0" applyFont="1" applyBorder="1" applyAlignment="1">
      <alignment horizontal="left" vertical="center"/>
    </xf>
    <xf numFmtId="0" fontId="36" fillId="0" borderId="3" xfId="0" applyFont="1" applyBorder="1" applyAlignment="1">
      <alignment vertical="center"/>
    </xf>
    <xf numFmtId="0" fontId="38" fillId="5" borderId="0" xfId="0" applyFont="1" applyFill="1"/>
    <xf numFmtId="0" fontId="38" fillId="3" borderId="1" xfId="0" applyFont="1" applyFill="1" applyBorder="1" applyAlignment="1">
      <alignment vertical="center"/>
    </xf>
    <xf numFmtId="0" fontId="38" fillId="6" borderId="5" xfId="0" applyFont="1" applyFill="1" applyBorder="1" applyAlignment="1">
      <alignment horizontal="left" vertical="center"/>
    </xf>
    <xf numFmtId="0" fontId="44" fillId="6" borderId="3" xfId="0" applyFont="1" applyFill="1" applyBorder="1" applyAlignment="1">
      <alignment horizontal="left"/>
    </xf>
    <xf numFmtId="0" fontId="38" fillId="7" borderId="0" xfId="0" applyFont="1" applyFill="1" applyAlignment="1">
      <alignment vertical="center"/>
    </xf>
    <xf numFmtId="0" fontId="36" fillId="5" borderId="0" xfId="0" applyFont="1" applyFill="1" applyAlignment="1">
      <alignment vertical="center"/>
    </xf>
    <xf numFmtId="0" fontId="38" fillId="16" borderId="0" xfId="0" applyFont="1" applyFill="1" applyAlignment="1">
      <alignment vertical="center"/>
    </xf>
    <xf numFmtId="0" fontId="38" fillId="16" borderId="7" xfId="0" applyFont="1" applyFill="1" applyBorder="1" applyAlignment="1">
      <alignment vertical="center"/>
    </xf>
    <xf numFmtId="0" fontId="38" fillId="5" borderId="2" xfId="0" applyFont="1" applyFill="1" applyBorder="1" applyAlignment="1">
      <alignment vertical="center"/>
    </xf>
    <xf numFmtId="0" fontId="40" fillId="5" borderId="1" xfId="0" applyFont="1" applyFill="1" applyBorder="1" applyAlignment="1">
      <alignment vertical="center"/>
    </xf>
    <xf numFmtId="0" fontId="38" fillId="5" borderId="2" xfId="0" applyFont="1" applyFill="1" applyBorder="1" applyAlignment="1">
      <alignment horizontal="left" vertical="center"/>
    </xf>
    <xf numFmtId="0" fontId="38" fillId="0" borderId="1" xfId="0" applyFont="1" applyBorder="1" applyAlignment="1">
      <alignment horizontal="left" vertical="center"/>
    </xf>
    <xf numFmtId="0" fontId="36" fillId="6" borderId="2" xfId="0" applyFont="1" applyFill="1" applyBorder="1"/>
    <xf numFmtId="0" fontId="36" fillId="6" borderId="2" xfId="0" applyFont="1" applyFill="1" applyBorder="1" applyAlignment="1">
      <alignment horizontal="left" vertical="center"/>
    </xf>
    <xf numFmtId="0" fontId="3" fillId="0" borderId="0" xfId="0" applyFont="1"/>
    <xf numFmtId="0" fontId="48" fillId="0" borderId="0" xfId="0" applyFont="1"/>
    <xf numFmtId="0" fontId="49" fillId="18" borderId="0" xfId="0" applyFont="1" applyFill="1"/>
    <xf numFmtId="0" fontId="50" fillId="18" borderId="0" xfId="0" applyFont="1" applyFill="1"/>
    <xf numFmtId="0" fontId="51" fillId="18" borderId="0" xfId="0" applyFont="1" applyFill="1"/>
    <xf numFmtId="0" fontId="22" fillId="0" borderId="0" xfId="0" applyFont="1"/>
    <xf numFmtId="0" fontId="52" fillId="0" borderId="0" xfId="0" applyFont="1"/>
    <xf numFmtId="0" fontId="6" fillId="0" borderId="0" xfId="0" quotePrefix="1" applyFont="1"/>
    <xf numFmtId="0" fontId="4" fillId="0" borderId="4" xfId="0" applyFont="1" applyBorder="1" applyAlignment="1">
      <alignment horizontal="center" vertical="center" wrapText="1"/>
    </xf>
    <xf numFmtId="0" fontId="3" fillId="0" borderId="4" xfId="0" applyFont="1" applyBorder="1" applyAlignment="1">
      <alignment horizontal="center" vertical="center"/>
    </xf>
    <xf numFmtId="0" fontId="2" fillId="0" borderId="4" xfId="0" quotePrefix="1" applyFont="1" applyBorder="1" applyAlignment="1">
      <alignment horizontal="center" vertical="center" wrapText="1"/>
    </xf>
    <xf numFmtId="0" fontId="25" fillId="0" borderId="4" xfId="0" applyFont="1" applyBorder="1" applyAlignment="1">
      <alignment horizontal="center" vertical="center" wrapText="1"/>
    </xf>
    <xf numFmtId="0" fontId="53" fillId="0" borderId="5" xfId="0" applyFont="1" applyBorder="1" applyAlignment="1">
      <alignment horizontal="center" vertical="center" wrapText="1"/>
    </xf>
    <xf numFmtId="0" fontId="3" fillId="0" borderId="4" xfId="0" applyFont="1" applyBorder="1" applyAlignment="1">
      <alignment horizontal="left" vertical="center"/>
    </xf>
    <xf numFmtId="0" fontId="3" fillId="5" borderId="4"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54" fillId="5" borderId="4"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2" fillId="8" borderId="0" xfId="0" applyFont="1" applyFill="1" applyAlignment="1">
      <alignment horizontal="center" vertical="center" wrapText="1"/>
    </xf>
    <xf numFmtId="0" fontId="12" fillId="0" borderId="5" xfId="0" applyFont="1" applyBorder="1"/>
    <xf numFmtId="0" fontId="12" fillId="0" borderId="2" xfId="0" applyFont="1" applyBorder="1"/>
    <xf numFmtId="0" fontId="12" fillId="0" borderId="6" xfId="0" applyFont="1" applyBorder="1"/>
    <xf numFmtId="0" fontId="36" fillId="0" borderId="0" xfId="0" applyFont="1" applyAlignment="1">
      <alignment vertical="center"/>
    </xf>
    <xf numFmtId="0" fontId="43" fillId="0" borderId="0" xfId="0" applyFont="1" applyAlignment="1">
      <alignment horizontal="center" vertical="center"/>
    </xf>
    <xf numFmtId="0" fontId="36" fillId="0" borderId="0" xfId="0" applyFont="1" applyAlignment="1">
      <alignment vertical="center" wrapText="1"/>
    </xf>
    <xf numFmtId="0" fontId="55" fillId="0" borderId="0" xfId="0" applyFont="1" applyAlignment="1">
      <alignment horizontal="center" vertical="center" wrapText="1"/>
    </xf>
    <xf numFmtId="0" fontId="43" fillId="5" borderId="0" xfId="0" applyFont="1" applyFill="1" applyAlignment="1">
      <alignment horizontal="center" vertical="center" wrapText="1"/>
    </xf>
    <xf numFmtId="0" fontId="56" fillId="5" borderId="0" xfId="0" applyFont="1" applyFill="1" applyAlignment="1">
      <alignment vertical="center" wrapText="1"/>
    </xf>
    <xf numFmtId="0" fontId="56" fillId="0" borderId="0" xfId="0" applyFont="1" applyAlignment="1">
      <alignment vertical="center"/>
    </xf>
    <xf numFmtId="0" fontId="37" fillId="0" borderId="0" xfId="0" applyFont="1" applyAlignment="1">
      <alignment horizontal="center" vertical="center"/>
    </xf>
    <xf numFmtId="0" fontId="55" fillId="16" borderId="0" xfId="0" applyFont="1" applyFill="1" applyAlignment="1">
      <alignment horizontal="center" vertical="center"/>
    </xf>
    <xf numFmtId="0" fontId="55" fillId="16" borderId="0" xfId="0" applyFont="1" applyFill="1" applyAlignment="1">
      <alignment vertical="center"/>
    </xf>
    <xf numFmtId="0" fontId="56" fillId="16" borderId="0" xfId="0" applyFont="1" applyFill="1" applyAlignment="1">
      <alignment vertical="center"/>
    </xf>
    <xf numFmtId="0" fontId="56" fillId="0" borderId="0" xfId="0" applyFont="1" applyAlignment="1">
      <alignment vertical="center" wrapText="1"/>
    </xf>
    <xf numFmtId="0" fontId="56" fillId="0" borderId="0" xfId="0" applyFont="1" applyAlignment="1">
      <alignment horizontal="center" vertical="center"/>
    </xf>
    <xf numFmtId="0" fontId="56" fillId="16" borderId="0" xfId="0" applyFont="1" applyFill="1" applyAlignment="1">
      <alignment horizontal="center" vertical="center"/>
    </xf>
    <xf numFmtId="0" fontId="34" fillId="0" borderId="0" xfId="0" applyFont="1" applyAlignment="1">
      <alignment horizontal="left" vertical="center"/>
    </xf>
    <xf numFmtId="0" fontId="34" fillId="0" borderId="0" xfId="0" applyFont="1" applyAlignment="1">
      <alignment vertical="center"/>
    </xf>
    <xf numFmtId="0" fontId="34" fillId="0" borderId="0" xfId="0" quotePrefix="1" applyFont="1" applyAlignment="1">
      <alignment vertical="center"/>
    </xf>
    <xf numFmtId="0" fontId="56" fillId="0" borderId="0" xfId="0" quotePrefix="1" applyFont="1" applyAlignment="1">
      <alignment vertical="center"/>
    </xf>
    <xf numFmtId="0" fontId="36" fillId="0" borderId="0" xfId="0" applyFont="1" applyAlignment="1">
      <alignment horizontal="left" vertical="center"/>
    </xf>
    <xf numFmtId="0" fontId="38" fillId="0" borderId="0" xfId="0" applyFont="1" applyAlignment="1">
      <alignment horizontal="left" vertical="center"/>
    </xf>
    <xf numFmtId="0" fontId="0" fillId="0" borderId="0" xfId="0"/>
    <xf numFmtId="0" fontId="57" fillId="6" borderId="0" xfId="0" applyFont="1" applyFill="1" applyAlignment="1">
      <alignment horizontal="center" vertical="center"/>
    </xf>
    <xf numFmtId="0" fontId="57" fillId="7" borderId="0" xfId="0" applyFont="1" applyFill="1" applyAlignment="1">
      <alignment horizontal="center" vertical="center"/>
    </xf>
    <xf numFmtId="0" fontId="58" fillId="7" borderId="0" xfId="0" applyFont="1" applyFill="1" applyAlignment="1">
      <alignment horizontal="center" vertical="center"/>
    </xf>
    <xf numFmtId="0" fontId="55" fillId="7" borderId="0" xfId="0" applyFont="1" applyFill="1" applyAlignment="1">
      <alignment horizontal="center" vertical="center"/>
    </xf>
    <xf numFmtId="0" fontId="43" fillId="5" borderId="0" xfId="0" applyFont="1" applyFill="1" applyAlignment="1">
      <alignment horizontal="center" vertical="center" wrapText="1"/>
    </xf>
  </cellXfs>
  <cellStyles count="1">
    <cellStyle name="Normal" xfId="0" builtinId="0"/>
  </cellStyles>
  <dxfs count="10">
    <dxf>
      <fill>
        <patternFill patternType="solid">
          <fgColor rgb="FFF8F9FA"/>
          <bgColor rgb="FFF8F9FA"/>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s>
  <tableStyles count="4">
    <tableStyle name="GC maDMP Master Sheet-style" pivot="0" count="2" xr9:uid="{00000000-0011-0000-FFFF-FFFF00000000}">
      <tableStyleElement type="firstRowStripe" dxfId="9"/>
      <tableStyleElement type="secondRowStripe" dxfId="8"/>
    </tableStyle>
    <tableStyle name="GC maDMP Master Sheet-style 2" pivot="0" count="2" xr9:uid="{00000000-0011-0000-FFFF-FFFF01000000}">
      <tableStyleElement type="firstRowStripe" dxfId="7"/>
      <tableStyleElement type="secondRowStripe" dxfId="6"/>
    </tableStyle>
    <tableStyle name="GC Digital Archival Records-style" pivot="0" count="4" xr9:uid="{00000000-0011-0000-FFFF-FFFF02000000}">
      <tableStyleElement type="wholeTable" size="0" dxfId="2"/>
      <tableStyleElement type="headerRow" dxfId="5"/>
      <tableStyleElement type="firstRowStripe" dxfId="4"/>
      <tableStyleElement type="secondRowStripe" dxfId="3"/>
    </tableStyle>
    <tableStyle name="DELETION 2025-10-31-style" pivot="0" count="2" xr9:uid="{00000000-0011-0000-FFFF-FFFF03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ocumenttasks/documenttask1.xml><?xml version="1.0" encoding="utf-8"?>
<Tasks xmlns="http://schemas.microsoft.com/office/tasks/2019/documenttasks">
  <Task id="{1D8F6CEB-DD1D-48D0-B287-839A1DBABC1F}">
    <Anchor>
      <Comment id="{85229C49-DDEA-422B-8F01-E7561AB51065}"/>
    </Anchor>
    <History>
      <Event time="2021-06-22T14:17:12.0" id="{E808DF4E-45FA-4431-871E-71A97AF06431}">
        <Attribution userId="placeholder@email.com" userName="Claire Austin" userProvider="google-sheets"/>
        <Anchor>
          <Comment id="{85229C49-DDEA-422B-8F01-E7561AB51065}"/>
        </Anchor>
        <Create/>
      </Event>
      <Event time="2021-06-22T14:17:12.0" id="{D8BF237B-EAF7-4E96-9747-629632F1A63E}">
        <Attribution userId="placeholder@email.com" userName="Claire Austin" userProvider="google-sheets"/>
        <Anchor>
          <Comment id="{85229C49-DDEA-422B-8F01-E7561AB51065}"/>
        </Anchor>
        <Assign userId="katherine.timms@bac-lac.gc.ca" userName="katherine.timms@bac-lac.gc.ca" userProvider="google-sheets"/>
      </Event>
    </History>
  </Task>
</Tasks>
</file>

<file path=xl/drawings/drawing1.xml><?xml version="1.0" encoding="utf-8"?>
<xdr:wsDr xmlns:xdr="http://schemas.openxmlformats.org/drawingml/2006/spreadsheetDrawing" xmlns:a="http://schemas.openxmlformats.org/drawingml/2006/main">
  <xdr:twoCellAnchor editAs="absolute">
    <xdr:from>
      <xdr:col>9</xdr:col>
      <xdr:colOff>371475</xdr:colOff>
      <xdr:row>420</xdr:row>
      <xdr:rowOff>95250</xdr:rowOff>
    </xdr:from>
    <xdr:to>
      <xdr:col>11</xdr:col>
      <xdr:colOff>104775</xdr:colOff>
      <xdr:row>426</xdr:row>
      <xdr:rowOff>38100</xdr:rowOff>
    </xdr:to>
    <xdr:sp macro="" textlink="">
      <xdr:nvSpPr>
        <xdr:cNvPr id="2207" name="Text Box 159" hidden="1">
          <a:extLst>
            <a:ext uri="{FF2B5EF4-FFF2-40B4-BE49-F238E27FC236}">
              <a16:creationId xmlns:a16="http://schemas.microsoft.com/office/drawing/2014/main" id="{EE5AB481-FBF5-E14C-5500-BD1B83A17C9C}"/>
            </a:ext>
          </a:extLst>
        </xdr:cNvPr>
        <xdr:cNvSpPr txBox="1">
          <a:spLocks noChangeArrowheads="1"/>
        </xdr:cNvSpPr>
      </xdr:nvSpPr>
      <xdr:spPr bwMode="auto">
        <a:xfrm>
          <a:off x="14916150" y="67579875"/>
          <a:ext cx="2019300" cy="8858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371475</xdr:colOff>
      <xdr:row>275</xdr:row>
      <xdr:rowOff>95250</xdr:rowOff>
    </xdr:from>
    <xdr:to>
      <xdr:col>11</xdr:col>
      <xdr:colOff>104775</xdr:colOff>
      <xdr:row>283</xdr:row>
      <xdr:rowOff>38100</xdr:rowOff>
    </xdr:to>
    <xdr:sp macro="" textlink="">
      <xdr:nvSpPr>
        <xdr:cNvPr id="2201" name="Text Box 153" hidden="1">
          <a:extLst>
            <a:ext uri="{FF2B5EF4-FFF2-40B4-BE49-F238E27FC236}">
              <a16:creationId xmlns:a16="http://schemas.microsoft.com/office/drawing/2014/main" id="{653E6FF4-9CA7-2E8A-BCED-3D6BDC016818}"/>
            </a:ext>
          </a:extLst>
        </xdr:cNvPr>
        <xdr:cNvSpPr txBox="1">
          <a:spLocks noChangeArrowheads="1"/>
        </xdr:cNvSpPr>
      </xdr:nvSpPr>
      <xdr:spPr bwMode="auto">
        <a:xfrm>
          <a:off x="14916150" y="44253150"/>
          <a:ext cx="20193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371475</xdr:colOff>
      <xdr:row>401</xdr:row>
      <xdr:rowOff>95250</xdr:rowOff>
    </xdr:from>
    <xdr:to>
      <xdr:col>11</xdr:col>
      <xdr:colOff>104775</xdr:colOff>
      <xdr:row>409</xdr:row>
      <xdr:rowOff>38100</xdr:rowOff>
    </xdr:to>
    <xdr:sp macro="" textlink="">
      <xdr:nvSpPr>
        <xdr:cNvPr id="2165" name="Text Box 117" hidden="1">
          <a:extLst>
            <a:ext uri="{FF2B5EF4-FFF2-40B4-BE49-F238E27FC236}">
              <a16:creationId xmlns:a16="http://schemas.microsoft.com/office/drawing/2014/main" id="{4D471BE3-DB19-A6D3-AA24-FD0F6EB4F03D}"/>
            </a:ext>
          </a:extLst>
        </xdr:cNvPr>
        <xdr:cNvSpPr txBox="1">
          <a:spLocks noChangeArrowheads="1"/>
        </xdr:cNvSpPr>
      </xdr:nvSpPr>
      <xdr:spPr bwMode="auto">
        <a:xfrm>
          <a:off x="14916150" y="64550925"/>
          <a:ext cx="2019300" cy="12096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xdr:col>
      <xdr:colOff>1314450</xdr:colOff>
      <xdr:row>311</xdr:row>
      <xdr:rowOff>95250</xdr:rowOff>
    </xdr:from>
    <xdr:to>
      <xdr:col>19</xdr:col>
      <xdr:colOff>104775</xdr:colOff>
      <xdr:row>317</xdr:row>
      <xdr:rowOff>38100</xdr:rowOff>
    </xdr:to>
    <xdr:sp macro="" textlink="">
      <xdr:nvSpPr>
        <xdr:cNvPr id="2156" name="Text Box 108" hidden="1">
          <a:extLst>
            <a:ext uri="{FF2B5EF4-FFF2-40B4-BE49-F238E27FC236}">
              <a16:creationId xmlns:a16="http://schemas.microsoft.com/office/drawing/2014/main" id="{65569128-F84F-DF00-A4CF-8AE6563FDC24}"/>
            </a:ext>
          </a:extLst>
        </xdr:cNvPr>
        <xdr:cNvSpPr txBox="1">
          <a:spLocks noChangeArrowheads="1"/>
        </xdr:cNvSpPr>
      </xdr:nvSpPr>
      <xdr:spPr bwMode="auto">
        <a:xfrm>
          <a:off x="18145125" y="50025300"/>
          <a:ext cx="6867525"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xdr:col>
      <xdr:colOff>447675</xdr:colOff>
      <xdr:row>256</xdr:row>
      <xdr:rowOff>95250</xdr:rowOff>
    </xdr:from>
    <xdr:to>
      <xdr:col>3</xdr:col>
      <xdr:colOff>447675</xdr:colOff>
      <xdr:row>262</xdr:row>
      <xdr:rowOff>38100</xdr:rowOff>
    </xdr:to>
    <xdr:sp macro="" textlink="">
      <xdr:nvSpPr>
        <xdr:cNvPr id="2144" name="Text Box 96" hidden="1">
          <a:extLst>
            <a:ext uri="{FF2B5EF4-FFF2-40B4-BE49-F238E27FC236}">
              <a16:creationId xmlns:a16="http://schemas.microsoft.com/office/drawing/2014/main" id="{9479E3E9-60DE-0CB6-FAE9-721B3AF5B925}"/>
            </a:ext>
          </a:extLst>
        </xdr:cNvPr>
        <xdr:cNvSpPr txBox="1">
          <a:spLocks noChangeArrowheads="1"/>
        </xdr:cNvSpPr>
      </xdr:nvSpPr>
      <xdr:spPr bwMode="auto">
        <a:xfrm>
          <a:off x="7972425" y="41214675"/>
          <a:ext cx="0" cy="8953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371475</xdr:colOff>
      <xdr:row>256</xdr:row>
      <xdr:rowOff>95250</xdr:rowOff>
    </xdr:from>
    <xdr:to>
      <xdr:col>11</xdr:col>
      <xdr:colOff>104775</xdr:colOff>
      <xdr:row>262</xdr:row>
      <xdr:rowOff>38100</xdr:rowOff>
    </xdr:to>
    <xdr:sp macro="" textlink="">
      <xdr:nvSpPr>
        <xdr:cNvPr id="2139" name="Text Box 91" hidden="1">
          <a:extLst>
            <a:ext uri="{FF2B5EF4-FFF2-40B4-BE49-F238E27FC236}">
              <a16:creationId xmlns:a16="http://schemas.microsoft.com/office/drawing/2014/main" id="{3871689F-071C-8729-636C-B959519C5145}"/>
            </a:ext>
          </a:extLst>
        </xdr:cNvPr>
        <xdr:cNvSpPr txBox="1">
          <a:spLocks noChangeArrowheads="1"/>
        </xdr:cNvSpPr>
      </xdr:nvSpPr>
      <xdr:spPr bwMode="auto">
        <a:xfrm>
          <a:off x="14916150" y="41214675"/>
          <a:ext cx="2019300" cy="8953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371475</xdr:colOff>
      <xdr:row>230</xdr:row>
      <xdr:rowOff>95250</xdr:rowOff>
    </xdr:from>
    <xdr:to>
      <xdr:col>11</xdr:col>
      <xdr:colOff>104775</xdr:colOff>
      <xdr:row>236</xdr:row>
      <xdr:rowOff>38100</xdr:rowOff>
    </xdr:to>
    <xdr:sp macro="" textlink="">
      <xdr:nvSpPr>
        <xdr:cNvPr id="2132" name="Text Box 84" hidden="1">
          <a:extLst>
            <a:ext uri="{FF2B5EF4-FFF2-40B4-BE49-F238E27FC236}">
              <a16:creationId xmlns:a16="http://schemas.microsoft.com/office/drawing/2014/main" id="{579922BA-24D6-ECBB-9A91-EA64FF8AA71E}"/>
            </a:ext>
          </a:extLst>
        </xdr:cNvPr>
        <xdr:cNvSpPr txBox="1">
          <a:spLocks noChangeArrowheads="1"/>
        </xdr:cNvSpPr>
      </xdr:nvSpPr>
      <xdr:spPr bwMode="auto">
        <a:xfrm>
          <a:off x="14916150" y="37004625"/>
          <a:ext cx="20193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xdr:col>
      <xdr:colOff>447675</xdr:colOff>
      <xdr:row>133</xdr:row>
      <xdr:rowOff>95250</xdr:rowOff>
    </xdr:from>
    <xdr:to>
      <xdr:col>3</xdr:col>
      <xdr:colOff>447675</xdr:colOff>
      <xdr:row>141</xdr:row>
      <xdr:rowOff>38100</xdr:rowOff>
    </xdr:to>
    <xdr:sp macro="" textlink="">
      <xdr:nvSpPr>
        <xdr:cNvPr id="2130" name="Text Box 82" hidden="1">
          <a:extLst>
            <a:ext uri="{FF2B5EF4-FFF2-40B4-BE49-F238E27FC236}">
              <a16:creationId xmlns:a16="http://schemas.microsoft.com/office/drawing/2014/main" id="{8729E8A2-162A-6D64-967C-BC52BC0545E4}"/>
            </a:ext>
          </a:extLst>
        </xdr:cNvPr>
        <xdr:cNvSpPr txBox="1">
          <a:spLocks noChangeArrowheads="1"/>
        </xdr:cNvSpPr>
      </xdr:nvSpPr>
      <xdr:spPr bwMode="auto">
        <a:xfrm>
          <a:off x="7972425" y="21421725"/>
          <a:ext cx="0" cy="12096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371475</xdr:colOff>
      <xdr:row>232</xdr:row>
      <xdr:rowOff>95250</xdr:rowOff>
    </xdr:from>
    <xdr:to>
      <xdr:col>11</xdr:col>
      <xdr:colOff>104775</xdr:colOff>
      <xdr:row>238</xdr:row>
      <xdr:rowOff>38100</xdr:rowOff>
    </xdr:to>
    <xdr:sp macro="" textlink="">
      <xdr:nvSpPr>
        <xdr:cNvPr id="2129" name="Text Box 81" hidden="1">
          <a:extLst>
            <a:ext uri="{FF2B5EF4-FFF2-40B4-BE49-F238E27FC236}">
              <a16:creationId xmlns:a16="http://schemas.microsoft.com/office/drawing/2014/main" id="{289D894C-DAB5-138C-A4BB-8BB355600125}"/>
            </a:ext>
          </a:extLst>
        </xdr:cNvPr>
        <xdr:cNvSpPr txBox="1">
          <a:spLocks noChangeArrowheads="1"/>
        </xdr:cNvSpPr>
      </xdr:nvSpPr>
      <xdr:spPr bwMode="auto">
        <a:xfrm>
          <a:off x="14916150" y="37328475"/>
          <a:ext cx="20193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371475</xdr:colOff>
      <xdr:row>436</xdr:row>
      <xdr:rowOff>95250</xdr:rowOff>
    </xdr:from>
    <xdr:to>
      <xdr:col>11</xdr:col>
      <xdr:colOff>104775</xdr:colOff>
      <xdr:row>445</xdr:row>
      <xdr:rowOff>38100</xdr:rowOff>
    </xdr:to>
    <xdr:sp macro="" textlink="">
      <xdr:nvSpPr>
        <xdr:cNvPr id="2124" name="Text Box 76" hidden="1">
          <a:extLst>
            <a:ext uri="{FF2B5EF4-FFF2-40B4-BE49-F238E27FC236}">
              <a16:creationId xmlns:a16="http://schemas.microsoft.com/office/drawing/2014/main" id="{728A5DC0-94D5-4B01-6E08-EAC2D210C113}"/>
            </a:ext>
          </a:extLst>
        </xdr:cNvPr>
        <xdr:cNvSpPr txBox="1">
          <a:spLocks noChangeArrowheads="1"/>
        </xdr:cNvSpPr>
      </xdr:nvSpPr>
      <xdr:spPr bwMode="auto">
        <a:xfrm>
          <a:off x="14916150" y="70113525"/>
          <a:ext cx="2019300" cy="14001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371475</xdr:colOff>
      <xdr:row>400</xdr:row>
      <xdr:rowOff>95250</xdr:rowOff>
    </xdr:from>
    <xdr:to>
      <xdr:col>11</xdr:col>
      <xdr:colOff>104775</xdr:colOff>
      <xdr:row>408</xdr:row>
      <xdr:rowOff>38100</xdr:rowOff>
    </xdr:to>
    <xdr:sp macro="" textlink="">
      <xdr:nvSpPr>
        <xdr:cNvPr id="2121" name="Text Box 73" hidden="1">
          <a:extLst>
            <a:ext uri="{FF2B5EF4-FFF2-40B4-BE49-F238E27FC236}">
              <a16:creationId xmlns:a16="http://schemas.microsoft.com/office/drawing/2014/main" id="{63BF442A-2D16-7AAB-4874-CA71C3368A00}"/>
            </a:ext>
          </a:extLst>
        </xdr:cNvPr>
        <xdr:cNvSpPr txBox="1">
          <a:spLocks noChangeArrowheads="1"/>
        </xdr:cNvSpPr>
      </xdr:nvSpPr>
      <xdr:spPr bwMode="auto">
        <a:xfrm>
          <a:off x="14916150" y="64389000"/>
          <a:ext cx="2019300" cy="12192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371475</xdr:colOff>
      <xdr:row>87</xdr:row>
      <xdr:rowOff>95250</xdr:rowOff>
    </xdr:from>
    <xdr:to>
      <xdr:col>11</xdr:col>
      <xdr:colOff>104775</xdr:colOff>
      <xdr:row>93</xdr:row>
      <xdr:rowOff>38100</xdr:rowOff>
    </xdr:to>
    <xdr:sp macro="" textlink="">
      <xdr:nvSpPr>
        <xdr:cNvPr id="2110" name="Text Box 62" hidden="1">
          <a:extLst>
            <a:ext uri="{FF2B5EF4-FFF2-40B4-BE49-F238E27FC236}">
              <a16:creationId xmlns:a16="http://schemas.microsoft.com/office/drawing/2014/main" id="{37CDD605-1AFE-B3DE-F548-E2A0D43294E3}"/>
            </a:ext>
          </a:extLst>
        </xdr:cNvPr>
        <xdr:cNvSpPr txBox="1">
          <a:spLocks noChangeArrowheads="1"/>
        </xdr:cNvSpPr>
      </xdr:nvSpPr>
      <xdr:spPr bwMode="auto">
        <a:xfrm>
          <a:off x="14916150" y="14097000"/>
          <a:ext cx="2019300" cy="9048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371475</xdr:colOff>
      <xdr:row>273</xdr:row>
      <xdr:rowOff>95250</xdr:rowOff>
    </xdr:from>
    <xdr:to>
      <xdr:col>11</xdr:col>
      <xdr:colOff>104775</xdr:colOff>
      <xdr:row>279</xdr:row>
      <xdr:rowOff>38100</xdr:rowOff>
    </xdr:to>
    <xdr:sp macro="" textlink="">
      <xdr:nvSpPr>
        <xdr:cNvPr id="2105" name="Text Box 57" hidden="1">
          <a:extLst>
            <a:ext uri="{FF2B5EF4-FFF2-40B4-BE49-F238E27FC236}">
              <a16:creationId xmlns:a16="http://schemas.microsoft.com/office/drawing/2014/main" id="{CB3AD45D-4073-F2CD-B453-CFE924E020AC}"/>
            </a:ext>
          </a:extLst>
        </xdr:cNvPr>
        <xdr:cNvSpPr txBox="1">
          <a:spLocks noChangeArrowheads="1"/>
        </xdr:cNvSpPr>
      </xdr:nvSpPr>
      <xdr:spPr bwMode="auto">
        <a:xfrm>
          <a:off x="14916150" y="43929300"/>
          <a:ext cx="20193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371475</xdr:colOff>
      <xdr:row>187</xdr:row>
      <xdr:rowOff>95250</xdr:rowOff>
    </xdr:from>
    <xdr:to>
      <xdr:col>11</xdr:col>
      <xdr:colOff>104775</xdr:colOff>
      <xdr:row>193</xdr:row>
      <xdr:rowOff>38100</xdr:rowOff>
    </xdr:to>
    <xdr:sp macro="" textlink="">
      <xdr:nvSpPr>
        <xdr:cNvPr id="2104" name="Text Box 56" hidden="1">
          <a:extLst>
            <a:ext uri="{FF2B5EF4-FFF2-40B4-BE49-F238E27FC236}">
              <a16:creationId xmlns:a16="http://schemas.microsoft.com/office/drawing/2014/main" id="{D37190DB-B8F3-AB14-E6F6-C10EFCE251D8}"/>
            </a:ext>
          </a:extLst>
        </xdr:cNvPr>
        <xdr:cNvSpPr txBox="1">
          <a:spLocks noChangeArrowheads="1"/>
        </xdr:cNvSpPr>
      </xdr:nvSpPr>
      <xdr:spPr bwMode="auto">
        <a:xfrm>
          <a:off x="14916150" y="30099000"/>
          <a:ext cx="20193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xdr:col>
      <xdr:colOff>447675</xdr:colOff>
      <xdr:row>273</xdr:row>
      <xdr:rowOff>95250</xdr:rowOff>
    </xdr:from>
    <xdr:to>
      <xdr:col>3</xdr:col>
      <xdr:colOff>447675</xdr:colOff>
      <xdr:row>279</xdr:row>
      <xdr:rowOff>38100</xdr:rowOff>
    </xdr:to>
    <xdr:sp macro="" textlink="">
      <xdr:nvSpPr>
        <xdr:cNvPr id="2102" name="Text Box 54" hidden="1">
          <a:extLst>
            <a:ext uri="{FF2B5EF4-FFF2-40B4-BE49-F238E27FC236}">
              <a16:creationId xmlns:a16="http://schemas.microsoft.com/office/drawing/2014/main" id="{653790EE-AA98-BA59-7CF2-7AC9956F06FD}"/>
            </a:ext>
          </a:extLst>
        </xdr:cNvPr>
        <xdr:cNvSpPr txBox="1">
          <a:spLocks noChangeArrowheads="1"/>
        </xdr:cNvSpPr>
      </xdr:nvSpPr>
      <xdr:spPr bwMode="auto">
        <a:xfrm>
          <a:off x="7972425" y="43929300"/>
          <a:ext cx="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xdr:col>
      <xdr:colOff>1314450</xdr:colOff>
      <xdr:row>154</xdr:row>
      <xdr:rowOff>95250</xdr:rowOff>
    </xdr:from>
    <xdr:to>
      <xdr:col>19</xdr:col>
      <xdr:colOff>104775</xdr:colOff>
      <xdr:row>162</xdr:row>
      <xdr:rowOff>38100</xdr:rowOff>
    </xdr:to>
    <xdr:sp macro="" textlink="">
      <xdr:nvSpPr>
        <xdr:cNvPr id="2100" name="Text Box 52" hidden="1">
          <a:extLst>
            <a:ext uri="{FF2B5EF4-FFF2-40B4-BE49-F238E27FC236}">
              <a16:creationId xmlns:a16="http://schemas.microsoft.com/office/drawing/2014/main" id="{372CC988-C22B-6D75-DAFD-922C6E3DC28E}"/>
            </a:ext>
          </a:extLst>
        </xdr:cNvPr>
        <xdr:cNvSpPr txBox="1">
          <a:spLocks noChangeArrowheads="1"/>
        </xdr:cNvSpPr>
      </xdr:nvSpPr>
      <xdr:spPr bwMode="auto">
        <a:xfrm>
          <a:off x="18145125" y="24755475"/>
          <a:ext cx="6867525"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11</xdr:col>
      <xdr:colOff>1314450</xdr:colOff>
      <xdr:row>166</xdr:row>
      <xdr:rowOff>95250</xdr:rowOff>
    </xdr:from>
    <xdr:to>
      <xdr:col>19</xdr:col>
      <xdr:colOff>104775</xdr:colOff>
      <xdr:row>174</xdr:row>
      <xdr:rowOff>38100</xdr:rowOff>
    </xdr:to>
    <xdr:sp macro="" textlink="">
      <xdr:nvSpPr>
        <xdr:cNvPr id="2095" name="Text Box 47" hidden="1">
          <a:extLst>
            <a:ext uri="{FF2B5EF4-FFF2-40B4-BE49-F238E27FC236}">
              <a16:creationId xmlns:a16="http://schemas.microsoft.com/office/drawing/2014/main" id="{C3FA5F78-D24F-BF20-8000-A97880969397}"/>
            </a:ext>
          </a:extLst>
        </xdr:cNvPr>
        <xdr:cNvSpPr txBox="1">
          <a:spLocks noChangeArrowheads="1"/>
        </xdr:cNvSpPr>
      </xdr:nvSpPr>
      <xdr:spPr bwMode="auto">
        <a:xfrm>
          <a:off x="18145125" y="26698575"/>
          <a:ext cx="6867525"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xdr:col>
      <xdr:colOff>447675</xdr:colOff>
      <xdr:row>158</xdr:row>
      <xdr:rowOff>95250</xdr:rowOff>
    </xdr:from>
    <xdr:to>
      <xdr:col>3</xdr:col>
      <xdr:colOff>447675</xdr:colOff>
      <xdr:row>172</xdr:row>
      <xdr:rowOff>38100</xdr:rowOff>
    </xdr:to>
    <xdr:sp macro="" textlink="">
      <xdr:nvSpPr>
        <xdr:cNvPr id="2093" name="Text Box 45" hidden="1">
          <a:extLst>
            <a:ext uri="{FF2B5EF4-FFF2-40B4-BE49-F238E27FC236}">
              <a16:creationId xmlns:a16="http://schemas.microsoft.com/office/drawing/2014/main" id="{CD36047D-8336-980A-5D6C-D2FE7293D54A}"/>
            </a:ext>
          </a:extLst>
        </xdr:cNvPr>
        <xdr:cNvSpPr txBox="1">
          <a:spLocks noChangeArrowheads="1"/>
        </xdr:cNvSpPr>
      </xdr:nvSpPr>
      <xdr:spPr bwMode="auto">
        <a:xfrm>
          <a:off x="7972425" y="25403175"/>
          <a:ext cx="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371475</xdr:colOff>
      <xdr:row>226</xdr:row>
      <xdr:rowOff>95250</xdr:rowOff>
    </xdr:from>
    <xdr:to>
      <xdr:col>11</xdr:col>
      <xdr:colOff>104775</xdr:colOff>
      <xdr:row>232</xdr:row>
      <xdr:rowOff>38100</xdr:rowOff>
    </xdr:to>
    <xdr:sp macro="" textlink="">
      <xdr:nvSpPr>
        <xdr:cNvPr id="2073" name="Text Box 25" hidden="1">
          <a:extLst>
            <a:ext uri="{FF2B5EF4-FFF2-40B4-BE49-F238E27FC236}">
              <a16:creationId xmlns:a16="http://schemas.microsoft.com/office/drawing/2014/main" id="{0834CC35-29B8-0E9F-5ABB-EA8CD915F1FD}"/>
            </a:ext>
          </a:extLst>
        </xdr:cNvPr>
        <xdr:cNvSpPr txBox="1">
          <a:spLocks noChangeArrowheads="1"/>
        </xdr:cNvSpPr>
      </xdr:nvSpPr>
      <xdr:spPr bwMode="auto">
        <a:xfrm>
          <a:off x="14916150" y="36366450"/>
          <a:ext cx="2019300" cy="9048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371475</xdr:colOff>
      <xdr:row>252</xdr:row>
      <xdr:rowOff>95250</xdr:rowOff>
    </xdr:from>
    <xdr:to>
      <xdr:col>11</xdr:col>
      <xdr:colOff>104775</xdr:colOff>
      <xdr:row>258</xdr:row>
      <xdr:rowOff>38100</xdr:rowOff>
    </xdr:to>
    <xdr:sp macro="" textlink="">
      <xdr:nvSpPr>
        <xdr:cNvPr id="2067" name="Text Box 19" hidden="1">
          <a:extLst>
            <a:ext uri="{FF2B5EF4-FFF2-40B4-BE49-F238E27FC236}">
              <a16:creationId xmlns:a16="http://schemas.microsoft.com/office/drawing/2014/main" id="{2122FD86-6E35-2764-1BCE-CF17921B0A19}"/>
            </a:ext>
          </a:extLst>
        </xdr:cNvPr>
        <xdr:cNvSpPr txBox="1">
          <a:spLocks noChangeArrowheads="1"/>
        </xdr:cNvSpPr>
      </xdr:nvSpPr>
      <xdr:spPr bwMode="auto">
        <a:xfrm>
          <a:off x="14916150" y="40566975"/>
          <a:ext cx="20193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371475</xdr:colOff>
      <xdr:row>421</xdr:row>
      <xdr:rowOff>95250</xdr:rowOff>
    </xdr:from>
    <xdr:to>
      <xdr:col>11</xdr:col>
      <xdr:colOff>104775</xdr:colOff>
      <xdr:row>427</xdr:row>
      <xdr:rowOff>38100</xdr:rowOff>
    </xdr:to>
    <xdr:sp macro="" textlink="">
      <xdr:nvSpPr>
        <xdr:cNvPr id="2064" name="Text Box 16" hidden="1">
          <a:extLst>
            <a:ext uri="{FF2B5EF4-FFF2-40B4-BE49-F238E27FC236}">
              <a16:creationId xmlns:a16="http://schemas.microsoft.com/office/drawing/2014/main" id="{4AEAB219-AD94-FA8E-8FC6-9A714D170D9F}"/>
            </a:ext>
          </a:extLst>
        </xdr:cNvPr>
        <xdr:cNvSpPr txBox="1">
          <a:spLocks noChangeArrowheads="1"/>
        </xdr:cNvSpPr>
      </xdr:nvSpPr>
      <xdr:spPr bwMode="auto">
        <a:xfrm>
          <a:off x="14916150" y="67741800"/>
          <a:ext cx="2019300" cy="8858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371475</xdr:colOff>
      <xdr:row>353</xdr:row>
      <xdr:rowOff>95250</xdr:rowOff>
    </xdr:from>
    <xdr:to>
      <xdr:col>11</xdr:col>
      <xdr:colOff>104775</xdr:colOff>
      <xdr:row>359</xdr:row>
      <xdr:rowOff>38100</xdr:rowOff>
    </xdr:to>
    <xdr:sp macro="" textlink="">
      <xdr:nvSpPr>
        <xdr:cNvPr id="2063" name="Text Box 15" hidden="1">
          <a:extLst>
            <a:ext uri="{FF2B5EF4-FFF2-40B4-BE49-F238E27FC236}">
              <a16:creationId xmlns:a16="http://schemas.microsoft.com/office/drawing/2014/main" id="{2DE53CE6-519E-C104-B608-960B424747EE}"/>
            </a:ext>
          </a:extLst>
        </xdr:cNvPr>
        <xdr:cNvSpPr txBox="1">
          <a:spLocks noChangeArrowheads="1"/>
        </xdr:cNvSpPr>
      </xdr:nvSpPr>
      <xdr:spPr bwMode="auto">
        <a:xfrm>
          <a:off x="14916150" y="56778525"/>
          <a:ext cx="20193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371475</xdr:colOff>
      <xdr:row>231</xdr:row>
      <xdr:rowOff>95250</xdr:rowOff>
    </xdr:from>
    <xdr:to>
      <xdr:col>11</xdr:col>
      <xdr:colOff>104775</xdr:colOff>
      <xdr:row>237</xdr:row>
      <xdr:rowOff>38100</xdr:rowOff>
    </xdr:to>
    <xdr:sp macro="" textlink="">
      <xdr:nvSpPr>
        <xdr:cNvPr id="2061" name="Text Box 13" hidden="1">
          <a:extLst>
            <a:ext uri="{FF2B5EF4-FFF2-40B4-BE49-F238E27FC236}">
              <a16:creationId xmlns:a16="http://schemas.microsoft.com/office/drawing/2014/main" id="{E176C6BE-B432-2CCA-FF11-322D400EF37D}"/>
            </a:ext>
          </a:extLst>
        </xdr:cNvPr>
        <xdr:cNvSpPr txBox="1">
          <a:spLocks noChangeArrowheads="1"/>
        </xdr:cNvSpPr>
      </xdr:nvSpPr>
      <xdr:spPr bwMode="auto">
        <a:xfrm>
          <a:off x="14916150" y="37166550"/>
          <a:ext cx="20193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371475</xdr:colOff>
      <xdr:row>202</xdr:row>
      <xdr:rowOff>95250</xdr:rowOff>
    </xdr:from>
    <xdr:to>
      <xdr:col>11</xdr:col>
      <xdr:colOff>104775</xdr:colOff>
      <xdr:row>208</xdr:row>
      <xdr:rowOff>38100</xdr:rowOff>
    </xdr:to>
    <xdr:sp macro="" textlink="">
      <xdr:nvSpPr>
        <xdr:cNvPr id="2060" name="Text Box 12" hidden="1">
          <a:extLst>
            <a:ext uri="{FF2B5EF4-FFF2-40B4-BE49-F238E27FC236}">
              <a16:creationId xmlns:a16="http://schemas.microsoft.com/office/drawing/2014/main" id="{3D711CB0-5B64-FC8B-2760-203CD3E9E493}"/>
            </a:ext>
          </a:extLst>
        </xdr:cNvPr>
        <xdr:cNvSpPr txBox="1">
          <a:spLocks noChangeArrowheads="1"/>
        </xdr:cNvSpPr>
      </xdr:nvSpPr>
      <xdr:spPr bwMode="auto">
        <a:xfrm>
          <a:off x="14916150" y="32508825"/>
          <a:ext cx="20193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371475</xdr:colOff>
      <xdr:row>427</xdr:row>
      <xdr:rowOff>95250</xdr:rowOff>
    </xdr:from>
    <xdr:to>
      <xdr:col>11</xdr:col>
      <xdr:colOff>104775</xdr:colOff>
      <xdr:row>433</xdr:row>
      <xdr:rowOff>38100</xdr:rowOff>
    </xdr:to>
    <xdr:sp macro="" textlink="">
      <xdr:nvSpPr>
        <xdr:cNvPr id="2057" name="Text Box 9" hidden="1">
          <a:extLst>
            <a:ext uri="{FF2B5EF4-FFF2-40B4-BE49-F238E27FC236}">
              <a16:creationId xmlns:a16="http://schemas.microsoft.com/office/drawing/2014/main" id="{B56B83B4-38DD-097D-606B-B27C13A54B98}"/>
            </a:ext>
          </a:extLst>
        </xdr:cNvPr>
        <xdr:cNvSpPr txBox="1">
          <a:spLocks noChangeArrowheads="1"/>
        </xdr:cNvSpPr>
      </xdr:nvSpPr>
      <xdr:spPr bwMode="auto">
        <a:xfrm>
          <a:off x="14916150" y="68684775"/>
          <a:ext cx="2019300" cy="8858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Anonymous" id="{305D4015-894B-43FE-8EB7-EA61B1D8A9E2}" userId="" providerId="google-sheets"/>
  <person displayName="Emily Chu" id="{90AD809B-4890-49EB-9EC3-0ACC198FF5EB}" userId="" providerId="google-sheets"/>
  <person displayName="Claire Austin" id="{AE650105-A484-4736-9651-23EA80D4E0BA}" userId="" providerId="google-sheets"/>
  <person displayName="Lynn Peterson" id="{0D20F205-E620-4474-968C-1C3A27F051BE}" userId="" providerId="google-sheets"/>
  <person displayName="Naida Hyndman" id="{4EF4FE00-BB98-430A-93D8-5E7EC9DACAD4}" userId="" providerId="google-sheets"/>
  <person displayName="Naida Hyndman" id="{26C5DE3B-EB2F-4C00-B673-22AC9AA89838}" userId="" providerId="google-sheets"/>
  <person displayName="Jennifer Cuffe" id="{A5B3ECCF-512F-4AA7-8EB2-63FFF89A9E7F}" userId="" providerId="google-sheets"/>
  <person displayName="Katherine Timms" id="{7607D97F-38A3-4CCE-861B-E05C328557C3}" userId="" providerId="google-sheets"/>
  <person displayName="Heather Tompkins" id="{838E8969-6A34-49CD-936D-9992D0AB35B2}" userId="" providerId="google-sheets"/>
  <person displayName="Dominique Charles" id="{CCF208C8-C118-47E0-BB8F-03F8E797980C}" userId="" providerId="google-sheets"/>
  <person displayName="claire.austin@ec.gc.ca" id="{E32CC09D-27E0-4AB4-A985-F6F490E413CA}" userId="claire.austin@ec.gc.ca" providerId="PeoplePicker"/>
  <person displayName="claire.austin@canada.ca" id="{34B7F6E1-C20F-4D7E-AE04-9ED5E70477F2}" userId="claire.austin@canada.ca" providerId="PeoplePicker"/>
  <person displayName="emilywenjia.chu@ec.gc.ca" id="{A27611CA-69BD-44C2-9BCC-651C1B9FB089}" userId="emilywenjia.chu@ec.gc.ca" providerId="PeoplePicker"/>
  <person displayName="jennifer.cuffe@canada.ca" id="{E700FD22-834B-4B17-92A7-DB570BB6019D}" userId="jennifer.cuffe@canada.ca" providerId="PeoplePicker"/>
  <person displayName="katherine.timms@canada.ca" id="{C89679BC-565A-4F6C-A2E2-F41A3A042605}" userId="katherine.timms@canada.ca" providerId="PeoplePicker"/>
  <person displayName="heather.tompkins@canada.ca" id="{7CBF5130-E618-4933-9BBE-DE85B27FF003}" userId="heather.tompkins@canada.ca" providerId="PeoplePicker"/>
  <person displayName="jennifer.cuffe@bac-lac.gc.ca" id="{25679075-450D-4C75-95DC-E51A40DD3CEA}" userId="jennifer.cuffe@bac-lac.gc.ca" providerId="PeoplePicker"/>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F31:F47" headerRowCount="0">
  <tableColumns count="1">
    <tableColumn id="1" xr3:uid="{00000000-0010-0000-0000-000001000000}" name="Column1"/>
  </tableColumns>
  <tableStyleInfo name="GC maDMP Master She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 dT="2025-02-26T00:29:00.00" personId="{CCF208C8-C118-47E0-BB8F-03F8E797980C}" id="{9115E741-F797-4330-9CAD-BD6E3C6DDCA0}">
    <text>has to be similar to string after last "/" in common standard field name or the last 2 strings concatenated with "_" between them</text>
  </threadedComment>
  <threadedComment ref="B1" dT="2025-02-27T00:21:34.00" personId="{CCF208C8-C118-47E0-BB8F-03F8E797980C}" id="{1C952B6F-3229-4233-808F-7F2D0F46037B}" parentId="{9115E741-F797-4330-9CAD-BD6E3C6DDCA0}">
    <text>MANDATORY RULE FOR NESTED STRUCTURE</text>
  </threadedComment>
  <threadedComment ref="H1" dT="2025-11-03T23:51:18.00" personId="{CCF208C8-C118-47E0-BB8F-03F8E797980C}" id="{E8BC3F6F-E4CD-46CF-B47A-02908E8DD744}">
    <text>Use the Property ID not the path</text>
  </threadedComment>
  <threadedComment ref="I1" dT="2024-04-05T14:04:45.00" personId="{4EF4FE00-BB98-430A-93D8-5E7EC9DACAD4}" id="{C92E1741-8CE1-4F26-877F-9D7F9CEFDE8C}" done="1">
    <text>thanks to those commenting. I'd like to suggest that we endeavor at all costs to keep explanations of the terms/definitions/user text as minimal/simple as possible to support the user friendliness of the DMP tools we develop</text>
  </threadedComment>
  <threadedComment ref="I1" dT="2024-07-12T22:39:46.00" personId="{AE650105-A484-4736-9651-23EA80D4E0BA}" id="{068A65DC-F071-4F8A-9ECB-CC75A507F0ED}" parentId="{C92E1741-8CE1-4F26-877F-9D7F9CEFDE8C}">
    <text>Agreed.</text>
  </threadedComment>
  <threadedComment ref="I2" dT="2024-03-05T16:58:27.00" personId="{4EF4FE00-BB98-430A-93D8-5E7EC9DACAD4}" id="{379DB1FD-8819-4D82-AE23-755F4885708D}" done="1">
    <text>Need to more clearly define what is meant by "access".</text>
  </threadedComment>
  <threadedComment ref="I2" dT="2024-04-03T20:37:21.00" personId="{A5B3ECCF-512F-4AA7-8EB2-63FFF89A9E7F}" id="{938BA880-60EA-49FF-94E1-6D58261D5528}" parentId="{379DB1FD-8819-4D82-AE23-755F4885708D}">
    <text>Suggest revise front-end user question to: Is this dmp releasable to the general public?</text>
  </threadedComment>
  <threadedComment ref="I2" dT="2024-05-20T23:01:32.00" personId="{AE650105-A484-4736-9651-23EA80D4E0BA}" id="{5F8B8800-73E2-41CE-B9DF-DAAA372C05DD}" parentId="{379DB1FD-8819-4D82-AE23-755F4885708D}">
    <text>Changed to: "Who can access the data management plan?"</text>
  </threadedComment>
  <threadedComment ref="I2" dT="2024-07-14T14:49:15.00" personId="{AE650105-A484-4736-9651-23EA80D4E0BA}" id="{EA741A83-FFDF-450B-A1B6-E65F8F2E9049}" parentId="{379DB1FD-8819-4D82-AE23-755F4885708D}">
    <text>OPEN ACCESS: available to anyone based on an open licence (e.g., CC0, CC-BY, Open Government Licence). SHARED ACCESS: Public access with a license that limits use, that is available to anyone under terms and conditions that are not ‘open' (e.g., CC-BY-NC), shared only with named people or organisations, or via authentication for specific groups that meet certain criteria. CLOSED ACCESS: Internal access only. https://theodi.org/insights/tools/the-data-spectrum/ ; https://www.alerc.org.uk/uploads/7/6/3/3/7633190/an_introduction_to_open_shared_and_closed_data.pdf</text>
    <extLst>
      <x:ext xmlns:xltc2="http://schemas.microsoft.com/office/spreadsheetml/2020/threadedcomments2" uri="{F7C98A9C-CBB3-438F-8F68-D28B6AF4A901}">
        <xltc2:checksum>2758773559</xltc2:checksum>
        <xltc2:hyperlink startIndex="412" length="52" url="https://theodi.org/insights/tools/the-data-spectrum/"/>
        <xltc2:hyperlink startIndex="467" length="99" url="https://www.alerc.org.uk/uploads/7/6/3/3/7633190/an_introduction_to_open_shared_and_closed_data.pdf"/>
      </x:ext>
    </extLst>
  </threadedComment>
  <threadedComment ref="A9" dT="2024-04-11T12:42:33.00" personId="{A5B3ECCF-512F-4AA7-8EB2-63FFF89A9E7F}" id="{F5A6A15C-9BEA-44C0-8217-12DAEB022FC6}" done="1">
    <text>Claire: consider syntax of nested items. Why "approval" both before and after the slash? Suggest: remove "approval" after slash</text>
  </threadedComment>
  <threadedComment ref="A9" dT="2024-05-20T23:29:27.00" personId="{AE650105-A484-4736-9651-23EA80D4E0BA}" id="{587A4A43-D1B3-4E66-A6AF-147297C58754}" parentId="{F5A6A15C-9BEA-44C0-8217-12DAEB022FC6}">
    <text>Yes, I agree.</text>
  </threadedComment>
  <threadedComment ref="I11" dT="2024-05-29T12:44:04.00" personId="{90AD809B-4890-49EB-9EC3-0ACC198FF5EB}" id="{85EC69B5-80B7-432B-BA49-5E431C9EA10C}" done="1">
    <text>Who approved the project?</text>
  </threadedComment>
  <threadedComment ref="K12" dT="2024-04-11T12:45:02.00" personId="{A5B3ECCF-512F-4AA7-8EB2-63FFF89A9E7F}" id="{7F3BB7EF-B799-4A87-B813-FB6D6783CE77}" done="1">
    <text>Suggest leave this free-form, only because job titles may be specific to the institution. Each institution could make its own controlled vocabulary.</text>
  </threadedComment>
  <threadedComment ref="K12" dT="2024-07-12T15:06:33.00" personId="{AE650105-A484-4736-9651-23EA80D4E0BA}" id="{75D0A82A-8074-48C5-B379-A86222EDEF95}" parentId="{7F3BB7EF-B799-4A87-B813-FB6D6783CE77}">
    <text>Agreed</text>
  </threadedComment>
  <threadedComment ref="I13" dT="2024-05-29T12:46:58.00" personId="{90AD809B-4890-49EB-9EC3-0ACC198FF5EB}" id="{BB7233CA-5BEF-4996-8985-C44850B853C7}" done="1">
    <text>When was the project approved?</text>
  </threadedComment>
  <threadedComment ref="J15" dT="2024-07-29T21:11:26.00" personId="{CCF208C8-C118-47E0-BB8F-03F8E797980C}" id="{8EE2AAD0-012E-4AC6-B6BC-757A0BB27CFE}" done="1">
    <text>Is "not applicable" the choice to enter when "the DMP is still a draft and has not been yet submitted"?</text>
  </threadedComment>
  <threadedComment ref="J15" dT="2024-07-30T17:35:20.00" personId="{AE650105-A484-4736-9651-23EA80D4E0BA}" id="{3996CBF7-1BFC-476C-B00F-5B778FEE23EE}" parentId="{8EE2AAD0-012E-4AC6-B6BC-757A0BB27CFE}">
    <text>@emilywenjia.chu@ec.gc.ca I'll add "not submitted" as one of the controlled vocabulary choices for approval_status</text>
    <mentions>
      <mention mentionpersonId="{A27611CA-69BD-44C2-9BCC-651C1B9FB089}" mentionId="{A51C0E1C-F8AE-4342-AFA0-C1157780F4E2}" startIndex="0" length="25"/>
    </mentions>
  </threadedComment>
  <threadedComment ref="D32" dT="2021-05-28T13:25:33.00" personId="{0D20F205-E620-4474-968C-1C3A27F051BE}" id="{C669A080-7A42-453A-8977-2C6DB8C3ED96}" done="1">
    <text>Cardinality was missing - someone should quickly double-check this number.</text>
  </threadedComment>
  <threadedComment ref="D32" dT="2021-05-28T16:30:33.00" personId="{AE650105-A484-4736-9651-23EA80D4E0BA}" id="{F49947A5-A332-41EA-AC79-BCDAC5301CCA}" parentId="{C669A080-7A42-453A-8977-2C6DB8C3ED96}">
    <text>Right.</text>
  </threadedComment>
  <threadedComment ref="A41" dT="2021-04-29T15:46:27.00" personId="{0D20F205-E620-4474-968C-1C3A27F051BE}" id="{79EFA12D-9DEA-4F94-9911-EEB644887A1A}" done="1">
    <text>I believe this fieldname is listed at the wrong level.  In the common standard it falls directly under "contact": dmp/contact/mbox</text>
  </threadedComment>
  <threadedComment ref="A41" dT="2021-05-16T19:37:13.00" personId="{AE650105-A484-4736-9651-23EA80D4E0BA}" id="{E3928E0F-A90D-4C93-BB71-E785F49C7B3E}" parentId="{79EFA12D-9DEA-4F94-9911-EEB644887A1A}">
    <text>Yes, thank you.</text>
  </threadedComment>
  <threadedComment ref="A42" dT="2021-04-29T15:47:56.00" personId="{0D20F205-E620-4474-968C-1C3A27F051BE}" id="{FE520A1A-A428-46F2-80D5-3D47248D9EFD}" done="1">
    <text>I believe this fieldname is listed at the wrong level. In the common standard it falls directly under "contact": dmp/contact/name</text>
  </threadedComment>
  <threadedComment ref="A42" dT="2021-05-16T19:36:38.00" personId="{AE650105-A484-4736-9651-23EA80D4E0BA}" id="{EEA0C40E-CD9A-47A1-8CAF-B87487B31824}" parentId="{FE520A1A-A428-46F2-80D5-3D47248D9EFD}">
    <text>Yes, thank you.</text>
  </threadedComment>
  <threadedComment ref="A49" dT="2021-06-02T12:00:18.00" personId="{7607D97F-38A3-4CCE-861B-E05C328557C3}" id="{491CD1E1-4F29-45B4-A92D-B7267248E45A}" done="1">
    <text>Will email comments/questions about the affiliation content</text>
  </threadedComment>
  <threadedComment ref="A49" dT="2021-06-04T22:09:17.00" personId="{AE650105-A484-4736-9651-23EA80D4E0BA}" id="{C8959736-97A3-48A2-988E-C116821AEE62}" parentId="{491CD1E1-4F29-45B4-A92D-B7267248E45A}">
    <text>I fixed the /identifier and /type (I hope).</text>
  </threadedComment>
  <threadedComment ref="E51" dT="2024-07-24T15:43:26.00" personId="{90AD809B-4890-49EB-9EC3-0ACC198FF5EB}" id="{739705EC-2191-488A-A7D1-DA5AF0CF3484}" done="1">
    <text>Change to 0..1</text>
  </threadedComment>
  <threadedComment ref="E55" dT="2024-07-24T15:43:34.00" personId="{90AD809B-4890-49EB-9EC3-0ACC198FF5EB}" id="{3CD0168E-5A3B-437E-811A-B2E54615C2AC}" done="1">
    <text>Change to 0..1</text>
  </threadedComment>
  <threadedComment ref="F56" dT="2024-07-31T19:04:54.00" personId="{90AD809B-4890-49EB-9EC3-0ACC198FF5EB}" id="{863A7218-41A2-4F9B-98FB-77633EECA652}" done="1">
    <text>changed from optional to required WHEN. Changed cardinality to 1 from 0..1</text>
  </threadedComment>
  <threadedComment ref="F56" dT="2024-08-01T18:59:59.00" personId="{CCF208C8-C118-47E0-BB8F-03F8E797980C}" id="{77B4AACA-FDAA-40BC-8532-811BD3531583}" parentId="{863A7218-41A2-4F9B-98FB-77633EECA652}">
    <text>agreed</text>
  </threadedComment>
  <threadedComment ref="A58" dT="2021-07-09T02:28:33.00" personId="{AE650105-A484-4736-9651-23EA80D4E0BA}" id="{7F23AE74-E999-463A-A0C0-F84563C0FCBD}" done="1">
    <text>See tab, Geo location codes.</text>
  </threadedComment>
  <threadedComment ref="A58" dT="2024-04-05T19:28:43.00" personId="{A5B3ECCF-512F-4AA7-8EB2-63FFF89A9E7F}" id="{1AAC87D7-0D70-45CB-BFA8-19286475D1E9}" parentId="{7F23AE74-E999-463A-A0C0-F84563C0FCBD}">
    <text>Do we need to now switch to complying with the GC Enterprise Data Reference Standard?  https://www.canada.ca/en/government/system/digital-government/digital-government-innovations/enabling-interoperability/gc-enterprise-data-reference-standards/current-past-official-names-countries-territories-geographic-areas.html</text>
    <extLst>
      <x:ext xmlns:xltc2="http://schemas.microsoft.com/office/spreadsheetml/2020/threadedcomments2" uri="{F7C98A9C-CBB3-438F-8F68-D28B6AF4A901}">
        <xltc2:checksum>3013445275</xltc2:checksum>
        <xltc2:hyperlink startIndex="87" length="229" url="https://www.canada.ca/en/government/system/digital-government/digital-government-innovations/enabling-interoperability/gc-enterprise-data-reference-standards/current-past-official-names-countries-territories-geographic-areas.html"/>
      </x:ext>
    </extLst>
  </threadedComment>
  <threadedComment ref="A58" dT="2024-07-10T00:27:49.00" personId="{AE650105-A484-4736-9651-23EA80D4E0BA}" id="{86418550-4915-4F99-B20B-C9AAC7255C07}" parentId="{7F23AE74-E999-463A-A0C0-F84563C0FCBD}">
    <text>In the new GC reference standard (see CSV file at the bottom of that page) there is correspondence between GC_COUNTRY_ID's and ISO 3166 Alpha-2 which is used by the RDA maDMP standard. However, that csv file, is showing no ISO code for the following 12 countries:
Czechoslovakia
Democratic Republic of Yemen
German Democratic Republic
Midway Islands
Netherlands Antilles
Panama Canal Zone
Serbia and Montenegro
the Republic of Dahomey
Union of Soviet Socialist Republics
Upper Volta
Wake Island
Yugoslavia
From what I can tell, this is because the ISO codes for those (former?) countries have been withdrawn or reassigned, but they still have a GC_COUNTRY_ID. So, what do we do for the maDMP standard now? Since the country fields in the maDMP standard refer to currently existing countries only, not former countries, I recommend that we stay with the ISO standard for the greatest degree of interoperability internationally. It will still be interoperable internally at the GC because systems can use a lookup table from the csv file in the GC reference standard to get the GC_COUNTRY_ID.</text>
  </threadedComment>
  <threadedComment ref="E58" dT="2024-07-24T15:44:01.00" personId="{90AD809B-4890-49EB-9EC3-0ACC198FF5EB}" id="{9A470329-3249-4C24-B234-1FA3CF78676A}" done="1">
    <text>Change to 0..1</text>
  </threadedComment>
  <threadedComment ref="E58" dT="2024-07-27T15:45:52.00" personId="{AE650105-A484-4736-9651-23EA80D4E0BA}" id="{DAFC9C5E-EE89-4CAC-B37D-0049D1571096}" parentId="{9A470329-3249-4C24-B234-1FA3CF78676A}">
    <text>Leave required</text>
  </threadedComment>
  <threadedComment ref="F58" dT="2024-07-31T19:14:26.00" personId="{90AD809B-4890-49EB-9EC3-0ACC198FF5EB}" id="{70D5FD13-96D6-4808-B273-E066E141AE41}" done="1">
    <text>Changed from required to required WHEN as it is under an optional nested structure</text>
  </threadedComment>
  <threadedComment ref="F58" dT="2024-08-01T19:00:52.00" personId="{CCF208C8-C118-47E0-BB8F-03F8E797980C}" id="{2ABF14D2-7434-45C1-9480-A3BA3CFFF9B1}" parentId="{70D5FD13-96D6-4808-B273-E066E141AE41}">
    <text>agreed</text>
  </threadedComment>
  <threadedComment ref="E59" dT="2024-07-24T15:44:08.00" personId="{90AD809B-4890-49EB-9EC3-0ACC198FF5EB}" id="{1DC2D822-BBF9-453B-8FF0-84C275DE9F38}" done="1">
    <text>Change to 0..1</text>
  </threadedComment>
  <threadedComment ref="E59" dT="2024-07-27T15:46:04.00" personId="{AE650105-A484-4736-9651-23EA80D4E0BA}" id="{6AF54DE4-AD85-4AAD-885D-8C6D4C927D38}" parentId="{1DC2D822-BBF9-453B-8FF0-84C275DE9F38}">
    <text>Leave required</text>
  </threadedComment>
  <threadedComment ref="F59" dT="2024-07-31T19:14:49.00" personId="{90AD809B-4890-49EB-9EC3-0ACC198FF5EB}" id="{6459F6D1-1A2C-415B-AE85-2088153603DA}" done="1">
    <text>changed from required to required WHEN as under a nested structure</text>
  </threadedComment>
  <threadedComment ref="F59" dT="2024-08-01T19:01:00.00" personId="{CCF208C8-C118-47E0-BB8F-03F8E797980C}" id="{3C23E03A-C04C-4289-AA99-CD6562334D62}" parentId="{6459F6D1-1A2C-415B-AE85-2088153603DA}">
    <text>agreed
Marked as resolved</text>
  </threadedComment>
  <threadedComment ref="I59" dT="2024-05-22T19:45:29.00" personId="{90AD809B-4890-49EB-9EC3-0ACC198FF5EB}" id="{128EB0B7-5614-4901-94DD-ED6368B6DAA0}" done="1">
    <text>What country is the contributor in?</text>
  </threadedComment>
  <threadedComment ref="F61" dT="2024-07-31T19:27:24.00" personId="{90AD809B-4890-49EB-9EC3-0ACC198FF5EB}" id="{9E8ABA73-203C-433B-ABF2-29AF67A3248A}" done="1">
    <text>Changed from required to required WHEN</text>
  </threadedComment>
  <threadedComment ref="F61" dT="2024-08-01T19:07:39.00" personId="{CCF208C8-C118-47E0-BB8F-03F8E797980C}" id="{F6A3991E-6793-4ADF-82BA-8CC4685AA66E}" parentId="{9E8ABA73-203C-433B-ABF2-29AF67A3248A}">
    <text>agreed</text>
  </threadedComment>
  <threadedComment ref="F62" dT="2024-07-31T19:27:36.00" personId="{90AD809B-4890-49EB-9EC3-0ACC198FF5EB}" id="{898396FC-49F8-4108-B561-91C5B0BD7902}" done="1">
    <text>changed from required to required WHEN</text>
  </threadedComment>
  <threadedComment ref="F62" dT="2024-08-01T19:07:57.00" personId="{CCF208C8-C118-47E0-BB8F-03F8E797980C}" id="{F34E4E08-9E78-4323-A9E3-1D9C5F96BBA7}" parentId="{898396FC-49F8-4108-B561-91C5B0BD7902}">
    <text>agreed</text>
  </threadedComment>
  <threadedComment ref="I62" dT="2024-05-23T12:57:03.00" personId="{90AD809B-4890-49EB-9EC3-0ACC198FF5EB}" id="{22C751E1-75F4-4BA8-99C8-7F5A6FA1CCA2}" done="1">
    <text>What province or state is the contributor working in?</text>
  </threadedComment>
  <threadedComment ref="F65" dT="2024-07-24T15:57:46.00" personId="{90AD809B-4890-49EB-9EC3-0ACC198FF5EB}" id="{0372F3C0-4D18-47F2-9A9C-12769FEDBCF9}" done="1">
    <text>Change to required because RDA cardinality is 1</text>
  </threadedComment>
  <threadedComment ref="F69" dT="2024-07-24T15:58:00.00" personId="{90AD809B-4890-49EB-9EC3-0ACC198FF5EB}" id="{7EE6ED45-59BF-4346-B060-BCE849CC3D72}" done="1">
    <text>Change to required because RDA cardinality is 1</text>
  </threadedComment>
  <threadedComment ref="A73" dT="2021-04-29T15:49:12.00" personId="{0D20F205-E620-4474-968C-1C3A27F051BE}" id="{BC2DD955-9746-416F-AE16-2555364D8DBA}" done="1">
    <text>I believe this fieldname is listed at the wrong level. In the common standard it falls directly under "contributor": dmp/contributor/mbox</text>
  </threadedComment>
  <threadedComment ref="A73" dT="2021-05-16T19:38:11.00" personId="{AE650105-A484-4736-9651-23EA80D4E0BA}" id="{0F84B4A7-8433-4806-8496-8FF3940300F4}" parentId="{BC2DD955-9746-416F-AE16-2555364D8DBA}">
    <text>Yes, thank you.</text>
  </threadedComment>
  <threadedComment ref="A74" dT="2021-04-29T15:49:35.00" personId="{0D20F205-E620-4474-968C-1C3A27F051BE}" id="{860D875C-9C9D-4D3A-99E4-043F8C94A2A9}" done="1">
    <text>I believe this fieldname is listed at the wrong level. In the common standard it falls directly under "contributor": dmp/contributor/name</text>
  </threadedComment>
  <threadedComment ref="A74" dT="2021-05-16T19:38:22.00" personId="{AE650105-A484-4736-9651-23EA80D4E0BA}" id="{3CE7D022-15B4-4FC3-897D-613AACEFB8D9}" parentId="{860D875C-9C9D-4D3A-99E4-043F8C94A2A9}">
    <text>Yes, thank you.</text>
  </threadedComment>
  <threadedComment ref="F74" dT="2024-07-24T15:58:14.00" personId="{90AD809B-4890-49EB-9EC3-0ACC198FF5EB}" id="{03B8B45F-24BE-4BA2-8A5E-AF91576021D9}" done="1">
    <text>Change to required because RDA cardinality is 1</text>
  </threadedComment>
  <threadedComment ref="F77" dT="2024-07-24T15:58:48.00" personId="{90AD809B-4890-49EB-9EC3-0ACC198FF5EB}" id="{40373A2E-5EA2-4098-B0E8-DC0AE7F02772}" done="1">
    <text>Change to required since RDA cardinality is 1..n</text>
  </threadedComment>
  <threadedComment ref="K77" dT="2021-05-23T20:44:56.00" personId="{AE650105-A484-4736-9651-23EA80D4E0BA}" id="{4BB64BB8-D933-4E2E-ACE8-CFD916A30B4F}" done="1">
    <text>This controlled vocabulary not in RDA standard.</text>
  </threadedComment>
  <threadedComment ref="A81" dT="2024-10-31T15:15:05.00" personId="{CCF208C8-C118-47E0-BB8F-03F8E797980C}" id="{599561C0-1531-47BD-A284-46A1140D6B6C}" done="1">
    <text>This field is currently under review</text>
  </threadedComment>
  <threadedComment ref="A82" dT="2024-10-31T15:15:14.00" personId="{CCF208C8-C118-47E0-BB8F-03F8E797980C}" id="{D7BC23A8-412B-4638-B27C-1D95DDED2225}" done="1">
    <text>This field is currently under review</text>
  </threadedComment>
  <threadedComment ref="A83" dT="2024-10-31T15:15:27.00" personId="{CCF208C8-C118-47E0-BB8F-03F8E797980C}" id="{848CAE33-C023-4F82-8CFA-E5FA7DADD487}" done="1">
    <text>This field is currently under review</text>
  </threadedComment>
  <threadedComment ref="A84" dT="2024-10-31T15:15:39.00" personId="{CCF208C8-C118-47E0-BB8F-03F8E797980C}" id="{43738F26-6098-4BCD-8A5C-6DA6352416F8}" done="1">
    <text>This field is currently under review</text>
  </threadedComment>
  <threadedComment ref="A85" dT="2021-07-09T02:29:31.00" personId="{AE650105-A484-4736-9651-23EA80D4E0BA}" id="{CC0351AE-24FD-43F5-8686-4ED199A1461E}" done="1">
    <text>See tab, Currency codes.</text>
  </threadedComment>
  <threadedComment ref="F87" dT="2024-08-01T15:38:29.00" personId="{90AD809B-4890-49EB-9EC3-0ACC198FF5EB}" id="{A1504E34-D8DF-4817-AA2B-F5F8071E696B}" done="1">
    <text>change from required to required WHEN. Since cost nested structure is optional</text>
  </threadedComment>
  <threadedComment ref="F87" dT="2024-08-01T19:55:14.00" personId="{CCF208C8-C118-47E0-BB8F-03F8E797980C}" id="{C8B45A22-B013-4B80-9538-64932AD4493A}" parentId="{A1504E34-D8DF-4817-AA2B-F5F8071E696B}">
    <text>agreed
Marked as resolved</text>
  </threadedComment>
  <threadedComment ref="A133" dT="2021-05-24T21:47:42.00" personId="{AE650105-A484-4736-9651-23EA80D4E0BA}" id="{976E1BFF-F126-4172-A214-7C3A3E07B749}" done="1">
    <text>Property not in the RDA DMP Std.</text>
  </threadedComment>
  <threadedComment ref="A135" dT="2021-06-11T15:36:21.00" personId="{A5B3ECCF-512F-4AA7-8EB2-63FFF89A9E7F}" id="{8CAEC570-3A05-44CB-B556-0AA09000D406}" done="1">
    <text>What I meant by dataset codebook / Data Product Specification / Read me is not a subset of computing_environment. Suggest instead something to the effect of:
dmp/dataset/interpretation_context
as 0..n string (freetext). 
This could be used to indicate the existence and/or location of relevant codebooks, data dictionaries, data product specifications, or even simply unit of measurement, when not maintained as/with a distribution.
An example of a completed Data Product Specification according to ISO 19131 is available here (for AgClimate data) https://www.agr.gc.ca/atlas/supportdocument_documentdesupport/aafcAgClimate/en/ISO_19131_AgClimate_-_Data_Product_Specification.pdf</text>
    <extLst>
      <x:ext xmlns:xltc2="http://schemas.microsoft.com/office/spreadsheetml/2020/threadedcomments2" uri="{F7C98A9C-CBB3-438F-8F68-D28B6AF4A901}">
        <xltc2:checksum>191575302</xltc2:checksum>
        <xltc2:hyperlink startIndex="552" length="131" url="https://www.agr.gc.ca/atlas/supportdocument_documentdesupport/aafcAgClimate/en/ISO_19131_AgClimate_-_Data_Product_Specification.pdf"/>
      </x:ext>
    </extLst>
  </threadedComment>
  <threadedComment ref="A135" dT="2021-06-11T18:49:05.00" personId="{AE650105-A484-4736-9651-23EA80D4E0BA}" id="{4A653A56-00CA-4795-AF66-0B6F66CF77BE}" parentId="{8CAEC570-3A05-44CB-B556-0AA09000D406}">
    <text>I added a new /dmp/dataset/dataset_documentation/ to hold code_book, data_product_spectification, and data_dictionnary, along with a new blue tab since it is 0..n. However, none of this would be interoperable outside of GC, so I'm wondering if we couldn't simply and instructions to the user manual that these elements should be included in dmp/dataset/metadata/ which is already 0..n. What do you think?</text>
  </threadedComment>
  <threadedComment ref="A135" dT="2021-06-11T20:26:49.00" personId="{A5B3ECCF-512F-4AA7-8EB2-63FFF89A9E7F}" id="{745B18D5-36DD-4B80-8642-09BFFB657799}" parentId="{8CAEC570-3A05-44CB-B556-0AA09000D406}">
    <text>I like the idea of it being visible externally. I don't see how leveraging the RDA DMP standard's "metadata" element would work, though, unless you can get the RDA DMP standard to change their guidance and the cardinality of 1 for "dmp/dataset/metadata/metadata_standard_id" OR change their guidance and include options for metadata standard ID for ISO compliant Data product specifications, random READ ME files, etc. 
In the standard currently: "Metadata - Provides a pointer to a metadata standard used to describe the data. It does not contain any actual metadata relating to the dataset." I don't think including codebooks/data product specification in this field would work conceptually or practically.
Conceptually: Data product specifications, user guides, etcetera are not metadata standards per se. They are just really crucial stuff ;) -- contextual metadata, or accompanying material, or keys.
Practically: If I were to write something in the dmp/dataset/metadata/description element, then I am required to select a metadata standard id, including identifer and type, which are not applicable. Maybe KT would have ideas?
I like your phrasing for the dmp/dataset/dataset_documentation element. I don't see any reason to go into sub-elements (like what you have striked out).
Thanks Claire!</text>
  </threadedComment>
  <threadedComment ref="A135" dT="2021-06-11T21:29:11.00" personId="{AE650105-A484-4736-9651-23EA80D4E0BA}" id="{203774F7-547F-45A7-8E69-C7A02CE5EA11}" parentId="{8CAEC570-3A05-44CB-B556-0AA09000D406}">
    <text>@jennifer.cuffe@canada.ca @katherine.timms@canada.ca Right. So, instead, now I've added /dataset_documentation/access_url, /dscription, /download_url, and /name. Would that work?</text>
    <mentions>
      <mention mentionpersonId="{E700FD22-834B-4B17-92A7-DB570BB6019D}" mentionId="{81125FDB-CF33-4807-B9D4-D6399D71ABC8}" startIndex="0" length="25"/>
      <mention mentionpersonId="{C89679BC-565A-4F6C-A2E2-F41A3A042605}" mentionId="{6762A64F-D01F-4308-A0E1-14969A4AA0E5}" startIndex="26" length="26"/>
    </mentions>
  </threadedComment>
  <threadedComment ref="A135" dT="2021-06-14T12:41:19.00" personId="{A5B3ECCF-512F-4AA7-8EB2-63FFF89A9E7F}" id="{B5F44944-4494-436F-9ABA-A2A98AE242D7}" parentId="{8CAEC570-3A05-44CB-B556-0AA09000D406}">
    <text>OK, if you feel there are benefits to nesting it, and including all the lower-level elements. 
From my perspective, as long as there is somewhere in the template to indicate that this sort of key documentation exists for a dataset (even a simple string), it suffices. Anything should be a vast improvement for re-use, including for at time of transfer to LAC.</text>
  </threadedComment>
  <threadedComment ref="F135" dT="2021-06-17T02:38:20.00" personId="{A5B3ECCF-512F-4AA7-8EB2-63FFF89A9E7F}" id="{711BBB10-67ED-4B65-BF03-BE0568F36947}" done="1">
    <text>optional? may not be online</text>
  </threadedComment>
  <threadedComment ref="E136" dT="2024-07-24T18:38:51.00" personId="{90AD809B-4890-49EB-9EC3-0ACC198FF5EB}" id="{944F4CFA-1377-4FE0-BAB6-005FBD1A7238}" done="1">
    <text>I think could be 0..1</text>
  </threadedComment>
  <threadedComment ref="F137" dT="2021-06-17T02:38:32.00" personId="{A5B3ECCF-512F-4AA7-8EB2-63FFF89A9E7F}" id="{84037722-2F89-4F16-8A82-04B64F4DA219}" done="1">
    <text>optional? may not be online</text>
  </threadedComment>
  <threadedComment ref="E138" dT="2024-07-24T18:40:05.00" personId="{90AD809B-4890-49EB-9EC3-0ACC198FF5EB}" id="{C9AD82C8-0B91-4FF3-9786-D6857404467C}" done="1">
    <text>0..1 in the case there is no documentation</text>
  </threadedComment>
  <threadedComment ref="F138" dT="2021-06-14T16:16:19.00" personId="{A5B3ECCF-512F-4AA7-8EB2-63FFF89A9E7F}" id="{AF21B070-ED60-4F16-87B1-4C4A484B4381}" done="1">
    <text>double check cardinality is ok, not required if</text>
  </threadedComment>
  <threadedComment ref="K138" dT="2021-06-11T21:45:38.00" personId="{AE650105-A484-4736-9651-23EA80D4E0BA}" id="{C937BEEB-0621-47F4-85CF-D3E70940FDBA}" done="1">
    <text>Controlled vocabulary could include: code book, data dictionary, data specification,  readme file, other (specify).</text>
  </threadedComment>
  <threadedComment ref="C139" dT="2024-12-09T19:12:22.00" personId="{CCF208C8-C118-47E0-BB8F-03F8E797980C}" id="{4AEF7191-1EC4-4FAF-8C1C-07D14348869B}" done="1">
    <text>Do datasets always have an ID? We say that dataset are the conceptual level and distributions are instances. I guess we have no choice since it's an RDA field.</text>
  </threadedComment>
  <threadedComment ref="C139" dT="2024-12-09T21:06:43.00" personId="{CCF208C8-C118-47E0-BB8F-03F8E797980C}" id="{ABE5D55F-802D-4BB3-B4EB-8C24B06017D7}" parentId="{4AEF7191-1EC4-4FAF-8C1C-07D14348869B}">
    <text>see also distribution id</text>
  </threadedComment>
  <threadedComment ref="C147" dT="2024-12-02T19:16:30.00" personId="{A5B3ECCF-512F-4AA7-8EB2-63FFF89A9E7F}" id="{330853EE-A802-4539-871B-9C909AF4C64F}" done="1">
    <text>Not urgent for this update, but worth a comb-through at the end: Is the way in which we are referring to other fields (e.g., dmp/dataset/disposition_completed) in various descriptions consistent? the RDA common standard itself does not have precedents, really. There are two partial precedents: (1) the preamble for Distribution in the common standard uses a bunch of quotation marks referring to metadata properties, and (2) the description of Dataset /description and Dataset /title refer to Description and Title at the DMP level, just using capitalization.</text>
  </threadedComment>
  <threadedComment ref="B148" dT="2024-12-02T18:31:47.00" personId="{A5B3ECCF-512F-4AA7-8EB2-63FFF89A9E7F}" id="{1A3BBCA9-4C17-41CD-97BD-22DD8934ED8A}" done="1">
    <text>There is something non-parallel with these IDs nested within disposition_action. Authorization is not preceded by disposition_action_ in the Property ID, whereas the other three in the nest are.</text>
  </threadedComment>
  <threadedComment ref="C151" dT="2024-12-02T19:23:57.00" personId="{A5B3ECCF-512F-4AA7-8EB2-63FFF89A9E7F}" id="{F1F08069-0C99-480E-A082-CE4AD0B46B96}" done="1">
    <text>To be consistent with common standard, the description should list the allowed values. Current sentence seems superfluous.</text>
  </threadedComment>
  <threadedComment ref="C154" dT="2024-12-02T19:35:32.00" personId="{A5B3ECCF-512F-4AA7-8EB2-63FFF89A9E7F}" id="{30A3E787-BF67-4599-BAB4-37435B158B3B}" done="1">
    <text>This is missing the Allowed values.</text>
  </threadedComment>
  <threadedComment ref="E154" dT="2024-12-02T19:50:50.00" personId="{A5B3ECCF-512F-4AA7-8EB2-63FFF89A9E7F}" id="{0BCB58D9-5EED-4C2B-A338-D29570716CE1}">
    <text>should be 0..1 I think</text>
  </threadedComment>
  <threadedComment ref="E154" dT="2024-12-02T21:40:59.00" personId="{CCF208C8-C118-47E0-BB8F-03F8E797980C}" id="{0CC3686C-4028-4044-BCAB-A192CF9E9422}" parentId="{0BCB58D9-5EED-4C2B-A338-D29570716CE1}">
    <text>I think we can make it mandatory since there are answers like : unknown, tobe determined and not applicable</text>
  </threadedComment>
  <threadedComment ref="E154" dT="2024-12-16T17:38:42.00" personId="{305D4015-894B-43FE-8EB7-EA61B1D8A9E2}" id="{984B3C67-0735-4CA1-9894-733E7F336DD3}" parentId="{0BCB58D9-5EED-4C2B-A338-D29570716CE1}">
    <text>I can live with that, because the disposition planning nest is 0..1. This means that only when someone enters a value anywhere in the disposition nest, will that someone also need to indicate a value for each of the following: "archival value" / "required destruction" / "required perpetual use." (Personally, I don't think this makes the most sense for non-government organizations, but I can live with it).</text>
  </threadedComment>
  <threadedComment ref="F154" dT="2024-12-02T19:34:01.00" personId="{A5B3ECCF-512F-4AA7-8EB2-63FFF89A9E7F}" id="{C26D49ED-4787-47DC-9862-7A96578152AC}">
    <text>Can we have a required in an optional nest? Suggest switch this to 0..1 for standard, but recommend GC implements as 1.</text>
  </threadedComment>
  <threadedComment ref="F154" dT="2024-12-02T19:34:35.00" personId="{A5B3ECCF-512F-4AA7-8EB2-63FFF89A9E7F}" id="{52CCC723-446D-456C-A5FB-0AF5AEB5F565}" parentId="{C26D49ED-4787-47DC-9862-7A96578152AC}">
    <text>also, if you want this to apply to other large organizations (and not just the GC), then we are likely better to go with 0..1</text>
  </threadedComment>
  <threadedComment ref="F154" dT="2024-12-02T22:03:10.00" personId="{CCF208C8-C118-47E0-BB8F-03F8E797980C}" id="{3655F52A-BD0E-4ABF-8897-F74489758CF2}" parentId="{C26D49ED-4787-47DC-9862-7A96578152AC}">
    <text>even if there are choices like  not applicable, to be determined,  unknown?</text>
  </threadedComment>
  <threadedComment ref="I154" dT="2024-03-15T14:24:34.00" personId="{4EF4FE00-BB98-430A-93D8-5E7EC9DACAD4}" id="{06A50255-0F33-44DF-90A5-B36335417DB7}" done="1">
    <text>What is the definition of archival value? We have checked all of the possible reference documents and cannot find one.</text>
  </threadedComment>
  <threadedComment ref="I154" dT="2024-07-13T00:40:26.00" personId="{AE650105-A484-4736-9651-23EA80D4E0BA}" id="{8B1B9DDA-49D5-461F-9CEA-0D5BE2DC4A09}" parentId="{06A50255-0F33-44DF-90A5-B36335417DB7}">
    <text>The ongoing usefulness or significance of records, based on the administrative, legal, fiscal, evidential, or historical information they contain, justifying their continued preservation. In general, records with archival value are estimated to make up only a small percentage of an organization’s records. In most organizations, the determination of which records are considered to have archival value is made by archivists. Sometimes, archivists distinguish between the concepts of historical value and archival value. In such cases, historical value is defined narrowly as the value of a record to support research in the history of people and the world, and archival value is defined broadly to encompass value that supports any type of research using permanent records, including psychological, sociological, and other types of scientific research. (Society of American Archivists dictionary)</text>
  </threadedComment>
  <threadedComment ref="C156" dT="2024-12-02T19:38:33.00" personId="{A5B3ECCF-512F-4AA7-8EB2-63FFF89A9E7F}" id="{9E995E67-0EBD-43FD-9363-2D9E1A47AE51}" done="1">
    <text>Optional word-smithing suggestion. (I'm not liking how I worded things, sorry!) For noting time-limited impediments to effecting disposition at the end of the dataset's retention period. Note: use the retention specification nest to indicate an indefinite retention period or a perpetual use requirement.</text>
  </threadedComment>
  <threadedComment ref="I157" dT="2024-12-02T19:57:54.00" personId="{A5B3ECCF-512F-4AA7-8EB2-63FFF89A9E7F}" id="{D2922080-29D0-44DC-8075-D4E1CF845562}" done="1">
    <text>Optional editorial: what is preventing you from effecting disposition, once the retention period has elapsed?</text>
  </threadedComment>
  <threadedComment ref="A158" dT="2021-06-11T21:12:17.00" personId="{AE650105-A484-4736-9651-23EA80D4E0BA}" id="{1F396613-554F-42C6-B667-93344CA49450}" done="1">
    <text>Covers cases where data are required to be: (1) preserved for the ongoing protection of human rights, legal evidence or litigation holds; or, (2) there are other, dataset-specific legal considerations affecting final disposition (e.g,. partnership agreement).</text>
  </threadedComment>
  <threadedComment ref="C158" dT="2024-12-02T19:41:22.00" personId="{A5B3ECCF-512F-4AA7-8EB2-63FFF89A9E7F}" id="{F1D59C76-CD3F-4C20-9BE3-0AF1EBCFE661}" done="1">
    <text>to make this apply to non-GC, suggest rewording "ATIP request" bullet as "access to information or privacy request hold"</text>
  </threadedComment>
  <threadedComment ref="C158" dT="2024-12-02T21:54:03.00" personId="{CCF208C8-C118-47E0-BB8F-03F8E797980C}" id="{E5797ABF-0414-486F-824D-4D534DBC183D}" parentId="{F1D59C76-CD3F-4C20-9BE3-0AF1EBCFE661}">
    <text>@claire.austin@ec.gc.ca  see also comment at 2:55</text>
    <mentions>
      <mention mentionpersonId="{E32CC09D-27E0-4AB4-A985-F6F490E413CA}" mentionId="{C93CD017-29FC-425E-9B8C-656BD9701471}" startIndex="0" length="23"/>
    </mentions>
  </threadedComment>
  <threadedComment ref="I158" dT="2024-12-02T19:58:25.00" personId="{A5B3ECCF-512F-4AA7-8EB2-63FFF89A9E7F}" id="{84B68677-82B2-4023-B2FE-C0428F97371C}" done="1">
    <text>What type of impediment blocks you from effecting disposition?</text>
  </threadedComment>
  <threadedComment ref="C159" dT="2024-12-02T19:49:12.00" personId="{A5B3ECCF-512F-4AA7-8EB2-63FFF89A9E7F}" id="{9679D9DD-ED6E-4180-8CE7-9DCD5A45B026}" done="1">
    <text>Again, optional wordsmithing comment upon re-read. Instead of "last date", write "most recent date on which"</text>
  </threadedComment>
  <threadedComment ref="C161" dT="2024-12-02T19:50:33.00" personId="{A5B3ECCF-512F-4AA7-8EB2-63FFF89A9E7F}" id="{D5B17A6B-6E19-4CAE-84F6-AF89FAD3C49F}" done="1">
    <text>Optional wordsmithing comment: insert "applicable" before retention schedule.</text>
  </threadedComment>
  <threadedComment ref="E164" dT="2024-12-02T19:51:35.00" personId="{A5B3ECCF-512F-4AA7-8EB2-63FFF89A9E7F}" id="{6443DD5E-2E8A-48A2-B462-2A4138FB407D}">
    <text>needs to be 0..1</text>
  </threadedComment>
  <threadedComment ref="E164" dT="2024-12-02T21:38:33.00" personId="{CCF208C8-C118-47E0-BB8F-03F8E797980C}" id="{0AF48464-A6A3-4393-A736-77397859A26B}" parentId="{6443DD5E-2E8A-48A2-B462-2A4138FB407D}">
    <text>I think we can make it mandatory since there are answers like : unknown, tobe determined and not applicable</text>
  </threadedComment>
  <threadedComment ref="F164" dT="2024-12-02T19:43:33.00" personId="{A5B3ECCF-512F-4AA7-8EB2-63FFF89A9E7F}" id="{BBCC996F-5A84-4809-908D-5CFFEBA14710}">
    <text>this should not be required.</text>
  </threadedComment>
  <threadedComment ref="F164" dT="2024-12-02T21:52:52.00" personId="{CCF208C8-C118-47E0-BB8F-03F8E797980C}" id="{A592B9E4-5230-432A-AAA6-42F55E8468BB}" parentId="{BBCC996F-5A84-4809-908D-5CFFEBA14710}">
    <text>I think we can make it mandatory since there are answers like : unknown, tobe determined and not applicable</text>
  </threadedComment>
  <threadedComment ref="I164" dT="2024-07-15T16:17:26.00" personId="{26C5DE3B-EB2F-4C00-B673-22AC9AA89838}" id="{E3BECBD5-190D-4892-922C-3D3E0955294B}" done="1">
    <text>should this be more clear - ie destroyed when?</text>
  </threadedComment>
  <threadedComment ref="I164" dT="2024-07-21T16:48:33.00" personId="{AE650105-A484-4736-9651-23EA80D4E0BA}" id="{8BE946BE-3242-4094-84C4-EE6F52E1A20C}" parentId="{E3BECBD5-190D-4892-922C-3D3E0955294B}">
    <text>Described in retention/disposition policy</text>
  </threadedComment>
  <threadedComment ref="F165" dT="2024-08-01T18:48:46.00" personId="{90AD809B-4890-49EB-9EC3-0ACC198FF5EB}" id="{3E1BDF99-4EF8-4BF6-A2D3-CC000107CE21}" done="1">
    <text>Changed required IF dependency from if destruction is required to "if yes all, yes part was chosen in disposition_planning_required_destruction"</text>
  </threadedComment>
  <threadedComment ref="F165" dT="2024-08-01T20:32:02.00" personId="{CCF208C8-C118-47E0-BB8F-03F8E797980C}" id="{C5EA4E87-BD6B-4B5F-A202-064CE601454F}" parentId="{3E1BDF99-4EF8-4BF6-A2D3-CC000107CE21}">
    <text>agreed</text>
  </threadedComment>
  <threadedComment ref="E166" dT="2024-12-02T19:51:45.00" personId="{A5B3ECCF-512F-4AA7-8EB2-63FFF89A9E7F}" id="{33CDD946-C7C9-48A3-8B42-D008EF2EF746}">
    <text>needs to be 0..1</text>
  </threadedComment>
  <threadedComment ref="E166" dT="2024-12-02T21:37:17.00" personId="{CCF208C8-C118-47E0-BB8F-03F8E797980C}" id="{EF7232B7-F24C-4AEF-919B-5F3A02C75C2A}" parentId="{33CDD946-C7C9-48A3-8B42-D008EF2EF746}">
    <text>I think we can make it mandatory since there are answers like : unknown, tobe determined and not applicable</text>
  </threadedComment>
  <threadedComment ref="F166" dT="2024-12-02T19:43:59.00" personId="{A5B3ECCF-512F-4AA7-8EB2-63FFF89A9E7F}" id="{C8366AFE-46FA-4D58-982F-210E7AC4209C}">
    <text>This should not be required</text>
  </threadedComment>
  <threadedComment ref="F166" dT="2024-12-02T21:52:34.00" personId="{CCF208C8-C118-47E0-BB8F-03F8E797980C}" id="{CF174498-9883-4A7D-AEEC-3C049C589AA9}" parentId="{C8366AFE-46FA-4D58-982F-210E7AC4209C}">
    <text>I think we can make it mandatory since there are answers like : unknown, tobe determined and not applicable</text>
  </threadedComment>
  <threadedComment ref="I166" dT="2024-12-02T20:00:07.00" personId="{A5B3ECCF-512F-4AA7-8EB2-63FFF89A9E7F}" id="{91E6C659-AB4A-490A-9B2C-2F9FB46174B4}" done="1">
    <text>Wordsmithing: Do you need to keep this dataset indefinitely, for active use?</text>
  </threadedComment>
  <threadedComment ref="B171" dT="2024-12-02T20:05:11.00" personId="{A5B3ECCF-512F-4AA7-8EB2-63FFF89A9E7F}" id="{448FE7D4-E382-4883-88C1-44CCAAF7F32A}" done="1">
    <text>maybe trigger_occurred would be a better name? Although I like imagining a bouncing Tigger and all
1 total reaction
Dominique Charles reacted with 😁 at 2024-12-02 21:31 PM</text>
  </threadedComment>
  <threadedComment ref="B171" dT="2024-12-02T21:44:36.00" personId="{CCF208C8-C118-47E0-BB8F-03F8E797980C}" id="{D5E2EF49-7399-4026-B656-AF4E9CE63FE4}" parentId="{448FE7D4-E382-4883-88C1-44CCAAF7F32A}">
    <text>Marked as resolved</text>
  </threadedComment>
  <threadedComment ref="B171" dT="2024-12-02T21:46:15.00" personId="{CCF208C8-C118-47E0-BB8F-03F8E797980C}" id="{C8C46A78-62E3-462B-957F-91712F85A54F}" parentId="{448FE7D4-E382-4883-88C1-44CCAAF7F32A}">
    <text>Re-opened</text>
  </threadedComment>
  <threadedComment ref="B171" dT="2024-12-02T22:02:00.00" personId="{CCF208C8-C118-47E0-BB8F-03F8E797980C}" id="{66804B36-BF54-4137-A514-2924AF836997}" parentId="{448FE7D4-E382-4883-88C1-44CCAAF7F32A}">
    <text>does it make us look not serious?</text>
  </threadedComment>
  <threadedComment ref="B171" dT="2024-12-16T17:33:05.00" personId="{305D4015-894B-43FE-8EB7-EA61B1D8A9E2}" id="{7D9CA36F-44CE-4244-A74C-9681633917E7}" parentId="{448FE7D4-E382-4883-88C1-44CCAAF7F32A}">
    <text>I don't think that trigger_occurred seems unserious. Trigger_triggered perhaps unserious.</text>
  </threadedComment>
  <threadedComment ref="I172" dT="2024-12-02T20:02:07.00" personId="{A5B3ECCF-512F-4AA7-8EB2-63FFF89A9E7F}" id="{93DB122F-014E-415F-9C64-31B2152C51FE}" done="1">
    <text>What type of event triggers the retention period start?</text>
  </threadedComment>
  <threadedComment ref="K175" dT="2021-04-29T18:29:21.00" personId="{0D20F205-E620-4474-968C-1C3A27F051BE}" id="{71733A01-6EBE-40FE-9C3A-20D519F958FE}" done="1">
    <text>In the RDA common standard, only the date is requested.</text>
  </threadedComment>
  <threadedComment ref="K175" dT="2021-05-16T19:53:37.00" personId="{AE650105-A484-4736-9651-23EA80D4E0BA}" id="{FE2742E4-2AF3-4917-A382-6C846D7645FF}" parentId="{71733A01-6EBE-40FE-9C3A-20D519F958FE}">
    <text>ISO 8601 compliance was added in v1.1 (Nov 2020).</text>
  </threadedComment>
  <threadedComment ref="A176" dT="2021-06-08T14:47:25.00" personId="{AE650105-A484-4736-9651-23EA80D4E0BA}" id="{B8EB2871-6C1B-4137-9A70-6D48309C2D7F}" done="1">
    <text>Would this not be the same thing as retention period?</text>
  </threadedComment>
  <threadedComment ref="A177" dT="2021-06-22T14:17:12.00" personId="{AE650105-A484-4736-9651-23EA80D4E0BA}" id="{85229C49-DDEA-422B-8F01-E7561AB51065}" done="1">
    <text>@katherine.timms@canada.ca The RDA standard requires describing size in bytes. This is fine for small datasets, but is a problem for large datasets (e.g., petabytes). To get around this, added two new elements (data_size and data_size_units). Script would need to be written to convert this to bytes for the byte_size field. Thoughts?
Assigned to katherine.timms@bac-lac.gc.ca</text>
    <mentions>
      <mention mentionpersonId="{C89679BC-565A-4F6C-A2E2-F41A3A042605}" mentionId="{A163650F-3075-45D4-8A68-3ACF6E06A30A}" startIndex="0" length="26"/>
    </mentions>
  </threadedComment>
  <threadedComment ref="A177" dT="2021-06-22T17:32:21.00" personId="{7607D97F-38A3-4CCE-861B-E05C328557C3}" id="{40BB2893-C7FC-4328-B425-D58E3DCB2C74}" parentId="{85229C49-DDEA-422B-8F01-E7561AB51065}">
    <text>My thoughts are that if byte_size does not provide a useful number for large files (i.e., a file that would typically be expressed in petabytes), then perhaps this field should be ignored (it is 0..1 in RDA). Instead, the data_size and data_size_units should be used in the GC. I believe these might be required by LAC for transfer (extent). @heather.tompkins@canada.ca can you confirm?</text>
    <mentions>
      <mention mentionpersonId="{7CBF5130-E618-4933-9BBE-DE85B27FF003}" mentionId="{BED0B1DE-86E9-4063-A19C-AD2BA97F1D61}" startIndex="342" length="27"/>
    </mentions>
  </threadedComment>
  <threadedComment ref="A177" dT="2021-06-22T17:43:21.00" personId="{838E8969-6A34-49CD-936D-9992D0AB35B2}" id="{62C585E5-9CDF-4E7A-B4C7-0332D3FC3A45}" parentId="{85229C49-DDEA-422B-8F01-E7561AB51065}">
    <text>@katherine.timms@canada.ca claire.austin@canada.ca For transfer as a whole, we'd want to know the anticipated volume to understand demands on storage (either for transfer &amp; for processing).  Having volume expressed in a meaningful way (e.g. GB if at that scale, TB if at that scale) makes way more sense then at the bytes level.</text>
    <mentions>
      <mention mentionpersonId="{C89679BC-565A-4F6C-A2E2-F41A3A042605}" mentionId="{68CA6C90-2254-4570-B048-4AA32E4EBB0A}" startIndex="0" length="26"/>
    </mentions>
  </threadedComment>
  <threadedComment ref="A177" dT="2021-06-22T18:02:54.00" personId="{7607D97F-38A3-4CCE-861B-E05C328557C3}" id="{7374751C-8DE7-4E8D-9CA6-20FB2483946F}" parentId="{85229C49-DDEA-422B-8F01-E7561AB51065}">
    <text>Thank you! I see, too, in the LAC draft Metadata Standard that extent (i.e., size/duration of record + unit of measurement) is mandatory for the item level.</text>
  </threadedComment>
  <threadedComment ref="A177" dT="2024-04-12T12:44:33.00" personId="{A5B3ECCF-512F-4AA7-8EB2-63FFF89A9E7F}" id="{5FCC42D8-C765-4E21-B809-14B89AA4F47E}" parentId="{85229C49-DDEA-422B-8F01-E7561AB51065}">
    <text>Could this be an instance in which the information recorded in the dmp itself is slightly different than that gathered via the associated tool? As in, the dmp TOOL could gather the information via two questions (i.e., for data size and data size unit), but the TOOL would automatically convert that information into bytes for recording into the dmp itself so it is compliant with the RDA standard.</text>
  </threadedComment>
  <threadedComment ref="A177" dT="2024-07-14T15:39:29.00" personId="{AE650105-A484-4736-9651-23EA80D4E0BA}" id="{4C99A38E-A089-42A9-9EFF-E87448D16B13}" parentId="{85229C49-DDEA-422B-8F01-E7561AB51065}">
    <text>Agreed. Added two new fields: data_size and data_size_units</text>
  </threadedComment>
  <threadedComment ref="C177" dT="2026-01-20T00:30:47.00" personId="{CCF208C8-C118-47E0-BB8F-03F8E797980C}" id="{5B54B826-D8A8-486B-A459-A46EDD4BC598}" done="1">
    <text>https://www.iana.org/assignments/character-sets/character-sets.xhtml#character-sets-1</text>
    <extLst>
      <x:ext xmlns:xltc2="http://schemas.microsoft.com/office/spreadsheetml/2020/threadedcomments2" uri="{F7C98A9C-CBB3-438F-8F68-D28B6AF4A901}">
        <xltc2:checksum>2170987336</xltc2:checksum>
        <xltc2:hyperlink startIndex="0" length="85" url="https://www.iana.org/assignments/character-sets/character-sets.xhtml#character-sets-1"/>
      </x:ext>
    </extLst>
  </threadedComment>
  <threadedComment ref="L179" dT="2024-08-02T14:45:01.00" personId="{CCF208C8-C118-47E0-BB8F-03F8E797980C}" id="{CEB86760-FE83-4B79-8931-2C7D0173D639}" done="1">
    <text>This reference doesn't match the controlled vocabulary</text>
  </threadedComment>
  <threadedComment ref="L179" dT="2024-08-07T22:39:34.00" personId="{AE650105-A484-4736-9651-23EA80D4E0BA}" id="{704A8307-7EF3-48F8-BBDD-65A5C895971D}" parentId="{CEB86760-FE83-4B79-8931-2C7D0173D639}">
    <text>https://en.wikipedia.org/wiki/Unicode_block#List_of_blocks</text>
    <extLst>
      <x:ext xmlns:xltc2="http://schemas.microsoft.com/office/spreadsheetml/2020/threadedcomments2" uri="{F7C98A9C-CBB3-438F-8F68-D28B6AF4A901}">
        <xltc2:checksum>2798328331</xltc2:checksum>
        <xltc2:hyperlink startIndex="0" length="58" url="https://en.wikipedia.org/wiki/Unicode_block#List_of_blocks"/>
      </x:ext>
    </extLst>
  </threadedComment>
  <threadedComment ref="A186" dT="2021-07-09T02:31:07.00" personId="{AE650105-A484-4736-9651-23EA80D4E0BA}" id="{CAEDF182-4EA5-414A-8B60-C2F631677464}" done="1">
    <text>See tab, Unicode block.</text>
  </threadedComment>
  <threadedComment ref="F187" dT="2024-08-01T16:20:54.00" personId="{90AD809B-4890-49EB-9EC3-0ACC198FF5EB}" id="{060930E6-89B5-4D70-BDE9-44C926955877}" done="1">
    <text>Changed from required to required WHEN since the distribution nested structure is optional</text>
  </threadedComment>
  <threadedComment ref="F192" dT="2024-08-01T18:55:08.00" personId="{90AD809B-4890-49EB-9EC3-0ACC198FF5EB}" id="{838100FC-9E48-4614-B809-17AAE4740643}" done="1">
    <text>change from required IF to optional</text>
  </threadedComment>
  <threadedComment ref="F192" dT="2024-08-01T20:33:16.00" personId="{CCF208C8-C118-47E0-BB8F-03F8E797980C}" id="{1FA61982-56A9-4138-AA55-77F54839CD9F}" parentId="{838100FC-9E48-4614-B809-17AAE4740643}">
    <text>agreed</text>
  </threadedComment>
  <threadedComment ref="C193" dT="2024-12-09T21:07:25.00" personId="{CCF208C8-C118-47E0-BB8F-03F8E797980C}" id="{D03906E3-8573-495C-B88B-FC358215EF24}" done="1">
    <text>can't we create a distribution section before we know the distribution_id?</text>
  </threadedComment>
  <threadedComment ref="I201" dT="2024-04-12T13:15:11.00" personId="{A5B3ECCF-512F-4AA7-8EB2-63FFF89A9E7F}" id="{11E8F2A3-1E01-4826-92BE-F55089F85F7F}" done="1">
    <text>This is for file path, for files that are available internally on shared drives but are not published on the internet (and thus have urls). This is probably going to be the case for many GC research datasets.
I am no expert, but I don't think we can stick an internal network path in any access_url or download_url field, at least from what I glean from the DCAT vocab and the net. I read that while file paths and urls both point computers to a resource, file paths use backslashes and urls use forward slashes. 
Also, having a separate field for internal-to-dept-addresses would let departments not "publish" this field of the dmp, and keep it for internal use.  
I think we should change the name of this field though to dmp/dataset/distribution/file_path .</text>
  </threadedComment>
  <threadedComment ref="I201" dT="2024-07-12T22:32:18.00" personId="{AE650105-A484-4736-9651-23EA80D4E0BA}" id="{78FD66A8-1A36-4EA5-9E51-FA06111B94F6}" parentId="{11E8F2A3-1E01-4826-92BE-F55089F85F7F}">
    <text>Agreed</text>
  </threadedComment>
  <threadedComment ref="F202" dT="2024-08-01T17:05:02.00" personId="{90AD809B-4890-49EB-9EC3-0ACC198FF5EB}" id="{D551FC1D-1E31-4FE3-B509-4C0C9BD0FBC3}" done="1">
    <text>changed from required IF to required WHEN due to optional distribution nested structure. Changed cardinality from 0..n to 1..n.</text>
  </threadedComment>
  <threadedComment ref="F202" dT="2024-08-01T20:27:36.00" personId="{CCF208C8-C118-47E0-BB8F-03F8E797980C}" id="{1562F6D5-EC22-496F-A09C-B8B6F97392B7}" parentId="{D551FC1D-1E31-4FE3-B509-4C0C9BD0FBC3}">
    <text>agreed</text>
  </threadedComment>
  <threadedComment ref="F222" dT="2021-05-21T00:15:38.00" personId="{AE650105-A484-4736-9651-23EA80D4E0BA}" id="{92D9E43E-419E-461A-ADA3-2FF9C6D1E420}" done="1">
    <text>Why is the cardinality 0..n and not 0..1?</text>
  </threadedComment>
  <threadedComment ref="K223" dT="2025-02-14T21:29:38.00" personId="{CCF208C8-C118-47E0-BB8F-03F8E797980C}" id="{B9A61993-297C-46C5-899C-C47A5C218E34}" done="1">
    <text>Missing controlled vocabulary</text>
  </threadedComment>
  <threadedComment ref="F224" dT="2024-08-01T17:16:44.00" personId="{90AD809B-4890-49EB-9EC3-0ACC198FF5EB}" id="{B646EC55-A9CE-4CBF-A6E4-78106E0D34C9}" done="1">
    <text>changed from required IF to optional due to required IF dependency (if transferred to LAC). Added dependency to description</text>
  </threadedComment>
  <threadedComment ref="F225" dT="2024-08-01T17:17:23.00" personId="{90AD809B-4890-49EB-9EC3-0ACC198FF5EB}" id="{E4C0B343-0185-4031-A907-4A90C1FD5543}" done="1">
    <text>changed from required to required WHEN due to optional host nested structure</text>
  </threadedComment>
  <threadedComment ref="F225" dT="2024-08-01T20:30:50.00" personId="{CCF208C8-C118-47E0-BB8F-03F8E797980C}" id="{CFB61427-1565-4F99-8CD8-002660BD3812}" parentId="{E4C0B343-0185-4031-A907-4A90C1FD5543}">
    <text>agreed</text>
  </threadedComment>
  <threadedComment ref="F226" dT="2024-08-01T17:17:30.00" personId="{90AD809B-4890-49EB-9EC3-0ACC198FF5EB}" id="{5A1CE6A0-8C4C-4097-8B75-DC25B5D30DEB}" done="1">
    <text>changed from required to required WHEN due to optional host nested structure</text>
  </threadedComment>
  <threadedComment ref="F230" dT="2024-08-01T16:59:09.00" personId="{90AD809B-4890-49EB-9EC3-0ACC198FF5EB}" id="{6116AA17-2AB4-4E42-9B73-72775131E652}" done="1">
    <text>Changed from required to required WHEN because distribution is optional</text>
  </threadedComment>
  <threadedComment ref="F231" dT="2024-07-24T18:34:05.00" personId="{90AD809B-4890-49EB-9EC3-0ACC198FF5EB}" id="{06F65452-9F5F-45F6-BEA0-A2002438B4B6}" done="1">
    <text>change to required</text>
  </threadedComment>
  <threadedComment ref="F232" dT="2024-08-01T17:01:15.00" personId="{90AD809B-4890-49EB-9EC3-0ACC198FF5EB}" id="{0C64ABD3-752C-4F98-AC67-B8964C9C2F79}" done="1">
    <text>Changed from required to required WHEN because distribution is optional</text>
  </threadedComment>
  <threadedComment ref="K232" dT="2021-04-29T18:31:49.00" personId="{0D20F205-E620-4474-968C-1C3A27F051BE}" id="{C3731B21-D4B7-4805-B272-34DC886F2EE6}" done="1">
    <text>In the RDA common standard, only the date is requested.</text>
  </threadedComment>
  <threadedComment ref="K232" dT="2021-05-16T19:53:46.00" personId="{AE650105-A484-4736-9651-23EA80D4E0BA}" id="{9BFB7D1A-A7D6-4284-BFB1-99E4CE0FB544}" parentId="{C3731B21-D4B7-4805-B272-34DC886F2EE6}">
    <text>ISO 8601 compliance was added in v1.1 (Nov 2020).</text>
  </threadedComment>
  <threadedComment ref="A234" dT="2021-05-24T18:29:47.00" personId="{AE650105-A484-4736-9651-23EA80D4E0BA}" id="{72786B53-0AB5-499F-9FEE-4484DF6FAF33}" done="1">
    <text>This property not in the RDA DMP Std.</text>
  </threadedComment>
  <threadedComment ref="K236" dT="2024-12-12T18:23:26.00" personId="{CCF208C8-C118-47E0-BB8F-03F8E797980C}" id="{C4A9CB37-0B74-47CA-9DC3-303E9782B730}" done="1">
    <text>Missing the controlled voc</text>
  </threadedComment>
  <threadedComment ref="K239" dT="2024-12-12T18:22:49.00" personId="{CCF208C8-C118-47E0-BB8F-03F8E797980C}" id="{D0C742E0-7164-418D-AFC6-AA118791C43A}" done="1">
    <text>Missing the controlled vocabulary</text>
  </threadedComment>
  <threadedComment ref="F244" dT="2024-08-01T17:09:47.00" personId="{90AD809B-4890-49EB-9EC3-0ACC198FF5EB}" id="{D97A79A8-387C-4710-A26A-4832E72FBBDA}" done="1">
    <text>changed from required IF to optional. Right now there is no way to indicate if there is a physical data asset from previous entries</text>
  </threadedComment>
  <threadedComment ref="F244" dT="2024-08-01T20:28:10.00" personId="{CCF208C8-C118-47E0-BB8F-03F8E797980C}" id="{9D1B0AEA-4816-4AF0-B27E-5AF797C746FA}" parentId="{D97A79A8-387C-4710-A26A-4832E72FBBDA}">
    <text>agreed</text>
  </threadedComment>
  <threadedComment ref="A245" dT="2021-06-22T18:27:27.00" personId="{7607D97F-38A3-4CCE-861B-E05C328557C3}" id="{AF6BF7CF-3FFC-470C-85EF-1A3065FB98B9}" done="1">
    <text>Curious about this grouping and the terminology chosen. They are about describing physical storage media and physical storage locations, when applicable? Curious if terminology developed in library/digital preservation field might be helpful here - for example, PREMIS 1.7.2 storageMedium https://www.loc.gov/standards/premis/v3/premis-3-0-final.pdf (note link to metadataregistry.org controlled vocabulary)? However, your grouping under 'physical_data_asset' does allow for collation of physical location, network location, and storage media characteristics. With regard to physical location, is the "computer_name_full" to identify a local hard drive on which data might be stored? This is distinct from networked storage locations (e.g. shared_drive_access), which could be accessed remotely? In general, are you seeking to record a storage location (whether physical, local computer, networked, cloud) for the distribution (i.e., the 'official' copy of it, not the access copies linked from access_url and download_url)? 
@heather.tompkins@canada.ca can you provide advice on this grouping of properties?</text>
    <mentions>
      <mention mentionpersonId="{7CBF5130-E618-4933-9BBE-DE85B27FF003}" mentionId="{1883A822-533E-4EFB-A21B-B1EA26C8638C}" startIndex="1026" length="27"/>
    </mentions>
    <extLst>
      <x:ext xmlns:xltc2="http://schemas.microsoft.com/office/spreadsheetml/2020/threadedcomments2" uri="{F7C98A9C-CBB3-438F-8F68-D28B6AF4A901}">
        <xltc2:checksum>4232372492</xltc2:checksum>
        <xltc2:hyperlink startIndex="289" length="60" url="https://www.loc.gov/standards/premis/v3/premis-3-0-final.pdf"/>
        <xltc2:hyperlink startIndex="364" length="20" url="http://metadataregistry.org"/>
      </x:ext>
    </extLst>
  </threadedComment>
  <threadedComment ref="A245" dT="2024-07-14T16:19:24.00" personId="{AE650105-A484-4736-9651-23EA80D4E0BA}" id="{14E3F3D9-F338-45F9-9551-31A045CD46A2}" parentId="{AF6BF7CF-3FFC-470C-85EF-1A3065FB98B9}">
    <text>@jennifer.cuffe@bac-lac.gc.ca @katherine.timms@canada.ca @heather.tompkins@canada.ca  The idea is to allow for recording of physical assets (e.g., external hard drives) and/or physical location of servers, data centers, etc. Thoughts?</text>
    <mentions>
      <mention mentionpersonId="{25679075-450D-4C75-95DC-E51A40DD3CEA}" mentionId="{7B53F107-F4BD-4688-84E8-CF65E413D1C0}" startIndex="0" length="29"/>
      <mention mentionpersonId="{C89679BC-565A-4F6C-A2E2-F41A3A042605}" mentionId="{840457CF-FBAB-480C-BE7A-617323520F10}" startIndex="30" length="26"/>
      <mention mentionpersonId="{7CBF5130-E618-4933-9BBE-DE85B27FF003}" mentionId="{97EFDD65-5AED-4EAC-922B-92D8694C1391}" startIndex="57" length="27"/>
    </mentions>
  </threadedComment>
  <threadedComment ref="A245" dT="2024-07-24T20:21:07.00" personId="{AE650105-A484-4736-9651-23EA80D4E0BA}" id="{CC169DF2-BE2E-492E-BBC7-A8DD6517C8CB}" parentId="{AF6BF7CF-3FFC-470C-85EF-1A3065FB98B9}">
    <text>@jennifer.cuffe@bac-lac.gc.ca @katherine.timms@canada.ca @heather.tompkins@canada.ca Added a new column for potential PREMIS validation.</text>
    <mentions>
      <mention mentionpersonId="{25679075-450D-4C75-95DC-E51A40DD3CEA}" mentionId="{644C41CA-65E5-4FB5-AE78-E088DEB3AEEF}" startIndex="0" length="29"/>
      <mention mentionpersonId="{C89679BC-565A-4F6C-A2E2-F41A3A042605}" mentionId="{79DA7A63-F43F-497C-8D93-4C3209F54A7E}" startIndex="30" length="26"/>
      <mention mentionpersonId="{7CBF5130-E618-4933-9BBE-DE85B27FF003}" mentionId="{4AD0BEA3-88B1-4D35-8440-F5F6FD143547}" startIndex="57" length="27"/>
    </mentions>
  </threadedComment>
  <threadedComment ref="E248" dT="2024-07-24T18:49:58.00" personId="{90AD809B-4890-49EB-9EC3-0ACC198FF5EB}" id="{6AA115CF-F2AB-4769-B530-AAEEEFC80877}" done="1">
    <text>I think this could be 0..1</text>
  </threadedComment>
  <threadedComment ref="F248" dT="2024-08-01T17:10:26.00" personId="{90AD809B-4890-49EB-9EC3-0ACC198FF5EB}" id="{582302AE-B3EE-45FC-B234-4E77123D5E15}" done="1">
    <text>changed from required IF to required WHEN due to optional physical data asset</text>
  </threadedComment>
  <threadedComment ref="E250" dT="2024-07-24T18:50:11.00" personId="{90AD809B-4890-49EB-9EC3-0ACC198FF5EB}" id="{DB9F6F4F-F5DB-4C26-A0D3-C74418A381D6}" done="1">
    <text>I think this could be 0..1</text>
  </threadedComment>
  <threadedComment ref="F250" dT="2024-08-01T17:12:27.00" personId="{90AD809B-4890-49EB-9EC3-0ACC198FF5EB}" id="{4C366DFD-293F-4B1B-9256-84A6D0756B67}" done="1">
    <text>changed from required IF to required WHEN due to optional physical data asset. Changed cardinality from 0..1 to 1 (not sure about this)</text>
  </threadedComment>
  <threadedComment ref="F251" dT="2024-08-01T18:59:29.00" personId="{90AD809B-4890-49EB-9EC3-0ACC198FF5EB}" id="{26350223-B10C-42F2-9779-39AF35481D50}" done="1">
    <text>change from required IF to required WHEN, due to optional distribution nested structure</text>
  </threadedComment>
  <threadedComment ref="J251" dT="2024-12-02T20:30:14.00" personId="{A5B3ECCF-512F-4AA7-8EB2-63FFF89A9E7F}" id="{7DEA0A21-FC07-49BF-B605-BC52C82381B4}" done="1">
    <text>None , could be an example</text>
  </threadedComment>
  <threadedComment ref="F252" dT="2024-08-01T16:23:28.00" personId="{90AD809B-4890-49EB-9EC3-0ACC198FF5EB}" id="{B9F90D00-328B-463B-8AE2-74EAC1CFAB0A}" done="1">
    <text>changed from required to required WHEN, since distribution nested structure is optional</text>
  </threadedComment>
  <threadedComment ref="F252" dT="2024-08-01T19:56:21.00" personId="{CCF208C8-C118-47E0-BB8F-03F8E797980C}" id="{E6CE1462-35B7-445E-AB6C-DCCFD42064F0}" parentId="{B9F90D00-328B-463B-8AE2-74EAC1CFAB0A}">
    <text>agreed</text>
  </threadedComment>
  <threadedComment ref="A253" dT="2021-05-24T22:32:36.00" personId="{AE650105-A484-4736-9651-23EA80D4E0BA}" id="{1D943059-6B58-4D77-BC64-6422A69A7FF1}" done="1">
    <text>Property not in the RDA DMP Std.</text>
  </threadedComment>
  <threadedComment ref="E255" dT="2024-07-24T18:50:48.00" personId="{90AD809B-4890-49EB-9EC3-0ACC198FF5EB}" id="{C2546B1D-909C-4AF5-B9DA-2B51D08AA04D}" done="1">
    <text>I think this should be 0..1</text>
  </threadedComment>
  <threadedComment ref="F255" dT="2024-08-01T17:13:35.00" personId="{90AD809B-4890-49EB-9EC3-0ACC198FF5EB}" id="{15BB861B-A0FB-48E4-A288-65E0328FCF30}" done="1">
    <text>changed from required IF to required WHEN due to optional distribution nested structure. Not sure to change cardinality to 1</text>
  </threadedComment>
  <threadedComment ref="F255" dT="2024-08-01T20:29:35.00" personId="{CCF208C8-C118-47E0-BB8F-03F8E797980C}" id="{84EF9E35-22E9-4E2E-B2E6-D1F830972DFB}" parentId="{15BB861B-A0FB-48E4-A288-65E0328FCF30}">
    <text>I think we should make it required since they can choose "unknown"</text>
  </threadedComment>
  <threadedComment ref="A256" dT="2021-05-23T15:27:22.00" personId="{AE650105-A484-4736-9651-23EA80D4E0BA}" id="{3F063413-0272-4821-A998-0F67F9BD345A}" done="1">
    <text>Encoded according to NARSTO standard: LEVEL 0. Raw data or minimally processed data. Contains all available measurement data. May contain quality control flags indicating missing or invalid data. *** LEVEL 1. A complete dataset of specified quality. The dataset has been subjected to quality assurance and quality control checks and data management procedures. Compliance with documented data quality objectives, standard operating procedures (SOPs), and protocols has been evaluated and documented. If the data have been audited, level '0' status will remain in effect until all audits have been completed and the investigator’s response recorded. *** LEVEL 2. A complete, externally consistent dataset of specified quality that has undergone interpretative and diagnostic analyses. A validation level and status discussion must be included in the metadata record associated with the dataset. *** LEVEL 3. Data that have received intense scrutiny through analysis or use in modeling. As analysis of the data proceeds, analysts may raise questions about portions of the level '2' dataset. Additional checks and tests will be performed on such data and the Level 3 code will be affixed to data passing these tests. If this scrutiny reveals an inconsistency that appears to be caused by a measurement error, the entire chain of evidence for the measurement will be reviewed. *** MIXED. A package of datasets with varying levels of data quality. *** UNKNOWN. Data quality is unknown.</text>
  </threadedComment>
  <threadedComment ref="F256" dT="2024-08-01T16:22:29.00" personId="{90AD809B-4890-49EB-9EC3-0ACC198FF5EB}" id="{0042F209-3007-4376-80F6-25932C799C73}" done="1">
    <text>changed from required to required WHEN, since distribution nested structure is optional</text>
  </threadedComment>
  <threadedComment ref="F256" dT="2024-08-01T19:56:10.00" personId="{CCF208C8-C118-47E0-BB8F-03F8E797980C}" id="{A3592A15-5BA8-46C7-B8B4-EF357B81FDEB}" parentId="{0042F209-3007-4376-80F6-25932C799C73}">
    <text>agreed</text>
  </threadedComment>
  <threadedComment ref="F263" dT="2024-08-01T17:14:01.00" personId="{90AD809B-4890-49EB-9EC3-0ACC198FF5EB}" id="{371DCABB-C36E-4098-86AF-3FB855D5D9BE}" done="1">
    <text>changed from required IF to required WHEN due to optional distribution nested structure.</text>
  </threadedComment>
  <threadedComment ref="A265" dT="2024-12-09T21:20:52.00" personId="{CCF208C8-C118-47E0-BB8F-03F8E797980C}" id="{F1EEA105-1817-411A-BC3F-FAAC08F03D68}" done="1">
    <text>align with dmp/dataset/collection/data_update_frequency?</text>
  </threadedComment>
  <threadedComment ref="E270" dT="2024-07-24T18:42:34.00" personId="{90AD809B-4890-49EB-9EC3-0ACC198FF5EB}" id="{285E0E8C-A70B-4297-A11A-0C68DF19A21C}" done="1">
    <text>change to 0..1 due to when there is non geo-spatial data</text>
  </threadedComment>
  <threadedComment ref="F270" dT="2024-08-01T17:06:08.00" personId="{90AD809B-4890-49EB-9EC3-0ACC198FF5EB}" id="{81171BD4-1771-4EFF-BBEA-638D9B9BBC40}" done="1">
    <text>changed from required IF to optional and added the required IF dependency to the description</text>
  </threadedComment>
  <threadedComment ref="F272" dT="2024-07-24T18:30:10.00" personId="{90AD809B-4890-49EB-9EC3-0ACC198FF5EB}" id="{F85DC87E-3F28-491A-B57D-9841D3B86C94}" done="1">
    <text>change to required since cardinality is 1</text>
  </threadedComment>
  <threadedComment ref="A273" dT="2024-05-22T15:32:34.00" personId="{A5B3ECCF-512F-4AA7-8EB2-63FFF89A9E7F}" id="{35402623-6CE9-4E93-8137-5B8C6DF050A0}" done="1">
    <text>I keep on thinking that this new element -- IP -- would be better considered a property of the dataset, not the distribution. Would there ever be an instance in which the copyright or other IP rights, would differ distribution-by-distribution? Even in instances in which one is talking about a continuously-accruing longitudinal dataset, it would seem easier to indicate any change over time in IP rights at the level of the dataset. In contrast, it makes sense that licenses are managed in relation to specific distributions.</text>
  </threadedComment>
  <threadedComment ref="A273" dT="2024-07-12T18:32:48.00" personId="{AE650105-A484-4736-9651-23EA80D4E0BA}" id="{F5698244-9A6D-4C82-A24A-E6A290E93936}" parentId="{35402623-6CE9-4E93-8137-5B8C6DF050A0}">
    <text>Agreed.</text>
  </threadedComment>
  <threadedComment ref="F273" dT="2024-08-01T16:46:00.00" personId="{90AD809B-4890-49EB-9EC3-0ACC198FF5EB}" id="{3CC9F130-4070-4D31-93AB-089A362AE954}" done="1">
    <text>Not sure if this should be required. I changed required to optional</text>
  </threadedComment>
  <threadedComment ref="F273" dT="2024-08-01T20:16:00.00" personId="{CCF208C8-C118-47E0-BB8F-03F8E797980C}" id="{3200980C-B129-4E7F-A7C9-F165585D414B}" parentId="{3CC9F130-4070-4D31-93AB-089A362AE954}">
    <text>@claire.austin@canada.ca</text>
    <mentions>
      <mention mentionpersonId="{34B7F6E1-C20F-4D7E-AE04-9ED5E70477F2}" mentionId="{212F80FC-BFD7-4861-9E92-3C0370BE00BB}" startIndex="0" length="24"/>
    </mentions>
  </threadedComment>
  <threadedComment ref="A274" dT="2024-04-11T19:43:18.00" personId="{A5B3ECCF-512F-4AA7-8EB2-63FFF89A9E7F}" id="{9BF42476-3A77-45CE-AECA-B40AB5267FFF}" done="1">
    <text>Did we want to remove "copyright" from the field title. If we remove "copyright", it would allow for the recording of other rights as well BUT then the controlled vocab options would not work. Alternatively, another field dmp/dataset/distribution/intellectual_property/other 0..n string could allow for the recording of other considerations (e.g., recordings etc.)</text>
  </threadedComment>
  <threadedComment ref="A274" dT="2024-07-12T18:43:40.00" personId="{AE650105-A484-4736-9651-23EA80D4E0BA}" id="{CF1B4145-BB88-4BEC-A1FC-4EA3849D7FCB}" parentId="{9BF42476-3A77-45CE-AECA-B40AB5267FFF}">
    <text>Agreed.</text>
  </threadedComment>
  <threadedComment ref="A274" dT="2024-07-12T18:44:42.00" personId="{AE650105-A484-4736-9651-23EA80D4E0BA}" id="{63E591CE-5950-4AE7-87B7-EA1916F39F7C}" parentId="{9BF42476-3A77-45CE-AECA-B40AB5267FFF}">
    <text>Created new field for "other" intellectual property. 0..1, free text.</text>
  </threadedComment>
  <threadedComment ref="E274" dT="2024-07-24T18:32:00.00" personId="{90AD809B-4890-49EB-9EC3-0ACC198FF5EB}" id="{CAC42CAB-944B-499D-BAFF-0FCB0B9FBE57}" done="1">
    <text>Change to 0..1?</text>
  </threadedComment>
  <threadedComment ref="K274" dT="2025-02-14T21:31:05.00" personId="{CCF208C8-C118-47E0-BB8F-03F8E797980C}" id="{24EB7512-752B-44AD-9907-208087548E44}">
    <text>Missing controlled vocabulary</text>
  </threadedComment>
  <threadedComment ref="F275" dT="2024-07-24T18:33:23.00" personId="{90AD809B-4890-49EB-9EC3-0ACC198FF5EB}" id="{01EA2AFC-FC12-46C8-B9A3-1D621E055926}" done="1">
    <text>change to required due to cardinality 1..n, recommended by LAC</text>
  </threadedComment>
  <threadedComment ref="K278" dT="2021-04-29T18:21:38.00" personId="{0D20F205-E620-4474-968C-1C3A27F051BE}" id="{78976D50-E707-44E1-9A1B-A636FC9A005A}" done="1">
    <text>In the RDA common standard, only the date is requested.</text>
  </threadedComment>
  <threadedComment ref="K278" dT="2021-05-16T19:53:30.00" personId="{AE650105-A484-4736-9651-23EA80D4E0BA}" id="{A3ED3BCB-A468-47D4-ABCA-70B9FEC5D53A}" parentId="{78976D50-E707-44E1-9A1B-A636FC9A005A}">
    <text>ISO 8601 compliance was added in v1.1 (Nov 2020).</text>
  </threadedComment>
  <threadedComment ref="K279" dT="2024-12-09T21:51:48.00" personId="{CCF208C8-C118-47E0-BB8F-03F8E797980C}" id="{43F511FF-7C3B-4BC4-B407-D8A03D15E3B0}">
    <text>keyword is 0..n, each entry is a string, the system will handle how to display multiple entries</text>
  </threadedComment>
  <threadedComment ref="D280" dT="2021-06-14T18:12:52.00" personId="{A5B3ECCF-512F-4AA7-8EB2-63FFF89A9E7F}" id="{CE620E7F-8009-4979-B9D1-22C20BAD4ADF}" done="1">
    <text>We had talked about changing this to 0..n, to allow for multiple languages to be identified instead of "multiple" (which would not permit machine-identification of indigenous languages). Any news on possibly altering the RDA standard original?</text>
  </threadedComment>
  <threadedComment ref="D280" dT="2021-06-14T18:29:24.00" personId="{AE650105-A484-4736-9651-23EA80D4E0BA}" id="{AC19B501-767B-472F-9FA0-6C063516D604}" parentId="{CE620E7F-8009-4979-B9D1-22C20BAD4ADF}">
    <text>I haven't approached the RDA WG yet with any proposed changes to the standard. Waiting until our specification is firm.</text>
  </threadedComment>
  <threadedComment ref="D280" dT="2021-06-15T12:45:50.00" personId="{AE650105-A484-4736-9651-23EA80D4E0BA}" id="{5ECCCA92-4DED-42FC-B99A-216E1D84B140}" parentId="{CE620E7F-8009-4979-B9D1-22C20BAD4ADF}">
    <text>Added 0..n cardinality change for GC</text>
  </threadedComment>
  <threadedComment ref="D280" dT="2021-06-15T12:48:49.00" personId="{AE650105-A484-4736-9651-23EA80D4E0BA}" id="{F759EB15-2345-4C84-A88F-CB1B38DDFFF0}" parentId="{CE620E7F-8009-4979-B9D1-22C20BAD4ADF}">
    <text>Also added 'dmp/dataset/language_multiple' (0..n)</text>
  </threadedComment>
  <threadedComment ref="A281" dT="2021-07-09T02:43:01.00" personId="{AE650105-A484-4736-9651-23EA80D4E0BA}" id="{02B73152-54CD-4313-B309-7ABA22ECE7E1}" done="1">
    <text>See tab, Language codes.</text>
  </threadedComment>
  <threadedComment ref="E281" dT="2024-07-30T16:10:35.00" personId="{CCF208C8-C118-47E0-BB8F-03F8E797980C}" id="{4A023BDB-74AE-407C-9393-8567CA538EDD}" done="1">
    <text>should be 1..n or optional</text>
  </threadedComment>
  <threadedComment ref="E281" dT="2024-07-30T17:41:15.00" personId="{AE650105-A484-4736-9651-23EA80D4E0BA}" id="{5FBDBE24-052A-4939-88CA-CF03B5859DE1}" parentId="{4A023BDB-74AE-407C-9393-8567CA538EDD}">
    <text>ok</text>
  </threadedComment>
  <threadedComment ref="F283" dT="2024-07-24T18:34:42.00" personId="{90AD809B-4890-49EB-9EC3-0ACC198FF5EB}" id="{0ED0D8C4-D7F2-47AA-B3E7-92278EF4AEE0}" done="1">
    <text>change to required, RDA cardinality is 1</text>
  </threadedComment>
  <threadedComment ref="F285" dT="2024-07-24T18:34:45.00" personId="{90AD809B-4890-49EB-9EC3-0ACC198FF5EB}" id="{C3B9E502-11F1-48A9-BD5F-D42F48D9D7B9}" done="1">
    <text>change to required, RDA cardinality is 1</text>
  </threadedComment>
  <threadedComment ref="F289" dT="2024-07-24T18:34:48.00" personId="{90AD809B-4890-49EB-9EC3-0ACC198FF5EB}" id="{4B9F3EF6-F6D3-4945-BE07-CDDB68731237}" done="1">
    <text>change to required, RDA cardinality is 1</text>
  </threadedComment>
  <threadedComment ref="A303" dT="2021-06-14T18:14:11.00" personId="{A5B3ECCF-512F-4AA7-8EB2-63FFF89A9E7F}" id="{EFAAD7EA-D4FE-4367-AAE1-E116F6277D29}" done="1">
    <text>Why yellow? (In RDA DMP)</text>
  </threadedComment>
  <threadedComment ref="A303" dT="2021-06-14T18:28:36.00" personId="{AE650105-A484-4736-9651-23EA80D4E0BA}" id="{A6EAAFE0-3DBA-4560-8A43-53B70173BBF4}" parentId="{EFAAD7EA-D4FE-4367-AAE1-E116F6277D29}">
    <text>Just to draw attention to it since it is related to other GC elements.</text>
  </threadedComment>
  <threadedComment ref="C305" dT="2024-07-26T17:18:33.00" personId="{4EF4FE00-BB98-430A-93D8-5E7EC9DACAD4}" id="{5F72FF28-BE73-43C8-97DE-1B917FEB7CB3}" done="1">
    <text>Should the user-friendly Question be whether a privacy impact assessment WAS conducted or WILL BE conducted? I would think the latter?</text>
  </threadedComment>
  <threadedComment ref="C305" dT="2024-07-26T20:30:42.00" personId="{AE650105-A484-4736-9651-23EA80D4E0BA}" id="{9F111D8A-06B5-4BA8-8CCA-DB9711B393C8}" parentId="{5F72FF28-BE73-43C8-97DE-1B917FEB7CB3}">
    <text>Changed the fieldname to dmp/dataset/security_and_privacy/privacy_impact_assessment/required and modified the user friendly question. Will also modify the descriptions and controlled vocabularies for related fields.</text>
  </threadedComment>
  <threadedComment ref="E305" dT="2024-04-11T12:52:46.00" personId="{A5B3ECCF-512F-4AA7-8EB2-63FFF89A9E7F}" id="{B7607237-4A42-43F6-9BF0-4AE1BFCD8132}" done="1">
    <text>Not my area of expertise, so what follows is a genuine question: Could there not be more then one PIA approved per dataset? (i.e., a renewed PIA ten years in, for cumulative database?) if so, suggest 1..n or 0..n</text>
  </threadedComment>
  <threadedComment ref="E305" dT="2024-07-12T16:06:08.00" personId="{AE650105-A484-4736-9651-23EA80D4E0BA}" id="{85A769F9-72F9-4A14-94C7-8CEB757DFFB2}" parentId="{B7607237-4A42-43F6-9BF0-4AE1BFCD8132}">
    <text>Agreed that there might be more than one PIA if circumstances change https://www.canada.ca/en/government/system/digital-government/digital-privacy-playbook/privacy-impact-assessments.html</text>
    <extLst>
      <x:ext xmlns:xltc2="http://schemas.microsoft.com/office/spreadsheetml/2020/threadedcomments2" uri="{F7C98A9C-CBB3-438F-8F68-D28B6AF4A901}">
        <xltc2:checksum>2725790769</xltc2:checksum>
        <xltc2:hyperlink startIndex="69" length="118" url="https://www.canada.ca/en/government/system/digital-government/digital-privacy-playbook/privacy-impact-assessments.html"/>
      </x:ext>
    </extLst>
  </threadedComment>
  <threadedComment ref="E305" dT="2024-07-12T16:11:45.00" personId="{AE650105-A484-4736-9651-23EA80D4E0BA}" id="{B2FF4010-EAE0-4DDA-ABA0-EA6F97CD0BDE}" parentId="{B7607237-4A42-43F6-9BF0-4AE1BFCD8132}">
    <text>I might be mistaken, but I think that the cardinality would remain "1" even in the case a PIA was not required (for example in 2024), but due to changes became required (e.g., in 2030). This change would be captured the update to the DMP in 2030. A change in cardinality would not be needed.</text>
  </threadedComment>
  <threadedComment ref="A306" dT="2024-05-22T14:48:39.00" personId="{A5B3ECCF-512F-4AA7-8EB2-63FFF89A9E7F}" id="{561A474F-9F7C-45B6-BBA8-A47BBD64AD24}" done="1">
    <text>should this be a property of security and privacy, rather than of dataset directly? (true question). Also, is there a way we could turn it into privacy_impacy_assessment_id to avoid another box in the diagram? (again, true question)</text>
  </threadedComment>
  <threadedComment ref="A306" dT="2024-07-12T16:21:10.00" personId="{AE650105-A484-4736-9651-23EA80D4E0BA}" id="{42F6FAFC-730B-4139-94D6-56E719E361FC}" parentId="{561A474F-9F7C-45B6-BBA8-A47BBD64AD24}">
    <text>Yes, agreed. Also, removed controlled vocabulary from /registered to all entry of ID, if applicable.</text>
  </threadedComment>
  <threadedComment ref="F306" dT="2024-08-01T16:40:59.00" personId="{90AD809B-4890-49EB-9EC3-0ACC198FF5EB}" id="{7E268F9D-04F3-4DB7-BB90-5A7E65F52A86}" done="1">
    <text>changed required IF dependency from "If a privacy impact assessment was conducted" to "if 'yes' was chosen from privacy_impact_assessment_required"</text>
  </threadedComment>
  <threadedComment ref="G306" dT="2024-07-24T18:28:19.00" personId="{90AD809B-4890-49EB-9EC3-0ACC198FF5EB}" id="{A3C80092-F428-4C36-BF2D-6B5CF9D11FBC}" done="1">
    <text>If privacy_impact_assessment_conducted is yes</text>
  </threadedComment>
  <threadedComment ref="F307" dT="2024-08-01T16:41:30.00" personId="{90AD809B-4890-49EB-9EC3-0ACC198FF5EB}" id="{D6A46EE3-E927-4B3B-A35E-EE3C2293364E}" done="1">
    <text>changed required IF dependency from "If a privacy impact assessment was conducted" to "if 'yes' was chosen from privacy_impact_assessment_required"</text>
  </threadedComment>
  <threadedComment ref="G307" dT="2024-07-24T18:28:52.00" personId="{90AD809B-4890-49EB-9EC3-0ACC198FF5EB}" id="{9F05FBAD-D667-483A-85A5-966A88EC6B8A}" done="1">
    <text>If privacy_impact_assessment_approved is "yes"</text>
  </threadedComment>
  <threadedComment ref="F309" dT="2024-08-01T16:42:17.00" personId="{90AD809B-4890-49EB-9EC3-0ACC198FF5EB}" id="{96D0CED1-3D8E-41D2-A278-B553CBF67CC5}" done="1">
    <text>changed required IF dependency from "If a privacy impact assessment was conducted" to "if 'yes' was chosen from privacy_impact_assessment_required"</text>
  </threadedComment>
  <threadedComment ref="G309" dT="2024-07-24T18:29:26.00" personId="{90AD809B-4890-49EB-9EC3-0ACC198FF5EB}" id="{02ED56FD-1699-4976-85E4-461F6F8FB644}" done="1">
    <text>If privacy_impact_assessment_conducted is "yes"</text>
  </threadedComment>
  <threadedComment ref="C311" dT="2024-12-09T21:56:09.00" personId="{CCF208C8-C118-47E0-BB8F-03F8E797980C}" id="{6722DEE9-9C46-4485-905B-01626F754BBE}" done="1">
    <text>Change for "To name and identify a security or privacy control"</text>
  </threadedComment>
  <threadedComment ref="I311" dT="2024-10-22T14:32:50.00" personId="{305D4015-894B-43FE-8EB7-EA61B1D8A9E2}" id="{2A8BFDC6-AA6B-4483-BB08-B0F6DB0E5EFF}" done="1">
    <text>There should not be a question mark at the end of this. - Anna B, CSA</text>
  </threadedComment>
  <threadedComment ref="I312" dT="2024-07-15T16:18:47.00" personId="{26C5DE3B-EB2F-4C00-B673-22AC9AA89838}" id="{1FD54D53-E157-4C87-81A9-FA62C040E16D}" done="1">
    <text>Need explanation of what sensitive data is</text>
  </threadedComment>
  <threadedComment ref="I312" dT="2024-07-21T17:08:05.00" personId="{AE650105-A484-4736-9651-23EA80D4E0BA}" id="{517D798F-3220-471F-9D0D-302C5EBA7012}" parentId="{1FD54D53-E157-4C87-81A9-FA62C040E16D}">
    <text>Sensitive data are data for which injury that could reasonably be expected as a result of a loss of confidentiality (resulting from unauthorized disclosure), loss of integrity (resulting from unauthorized modification or destruction), or loss of availability (resulting from unauthorized removal or other disruption). See, for example, Treasury Board of Canada, Policy on government security.</text>
  </threadedComment>
  <threadedComment ref="A314" dT="2024-04-16T18:01:21.00" personId="{A5B3ECCF-512F-4AA7-8EB2-63FFF89A9E7F}" id="{1C410955-1C30-4674-B74B-55CF6C0A1387}" done="1">
    <text>How is this field different than dmp/dataset/keyword? 
If this is meant for a department's IM file classification code, suggest instead a different syntax.
If you keep dmp/dataset/subject to be a true "subject" field, suggest the cardinality of subject/classification be switched to 0..n (not 1), like for keywords. 
If "subject" means the subject according to some controlled system (e.g., library or in-house classification system) then fine, but suggest it be modelled on the structure for what you've done with industry above (to include  subject/classification_system also)</text>
  </threadedComment>
  <threadedComment ref="A314" dT="2024-07-14T15:21:40.00" personId="{AE650105-A484-4736-9651-23EA80D4E0BA}" id="{0638F7A8-3002-43AD-B56A-1294648471AA}" parentId="{1C410955-1C30-4674-B74B-55CF6C0A1387}">
    <text>Two-letter code (class and sub-class) for subject classification of the dataset according to the Library of Congress Classification (LCC). For example, the class and subclass code for an air quality dataset would be GE (Class: "Geography, Anthropolgy, Recreation" ; Subclass: "Environmental Sciences). https://www.loc.gov/aba/cataloging/classification/lcco/lcco_g.pdf
https://www.loc.gov/aba/cataloging/classification/lcco/lcco_b.pdf</text>
    <extLst>
      <x:ext xmlns:xltc2="http://schemas.microsoft.com/office/spreadsheetml/2020/threadedcomments2" uri="{F7C98A9C-CBB3-438F-8F68-D28B6AF4A901}">
        <xltc2:checksum>4134412839</xltc2:checksum>
        <xltc2:hyperlink startIndex="302" length="65" url="https://www.loc.gov/aba/cataloging/classification/lcco/lcco_g.pdf"/>
        <xltc2:hyperlink startIndex="368" length="65" url="https://www.loc.gov/aba/cataloging/classification/lcco/lcco_b.pdf"/>
      </x:ext>
    </extLst>
  </threadedComment>
  <threadedComment ref="F314" dT="2024-08-01T17:02:40.00" personId="{90AD809B-4890-49EB-9EC3-0ACC198FF5EB}" id="{7EFD637A-A32F-449A-8F41-F1CEA86634FD}" done="1">
    <text>changed from required to required WHEN due to optional subject nested structure</text>
  </threadedComment>
  <threadedComment ref="F315" dT="2024-08-01T17:03:01.00" personId="{90AD809B-4890-49EB-9EC3-0ACC198FF5EB}" id="{41D27397-9C6C-4110-BF2C-9BD1F69E9610}" done="1">
    <text>changed from required to required WHEN due to optional subject nested structure</text>
  </threadedComment>
  <threadedComment ref="K319" dT="2021-05-21T00:01:50.00" personId="{AE650105-A484-4736-9651-23EA80D4E0BA}" id="{2D7D5D60-0972-41BD-8634-6A6853E35C37}" done="1">
    <text>Is the cardinality in the DMP Std 0..n?</text>
  </threadedComment>
  <threadedComment ref="E342" dT="2025-12-09T19:58:08.00" personId="{CCF208C8-C118-47E0-BB8F-03F8E797980C}" id="{A9539F9B-ADC8-49AB-9F73-B8568CFCE849}" done="1">
    <text>Make 0..n? to allow for capture the requirements for multiple specific purposes?</text>
  </threadedComment>
  <threadedComment ref="F353" dT="2024-08-01T15:58:36.00" personId="{90AD809B-4890-49EB-9EC3-0ACC198FF5EB}" id="{2716FC0F-D7AE-4699-BFD9-4B834D9350A3}" done="1">
    <text>Changed from required IF to required WHEN due to optional technical resource nested structure</text>
  </threadedComment>
  <threadedComment ref="F353" dT="2024-08-01T19:08:27.00" personId="{CCF208C8-C118-47E0-BB8F-03F8E797980C}" id="{1C5017DE-20A1-4F4C-AA1A-49308F6CBC02}" parentId="{2716FC0F-D7AE-4699-BFD9-4B834D9350A3}">
    <text>agreed</text>
  </threadedComment>
  <threadedComment ref="I383" dT="2024-04-16T15:05:11.00" personId="{305D4015-894B-43FE-8EB7-EA61B1D8A9E2}" id="{6A05B2CB-69DF-4743-8356-0A2DD63AF650}" done="1">
    <text>Should we clarify/expand on the type of ethical issues? Should there be a sub-question with some examples of ethical issues? - Anna B, CSA</text>
  </threadedComment>
  <threadedComment ref="I383" dT="2024-07-12T15:51:56.00" personId="{AE650105-A484-4736-9651-23EA80D4E0BA}" id="{FA661C4F-5F3F-4D2C-B1A5-8AC37CE3CC5D}" parentId="{6A05B2CB-69DF-4743-8356-0A2DD63AF650}">
    <text>If you would like to email me some examples of ethical issues, I can add those to the description, but at this I don't think we need an extra field.</text>
  </threadedComment>
  <threadedComment ref="F385" dT="2024-07-31T19:06:20.00" personId="{CCF208C8-C118-47E0-BB8F-03F8E797980C}" id="{20CA27C7-F650-4100-9F4C-05BAF685B912}" done="1">
    <text>changed from optional to required since its cardinality is 1</text>
  </threadedComment>
  <threadedComment ref="F385" dT="2024-08-01T16:13:02.00" personId="{AE650105-A484-4736-9651-23EA80D4E0BA}" id="{C205D857-5502-40E8-9754-529B7F0F0BFA}" parentId="{20CA27C7-F650-4100-9F4C-05BAF685B912}">
    <text>Agreed.</text>
  </threadedComment>
  <threadedComment ref="A390" dT="2024-04-16T20:37:31.00" personId="{A5B3ECCF-512F-4AA7-8EB2-63FFF89A9E7F}" id="{A63E11A8-2D7A-493B-AE03-9C34EEC09CF9}" done="1">
    <text>suggest we switch the chapter for this field to dmp/indigenous_considerations/community_approval (and description) and switch to 0..n. The fact that community approval is required could be mentioned in the ethics section, but perhaps best to track it with the other indigenous_considerations</text>
  </threadedComment>
  <threadedComment ref="A390" dT="2024-05-10T17:52:19.00" personId="{305D4015-894B-43FE-8EB7-EA61B1D8A9E2}" id="{FC0B9CBB-C296-4FE9-A503-4EDE5E2884E1}" parentId="{A63E11A8-2D7A-493B-AE03-9C34EEC09CF9}">
    <text>This is primarily because of the way in which the three dmp/ethical_issues_ properties are structured in the common standard.</text>
  </threadedComment>
  <threadedComment ref="A390" dT="2024-07-15T13:29:42.00" personId="{AE650105-A484-4736-9651-23EA80D4E0BA}" id="{AA0ED4D9-774C-49D8-97D0-E536885874D6}" parentId="{A63E11A8-2D7A-493B-AE03-9C34EEC09CF9}">
    <text>Agreed.</text>
  </threadedComment>
  <threadedComment ref="A391" dT="2021-05-25T02:46:40.00" personId="{AE650105-A484-4736-9651-23EA80D4E0BA}" id="{E210E6EB-3DBB-44BA-8CA7-4B3B31B77216}" done="1">
    <text>Property not in the RDA DMP Std.</text>
  </threadedComment>
  <threadedComment ref="A392" dT="2024-04-16T18:06:03.00" personId="{A5B3ECCF-512F-4AA7-8EB2-63FFF89A9E7F}" id="{779954C0-8088-486F-9257-268295640FCC}" done="1">
    <text>suggest change the syntax to dmp/indigenous_considerations/dmp_discussion</text>
  </threadedComment>
  <threadedComment ref="A392" dT="2024-07-15T15:21:56.00" personId="{AE650105-A484-4736-9651-23EA80D4E0BA}" id="{32752055-5122-4C85-B5F9-0A22AE5352EB}" parentId="{779954C0-8088-486F-9257-268295640FCC}">
    <text>Agreed.</text>
  </threadedComment>
  <threadedComment ref="A395" dT="2024-05-10T19:09:39.00" personId="{305D4015-894B-43FE-8EB7-EA61B1D8A9E2}" id="{7E2B42F7-F79D-45ED-BDE3-72B7FA2F3410}" done="1">
    <text>I think this property and the previous should be a direct property of indigenous_considerations. 
As it currently stands, information re: the particular indigenous group  would need to be entered in the dmp for each distribution separately (and repeatedly).</text>
  </threadedComment>
  <threadedComment ref="A395" dT="2024-07-15T19:51:44.00" personId="{AE650105-A484-4736-9651-23EA80D4E0BA}" id="{FD909168-1C1A-4095-A6C1-FE81FF1A46B9}" parentId="{7E2B42F7-F79D-45ED-BDE3-72B7FA2F3410}">
    <text>Agreed.</text>
  </threadedComment>
  <threadedComment ref="E396" dT="2024-04-16T18:14:00.00" personId="{A5B3ECCF-512F-4AA7-8EB2-63FFF89A9E7F}" id="{7DA48FCA-E271-4B73-880E-3BF83627A985}" done="1">
    <text>question: why 0..1 and not 0..n?</text>
  </threadedComment>
  <threadedComment ref="E396" dT="2024-07-14T14:52:00.00" personId="{AE650105-A484-4736-9651-23EA80D4E0BA}" id="{3840D459-1844-4274-B985-03DAF9FA5801}" parentId="{7DA48FCA-E271-4B73-880E-3BF83627A985}">
    <text>Agreed.</text>
  </threadedComment>
  <threadedComment ref="A397" dT="2024-04-16T20:16:41.00" personId="{A5B3ECCF-512F-4AA7-8EB2-63FFF89A9E7F}" id="{354E235D-2140-4619-A5DB-40A1A6967D63}" done="1">
    <text>Claire: While I am totally down with the idea behind these fields and picklists -- to make datasets/distributions findable by the communities to whom they pertain -- I am uncomfortable with the field names and picklists as they stand for a variety of reasons. I'll send you an e-mail becuase my suggestion involves a bit of a reconfiguraton of these two fields</text>
  </threadedComment>
  <threadedComment ref="A397" dT="2024-07-15T19:51:12.00" personId="{AE650105-A484-4736-9651-23EA80D4E0BA}" id="{A4168C3F-04F9-4ECB-8F0D-9B95FE8B9CA3}" parentId="{354E235D-2140-4619-A5DB-40A1A6967D63}">
    <text>Requested during consultation with Indigenous groups. This field captures the "Indian band number" specific to First Nations. As far as I know, Inuit and Métis do not have a similar identification system.</text>
  </threadedComment>
  <threadedComment ref="E399" dT="2024-04-16T18:10:42.00" personId="{A5B3ECCF-512F-4AA7-8EB2-63FFF89A9E7F}" id="{1934B7B1-0C1F-4239-949F-A3AC757AA354}" done="1">
    <text>question: why not 0..n?</text>
  </threadedComment>
  <threadedComment ref="E399" dT="2024-07-14T14:51:32.00" personId="{AE650105-A484-4736-9651-23EA80D4E0BA}" id="{8CD5CA7C-E97F-4ACB-9006-CF2DC1C273F5}" parentId="{1934B7B1-0C1F-4239-949F-A3AC757AA354}">
    <text>Agreed.</text>
  </threadedComment>
  <threadedComment ref="I399" dT="2024-12-17T14:40:39.00" personId="{A5B3ECCF-512F-4AA7-8EB2-63FFF89A9E7F}" id="{9E2D123E-134E-4E17-988F-D1C7C15E0FB3}" done="1">
    <text>perhaps: What was the research method used, that was specific to the indigenous context? (if any)</text>
  </threadedComment>
  <threadedComment ref="K399" dT="2024-04-16T20:32:03.00" personId="{A5B3ECCF-512F-4AA7-8EB2-63FFF89A9E7F}" id="{B86435CB-1926-4DE7-B2AB-0C5D1D668D2C}" done="1">
    <text>Claire: I don't remember the why of this field, unless this specific field was suggested during consultations, I suggest we abandon this field altogether. If the field was suggested by the community (ie we need this field for a specific reason), then I'd strongly recommend it become a string (0..n). I'm happy to chat about why!</text>
  </threadedComment>
  <threadedComment ref="K399" dT="2024-07-14T16:29:58.00" personId="{AE650105-A484-4736-9651-23EA80D4E0BA}" id="{13B1D12F-1EC3-4062-B2F4-634A8B2B00BB}" parentId="{B86435CB-1926-4DE7-B2AB-0C5D1D668D2C}">
    <text>It was recommended during consultations with the Indigenous community. Changed from controlled vocabulary to string. Instead of the controlled vocabulary, added some examples to the Description.</text>
  </threadedComment>
  <threadedComment ref="F400" dT="2024-07-25T13:28:18.00" personId="{90AD809B-4890-49EB-9EC3-0ACC198FF5EB}" id="{2B36B748-B0F4-4FD0-A83D-FD87445C948E}" done="1">
    <text>I think this would be required IF for if indigenous_considerations_exist. I think this field is important for people to need to answer.</text>
  </threadedComment>
  <threadedComment ref="F401" dT="2024-07-25T13:29:55.00" personId="{90AD809B-4890-49EB-9EC3-0ACC198FF5EB}" id="{05870EF6-3559-4DBD-88D5-B2DEC0176EAF}" done="1">
    <text>Following the comment in row 140, this row would be required IF, if indigenous_traditional_knowledge is answered "yes"</text>
  </threadedComment>
  <threadedComment ref="E402" dT="2024-07-29T21:05:31.00" personId="{CCF208C8-C118-47E0-BB8F-03F8E797980C}" id="{0A825DE5-709E-4F2B-B585-BDF7A478155D}" done="1">
    <text>maybe move to the nested structure about the DMP distribution together with the encoding and the url and then allow multiple DMP distributions</text>
  </threadedComment>
  <threadedComment ref="A403" dT="2021-07-09T02:43:33.00" personId="{AE650105-A484-4736-9651-23EA80D4E0BA}" id="{2EE5DC37-A554-4ACC-BF4E-A898625020F7}" done="1">
    <text>See tab, Language codes.</text>
  </threadedComment>
  <threadedComment ref="C403" dT="2024-12-02T18:26:20.00" personId="{A5B3ECCF-512F-4AA7-8EB2-63FFF89A9E7F}" id="{4B6483D0-1485-4A08-AFDD-3498E76B87C4}" done="1">
    <text>Description incomplete. (One line only). 
Complete description should read:
Indicates the date on which data no longer exists in relation to the dmp. (That is, the data lifecycle is complete, at the institution). 
In instances in which data was never created in relation to the dmp, indicates the date on which the dmp was considered closed. 
Encoded using the ISO 8601 Date and Time compliant string.
Note: consider using “dmp/description” to record details (e.g., to where the data was transferred, or that the data no longer exists)."</text>
  </threadedComment>
  <threadedComment ref="K414" dT="2021-05-21T00:37:17.00" personId="{AE650105-A484-4736-9651-23EA80D4E0BA}" id="{EE5942A3-B549-4D7B-9C65-D3C31D666BC5}" done="1">
    <text>Am I understanding the DMP std correctly in making project 0..n (nested data structure)?</text>
  </threadedComment>
  <threadedComment ref="K419" dT="2021-04-29T17:42:36.00" personId="{0D20F205-E620-4474-968C-1C3A27F051BE}" id="{885C936A-597E-4BED-B0CB-27BC36CB40AF}" done="1">
    <text>In the RDA common standard, only the date is requested.</text>
  </threadedComment>
  <threadedComment ref="K419" dT="2021-05-16T19:53:14.00" personId="{AE650105-A484-4736-9651-23EA80D4E0BA}" id="{26E47C60-0C24-4CDF-9B15-38102089494B}" parentId="{885C936A-597E-4BED-B0CB-27BC36CB40AF}">
    <text>ISO 8601 compliance was added in v1.1 (Nov 2020).</text>
  </threadedComment>
  <threadedComment ref="F420" dT="2024-08-01T16:51:33.00" personId="{90AD809B-4890-49EB-9EC3-0ACC198FF5EB}" id="{3AF647B8-1121-456D-B0D7-2951A5FBEB16}" done="1">
    <text>Changed from required to required WHEN because project nested structure is optional</text>
  </threadedComment>
  <threadedComment ref="F421" dT="2024-07-31T19:54:22.00" personId="{90AD809B-4890-49EB-9EC3-0ACC198FF5EB}" id="{4F86C3DD-8F85-43C8-B7B3-8EB83AFBE4EB}" done="1">
    <text>changed from optional to required WHEN. Since cardinality is 1 and project nested structure must exist</text>
  </threadedComment>
  <threadedComment ref="F422" dT="2024-07-24T16:31:35.00" personId="{90AD809B-4890-49EB-9EC3-0ACC198FF5EB}" id="{4BAC4F67-E839-40F5-8387-4F24E48F9F92}" done="1">
    <text>change to required, RDA cardinality is 1</text>
  </threadedComment>
  <threadedComment ref="F426" dT="2024-07-24T16:31:49.00" personId="{90AD809B-4890-49EB-9EC3-0ACC198FF5EB}" id="{DD5F0EAF-EA09-4CD7-BE6B-6E2A651E7FE1}" done="1">
    <text>change to required, RDA cardinality is 1</text>
  </threadedComment>
  <threadedComment ref="F427" dT="2024-08-01T16:56:07.00" personId="{90AD809B-4890-49EB-9EC3-0ACC198FF5EB}" id="{B796F2EF-FF60-4920-942F-6C0616FD5968}" done="1">
    <text>Changed from required to required WHEN because project nested structure is optional</text>
  </threadedComment>
  <threadedComment ref="F427" dT="2024-08-01T19:53:37.00" personId="{CCF208C8-C118-47E0-BB8F-03F8E797980C}" id="{7A9F797C-4CEE-4EEC-B2F2-53DC14EE04C7}" parentId="{B796F2EF-FF60-4920-942F-6C0616FD5968}">
    <text>agreed</text>
  </threadedComment>
  <threadedComment ref="D428" dT="2021-05-28T13:34:41.00" personId="{0D20F205-E620-4474-968C-1C3A27F051BE}" id="{393D8F5E-478F-4026-80B4-8F7482083060}" done="1">
    <text>The cardinality in the RDA standard is listed as 0..1.  Was this modified for the GC standard?</text>
  </threadedComment>
  <threadedComment ref="D428" dT="2021-05-28T16:42:51.00" personId="{AE650105-A484-4736-9651-23EA80D4E0BA}" id="{35E97F6F-7017-4513-AE82-29B2990C7EE3}" parentId="{393D8F5E-478F-4026-80B4-8F7482083060}">
    <text>Fixed. Thank you.</text>
  </threadedComment>
  <threadedComment ref="F429" dT="2024-07-24T16:35:33.00" personId="{90AD809B-4890-49EB-9EC3-0ACC198FF5EB}" id="{FF4D54A4-0BFC-48F1-AE20-14CCC8DC4893}" done="1">
    <text>Change to required, RDA cardinality is 1</text>
  </threadedComment>
  <threadedComment ref="F433" dT="2024-07-24T16:35:47.00" personId="{90AD809B-4890-49EB-9EC3-0ACC198FF5EB}" id="{63A68783-ABA0-4398-9BAC-859CD7977D82}" done="1">
    <text>Change to required, RDA cardinality is 1</text>
  </threadedComment>
  <threadedComment ref="E434" dT="2024-07-24T17:56:13.00" personId="{90AD809B-4890-49EB-9EC3-0ACC198FF5EB}" id="{0F7BA254-CE8C-4806-B5E3-A7952E74303B}" done="1">
    <text>I think this could be 0..n instead if it is required IF</text>
  </threadedComment>
  <threadedComment ref="F434" dT="2024-08-01T16:56:52.00" personId="{90AD809B-4890-49EB-9EC3-0ACC198FF5EB}" id="{0AA9380A-05C7-407B-9AA4-46F33DD0A366}" done="1">
    <text>Changed from required to required WHEN because project nested structure is optional</text>
  </threadedComment>
  <threadedComment ref="F434" dT="2024-08-01T19:54:03.00" personId="{CCF208C8-C118-47E0-BB8F-03F8E797980C}" id="{8A553B5F-76B3-4305-A2D9-52CECB68F876}" parentId="{0AA9380A-05C7-407B-9AA4-46F33DD0A366}">
    <text>agreed</text>
  </threadedComment>
  <threadedComment ref="D436" dT="2021-05-28T16:44:42.00" personId="{AE650105-A484-4736-9651-23EA80D4E0BA}" id="{C304BBE5-5956-4257-A1B9-B411914AEB3A}" done="1">
    <text>Could somebody please check that 0..1 makes sense here?</text>
  </threadedComment>
  <threadedComment ref="E436" dT="2024-07-24T17:59:19.00" personId="{90AD809B-4890-49EB-9EC3-0ACC198FF5EB}" id="{9128BC73-4877-41C8-B70F-6A587648CC3D}" done="1">
    <text>I think could be changed to 0..n if required IF</text>
  </threadedComment>
  <threadedComment ref="F436" dT="2024-08-01T16:57:29.00" personId="{90AD809B-4890-49EB-9EC3-0ACC198FF5EB}" id="{7E94286F-25FB-4869-A7EC-94316D402B9A}" done="1">
    <text>Changed from required to required WHEN because project nested structure is optional</text>
  </threadedComment>
  <threadedComment ref="G436" dT="2024-07-24T18:21:04.00" personId="{90AD809B-4890-49EB-9EC3-0ACC198FF5EB}" id="{1C230BF3-0774-489D-B1E8-EE92CA455B7B}" done="1">
    <text>if funding_status is granted, applied, planned, rejected. i.e. funding_status is answered</text>
  </threadedComment>
  <threadedComment ref="A443" dT="2021-05-24T21:10:53.00" personId="{AE650105-A484-4736-9651-23EA80D4E0BA}" id="{47AB6C50-06CF-4EDE-861B-50F1190ED5CE}" done="1">
    <text>Property not in the RDA DMP Std.</text>
  </threadedComment>
  <threadedComment ref="E443" dT="2024-07-30T13:34:56.00" personId="{CCF208C8-C118-47E0-BB8F-03F8E797980C}" id="{C3BDBBF3-B074-41CE-B8E7-751E23277BC8}" done="1">
    <text>is 0..1 on the diagram</text>
  </threadedComment>
  <threadedComment ref="A446" dT="2024-04-11T12:23:31.00" personId="{A5B3ECCF-512F-4AA7-8EB2-63FFF89A9E7F}" id="{7DEA6B6C-A962-4ADD-8FBA-0DACE57E4C1A}" done="1">
    <text>Claire: consider keeping the naming convention consistent with others (e.g., having /agreement/download_url, access_url, and format as separate lines)</text>
  </threadedComment>
  <threadedComment ref="A447" dT="2024-04-11T12:24:12.00" personId="{A5B3ECCF-512F-4AA7-8EB2-63FFF89A9E7F}" id="{D5825959-AA90-4012-8DF0-C7654D819B2E}" done="1">
    <text>Claire: should this be named /agreement/description instead? (i.e., why two agreements in field name?)</text>
  </threadedComment>
  <threadedComment ref="A447" dT="2024-05-21T12:59:33.00" personId="{AE650105-A484-4736-9651-23EA80D4E0BA}" id="{B08E11B2-3B4F-48D4-8BF3-ADC7C1E50FF7}" parentId="{D5825959-AA90-4012-8DF0-C7654D819B2E}">
    <text>I agree</text>
  </threadedComment>
  <threadedComment ref="F447" dT="2024-07-31T19:08:20.00" personId="{90AD809B-4890-49EB-9EC3-0ACC198FF5EB}" id="{A8B5260E-3DA9-4BF1-B93E-F2BF260A02BF}" done="1">
    <text>Changed from required IF to required WHEN</text>
  </threadedComment>
  <threadedComment ref="K447" dT="2024-04-11T12:26:16.00" personId="{A5B3ECCF-512F-4AA7-8EB2-63FFF89A9E7F}" id="{456C0691-0BDD-4BB2-902E-F310485627F2}" done="1">
    <text>Claire: at present I am unconvinced that a controlled vocabulary in this field would be helpful and productive. Unless there are clear definitions for each of the vocabulary within the GC, suggest this become a string (free-form) but that the field description or example list common types. I suspect different GC Institutions will want to have their own list.</text>
  </threadedComment>
  <threadedComment ref="K447" dT="2024-07-12T15:20:35.00" personId="{AE650105-A484-4736-9651-23EA80D4E0BA}" id="{D802D9CB-0EAA-4706-AB71-88FFAB77CEE6}" parentId="{456C0691-0BDD-4BB2-902E-F310485627F2}">
    <text>Agreed</text>
  </threadedComment>
  <threadedComment ref="A448" dT="2024-04-11T12:27:30.00" personId="{A5B3ECCF-512F-4AA7-8EB2-63FFF89A9E7F}" id="{250F94EF-94D6-4B3E-8C61-F52B655819AA}" done="1">
    <text>Claire: check syntax  of field name. To me, agreement/type makes more sense than agreement_type since it is nested</text>
  </threadedComment>
  <threadedComment ref="B455" dT="2025-02-28T14:46:47.00" personId="{A5B3ECCF-512F-4AA7-8EB2-63FFF89A9E7F}" id="{6970251B-F77F-4D19-B1A2-72799E63AB53}" done="1">
    <text>Why is succession_plan not in this nest?</text>
  </threadedComment>
  <threadedComment ref="B455" dT="2025-02-28T16:04:13.00" personId="{CCF208C8-C118-47E0-BB8F-03F8E797980C}" id="{CFFC1467-324E-4A41-832D-91DB317C29B5}" parentId="{6970251B-F77F-4D19-B1A2-72799E63AB53}">
    <text>Succession plan could me one of the measure without being a dedicated field</text>
  </threadedComment>
  <threadedComment ref="C455" dT="2025-02-28T14:44:22.00" personId="{A5B3ECCF-512F-4AA7-8EB2-63FFF89A9E7F}" id="{961CE6E8-194F-4EAA-925C-BE4A5FE49ADF}" done="1">
    <text>I think this definition may need work. Safeguarding research partnerships could be understood in many ways, not all consistent with "safeguarding Science".</text>
  </threadedComment>
  <threadedComment ref="C455" dT="2025-02-28T16:06:00.00" personId="{CCF208C8-C118-47E0-BB8F-03F8E797980C}" id="{9CDA8784-D431-488B-8B3A-24BBC75965DC}" parentId="{961CE6E8-194F-4EAA-925C-BE4A5FE49ADF}">
    <text>@claire.austin@ec.gc.ca</text>
    <mentions>
      <mention mentionpersonId="{E32CC09D-27E0-4AB4-A985-F6F490E413CA}" mentionId="{7D18CE49-420A-4658-9CA5-7AC79FB29CE4}" startIndex="0" length="23"/>
    </mentions>
  </threadedComment>
  <threadedComment ref="C455" dT="2026-04-08T14:57:34.00" personId="{AE650105-A484-4736-9651-23EA80D4E0BA}" id="{2E3605BC-0AA8-4D24-B719-E97724DFEF21}" parentId="{961CE6E8-194F-4EAA-925C-BE4A5FE49ADF}">
    <text>ok</text>
  </threadedComment>
  <threadedComment ref="E455" dT="2025-02-28T14:46:04.00" personId="{A5B3ECCF-512F-4AA7-8EB2-63FFF89A9E7F}" id="{CEDA5D6C-48CD-4F0C-A732-95B2975C400E}" done="1">
    <text>This can't be a cardinality of 1. As has been emphasized, dmps are not meant to stand-in for overall science policies in GC institutions. For many GC institutions, the measures for safeguarding science are implemented institution-wide, and are not necessarily tailored to a specific project.</text>
  </threadedComment>
  <threadedComment ref="E455" dT="2025-02-28T16:05:26.00" personId="{CCF208C8-C118-47E0-BB8F-03F8E797980C}" id="{8FE1CDAC-C901-4BEE-8135-8947B25417A8}" parentId="{CEDA5D6C-48CD-4F0C-A732-95B2975C400E}">
    <text>this nested structure is required but the first question is asking if any measure exists and if no then no other field is required</text>
  </threadedComment>
  <threadedComment ref="E455" dT="2025-02-28T16:57:56.00" personId="{A5B3ECCF-512F-4AA7-8EB2-63FFF89A9E7F}" id="{23CA1C56-FC09-4E66-A3A2-3D64E17D50D9}" parentId="{CEDA5D6C-48CD-4F0C-A732-95B2975C400E}">
    <text>But my point is that the way this is currently structured, it puts anyone completing a DMP in a pickle, and so it becomes a PR exercise. Even if there is nothing project-specific, they cannot say no -- because in all likelihood there are a full host of measures generally applicable to all (or many) of an institution's projects. This section needs to be reworked for clarity, to emphasize that measures recorded here are project-specific.</text>
  </threadedComment>
  <threadedComment ref="C457" dT="2025-02-28T14:51:16.00" personId="{A5B3ECCF-512F-4AA7-8EB2-63FFF89A9E7F}" id="{1B5467DA-885A-46D6-BE8B-E115785F005F}" done="1">
    <text>If this field is to stay here, it needs to be rephrased to make clear this information needs to be specific to the particular project. (Not for recording general overall program/institutional measures; and not specific to a particular dataset).</text>
  </threadedComment>
  <threadedComment ref="C457" dT="2025-02-28T15:58:57.00" personId="{CCF208C8-C118-47E0-BB8F-03F8E797980C}" id="{1CC5FF34-7061-458F-9DF1-4814029746E0}" parentId="{1B5467DA-885A-46D6-BE8B-E115785F005F}">
    <text>@claire.austin@ec.gc.ca</text>
    <mentions>
      <mention mentionpersonId="{E32CC09D-27E0-4AB4-A985-F6F490E413CA}" mentionId="{1F61436B-94E0-4E10-ADE4-104AD46B8309}" startIndex="0" length="23"/>
    </mentions>
  </threadedComment>
  <threadedComment ref="C457" dT="2026-04-08T14:57:45.00" personId="{AE650105-A484-4736-9651-23EA80D4E0BA}" id="{16CCB1D2-D376-4C8E-8657-80597F7E2BE0}" parentId="{1B5467DA-885A-46D6-BE8B-E115785F005F}">
    <text>ok</text>
  </threadedComment>
  <threadedComment ref="C461" dT="2025-02-28T14:49:38.00" personId="{A5B3ECCF-512F-4AA7-8EB2-63FFF89A9E7F}" id="{BBF8B2F3-7795-497C-8500-FB66A6298745}">
    <text>I think that this needs to be rephrased to be project-specific; if not it is almost like we are expecting the person who fills out the dmp at any point in time, to link to the full suite of institutional safeguards, which is not only unrealistic, but may be counterproductive (in that it may become a PR exercise, or result in the overall dmp becoming Protected_B, rather than a place for identifying and documenting project-specific issues). See my other comments on this subject.</text>
  </threadedComment>
  <threadedComment ref="C461" dT="2025-02-28T15:59:52.00" personId="{CCF208C8-C118-47E0-BB8F-03F8E797980C}" id="{DB8CBD43-68BF-4B3A-8249-86B5FA3DF1F8}" parentId="{BBF8B2F3-7795-497C-8500-FB66A6298745}">
    <text>@claire.austin@ec.gc.ca</text>
    <mentions>
      <mention mentionpersonId="{E32CC09D-27E0-4AB4-A985-F6F490E413CA}" mentionId="{EBCCFC8D-9BAC-42AC-9092-A47B623060C1}" startIndex="0" length="23"/>
    </mentions>
  </threadedComment>
  <threadedComment ref="C461" dT="2026-04-08T14:58:01.00" personId="{AE650105-A484-4736-9651-23EA80D4E0BA}" id="{ABD000E7-F5FF-4093-A74C-23FECDF07425}" parentId="{BBF8B2F3-7795-497C-8500-FB66A6298745}">
    <text>ok</text>
  </threadedComment>
  <threadedComment ref="I461" dT="2025-03-03T20:29:25.00" personId="{305D4015-894B-43FE-8EB7-EA61B1D8A9E2}" id="{FE79154B-92D0-49E6-9BCD-ABE28E3A8192}" done="1">
    <text>Change to "Have any measures ..." - Anna B, CSA</text>
  </threadedComment>
  <threadedComment ref="K466" dT="2021-04-29T17:42:28.00" personId="{0D20F205-E620-4474-968C-1C3A27F051BE}" id="{858FE471-3199-463A-A6E3-703D0678C34A}" done="1">
    <text>In the RDA common standard, only the date is requested.</text>
  </threadedComment>
  <threadedComment ref="K466" dT="2021-05-16T19:53:04.00" personId="{AE650105-A484-4736-9651-23EA80D4E0BA}" id="{173AF556-A692-4816-A8E6-0D24A3423210}" parentId="{858FE471-3199-463A-A6E3-703D0678C34A}">
    <text>ISO 8601 compliance was added in v1.1 (Nov 2020).</text>
  </threadedComment>
  <threadedComment ref="A467" dT="2021-05-25T03:55:06.00" personId="{AE650105-A484-4736-9651-23EA80D4E0BA}" id="{BF8B7B7D-FA33-419A-B148-4942820249FB}" done="1">
    <text>Property not in RDA DMP Std.</text>
  </threadedComment>
  <threadedComment ref="F467" dT="2024-07-31T19:05:30.00" personId="{90AD809B-4890-49EB-9EC3-0ACC198FF5EB}" id="{4AE08D5A-DFF7-4070-804A-E5B52CEDFA29}" done="1">
    <text>Changed from required to required WHEN due to project being an optional nested structure</text>
  </threadedComment>
  <threadedComment ref="C468" dT="2024-07-10T14:38:38.00" personId="{305D4015-894B-43FE-8EB7-EA61B1D8A9E2}" id="{579B085A-3A6B-4D11-A467-EC79FA1A3949}" done="1">
    <text>Should this be nested here under dataset? It seems better suited to be placed under DMP info. - Anna B, CSA</text>
  </threadedComment>
  <threadedComment ref="C468" dT="2024-07-12T19:00:28.00" personId="{AE650105-A484-4736-9651-23EA80D4E0BA}" id="{FEAAA980-4D5B-4FB7-AD25-87E70AFE8703}" parentId="{579B085A-3A6B-4D11-A467-EC79FA1A3949}">
    <text>Agreed.</text>
  </threadedComment>
  <threadedComment ref="I473" dT="2024-07-15T15:29:15.00" personId="{26C5DE3B-EB2F-4C00-B673-22AC9AA89838}" id="{C73610AD-F127-4736-A8F9-23A5BAF48F50}" done="1">
    <text>consider: what level of security classification is the data management plan</text>
  </threadedComment>
  <threadedComment ref="I473" dT="2024-07-15T22:19:26.00" personId="{AE650105-A484-4736-9651-23EA80D4E0BA}" id="{E2C8673B-905E-4A80-9D75-D0C7D6EFAA81}" parentId="{C73610AD-F127-4736-A8F9-23A5BAF48F50}">
    <text>Agreed.</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007mydep.sharepoint.com/sites/PMAD/Lists/ProjectDB/AllItems.aspx" TargetMode="External"/><Relationship Id="rId117" Type="http://schemas.microsoft.com/office/2019/04/relationships/documenttask" Target="../documenttasks/documenttask1.xml"/><Relationship Id="rId21" Type="http://schemas.openxmlformats.org/officeDocument/2006/relationships/hyperlink" Target="https://github.com/RDA-DMP-Common/RDA-DMP-Common-Standard" TargetMode="External"/><Relationship Id="rId42" Type="http://schemas.openxmlformats.org/officeDocument/2006/relationships/hyperlink" Target="https://data-donnees.az.ec.gc.ca/data" TargetMode="External"/><Relationship Id="rId47" Type="http://schemas.openxmlformats.org/officeDocument/2006/relationships/hyperlink" Target="https://github.com/RDA-DMP-Common/RDA-DMP-Common-Standard" TargetMode="External"/><Relationship Id="rId63" Type="http://schemas.openxmlformats.org/officeDocument/2006/relationships/hyperlink" Target="http://www.ddialliance.org/Specification/DDI-Lifecycle/3.1/XMLSchema/instance.xsd" TargetMode="External"/><Relationship Id="rId68" Type="http://schemas.openxmlformats.org/officeDocument/2006/relationships/hyperlink" Target="https://id.loc.gov/authorities/subjects/sh85008973.html" TargetMode="External"/><Relationship Id="rId84" Type="http://schemas.openxmlformats.org/officeDocument/2006/relationships/hyperlink" Target="https://github.com/RDA-DMP-Common/RDA-DMP-Common-Standard" TargetMode="External"/><Relationship Id="rId89" Type="http://schemas.openxmlformats.org/officeDocument/2006/relationships/hyperlink" Target="https://fnp-ppn.aadnc-aandc.gc.ca/fnp/Main/Search/SearchFN.aspx?lang=eng" TargetMode="External"/><Relationship Id="rId112" Type="http://schemas.openxmlformats.org/officeDocument/2006/relationships/drawing" Target="../drawings/drawing1.xml"/><Relationship Id="rId16" Type="http://schemas.openxmlformats.org/officeDocument/2006/relationships/hyperlink" Target="https://github.com/RDA-DMP-Common/RDA-DMP-Common-Standard" TargetMode="External"/><Relationship Id="rId107" Type="http://schemas.openxmlformats.org/officeDocument/2006/relationships/hyperlink" Target="http://some.repo/.../..." TargetMode="External"/><Relationship Id="rId11" Type="http://schemas.openxmlformats.org/officeDocument/2006/relationships/hyperlink" Target="https://github.com/RDA-DMP-Common/RDA-DMP-Common-Standard" TargetMode="External"/><Relationship Id="rId32" Type="http://schemas.openxmlformats.org/officeDocument/2006/relationships/hyperlink" Target="https://github.com/RDA-DMP-Common/RDA-DMP-Common-Standard" TargetMode="External"/><Relationship Id="rId37" Type="http://schemas.openxmlformats.org/officeDocument/2006/relationships/hyperlink" Target="https://github.com/RDA-DMP-Common/RDA-DMP-Common-Standard" TargetMode="External"/><Relationship Id="rId53" Type="http://schemas.openxmlformats.org/officeDocument/2006/relationships/hyperlink" Target="https://github.com/RDA-DMP-Common/RDA-DMP-Common-Standard" TargetMode="External"/><Relationship Id="rId58" Type="http://schemas.openxmlformats.org/officeDocument/2006/relationships/hyperlink" Target="https://rdamsc.bath.ac.uk/" TargetMode="External"/><Relationship Id="rId74" Type="http://schemas.openxmlformats.org/officeDocument/2006/relationships/hyperlink" Target="https://github.com/FAIRERdata/maDMP-Standard" TargetMode="External"/><Relationship Id="rId79" Type="http://schemas.openxmlformats.org/officeDocument/2006/relationships/hyperlink" Target="https://github.com/RDA-DMP-Common/RDA-DMP-Common-Standard" TargetMode="External"/><Relationship Id="rId102" Type="http://schemas.openxmlformats.org/officeDocument/2006/relationships/hyperlink" Target="https://007mydep.sharepoint.com/sites/PMAD/Lists/ProjectDB/AllItems.aspx" TargetMode="External"/><Relationship Id="rId5" Type="http://schemas.openxmlformats.org/officeDocument/2006/relationships/hyperlink" Target="https://gcdirectory-gcannuaire.ssc-spc.gc.ca/en/GCD/?pgid=002" TargetMode="External"/><Relationship Id="rId90" Type="http://schemas.openxmlformats.org/officeDocument/2006/relationships/hyperlink" Target="https://github.com/RDA-DMP-Common/RDA-DMP-Common-Standard" TargetMode="External"/><Relationship Id="rId95" Type="http://schemas.openxmlformats.org/officeDocument/2006/relationships/hyperlink" Target="https://github.com/RDA-DMP-Common/RDA-DMP-Common-Standard" TargetMode="External"/><Relationship Id="rId22" Type="http://schemas.openxmlformats.org/officeDocument/2006/relationships/hyperlink" Target="https://github.com/RDA-DMP-Common/RDA-DMP-Common-Standard" TargetMode="External"/><Relationship Id="rId27" Type="http://schemas.openxmlformats.org/officeDocument/2006/relationships/hyperlink" Target="https://www.registreentreprises.gouv.qc.ca/reqna/gr/gr03/gr03a71.rechercheregistre.mvc/gr03a71?choixdomaine=RegistreEntreprisesQuebec" TargetMode="External"/><Relationship Id="rId43" Type="http://schemas.openxmlformats.org/officeDocument/2006/relationships/hyperlink" Target="https://github.com/RDA-DMP-Common/RDA-DMP-Common-Standard" TargetMode="External"/><Relationship Id="rId48" Type="http://schemas.openxmlformats.org/officeDocument/2006/relationships/hyperlink" Target="https://open.canada.ca/en/open-government-license-canada" TargetMode="External"/><Relationship Id="rId64" Type="http://schemas.openxmlformats.org/officeDocument/2006/relationships/hyperlink" Target="https://github.com/RDA-DMP-Common/RDA-DMP-Common-Standard" TargetMode="External"/><Relationship Id="rId69" Type="http://schemas.openxmlformats.org/officeDocument/2006/relationships/hyperlink" Target="https://id.loc.gov/vocabulary/subjectSchemes.html" TargetMode="External"/><Relationship Id="rId113" Type="http://schemas.openxmlformats.org/officeDocument/2006/relationships/vmlDrawing" Target="../drawings/vmlDrawing1.vml"/><Relationship Id="rId80" Type="http://schemas.openxmlformats.org/officeDocument/2006/relationships/hyperlink" Target="https://doi.org/10.1371/journal.pcbi.1006750" TargetMode="External"/><Relationship Id="rId85" Type="http://schemas.openxmlformats.org/officeDocument/2006/relationships/hyperlink" Target="https://github.com/RDA-DMP-Common/RDA-DMP-Common-Standard" TargetMode="External"/><Relationship Id="rId12" Type="http://schemas.openxmlformats.org/officeDocument/2006/relationships/hyperlink" Target="https://github.com/RDA-DMP-Common/RDA-DMP-Common-Standard" TargetMode="External"/><Relationship Id="rId17" Type="http://schemas.openxmlformats.org/officeDocument/2006/relationships/hyperlink" Target="https://github.com/RDA-DMP-Common/RDA-DMP-Common-Standard" TargetMode="External"/><Relationship Id="rId33" Type="http://schemas.openxmlformats.org/officeDocument/2006/relationships/hyperlink" Target="https://github.com/RDA-DMP-Common/RDA-DMP-Common-Standard" TargetMode="External"/><Relationship Id="rId38" Type="http://schemas.openxmlformats.org/officeDocument/2006/relationships/hyperlink" Target="https://en.wikipedia.org/wiki/Unicode_block" TargetMode="External"/><Relationship Id="rId59" Type="http://schemas.openxmlformats.org/officeDocument/2006/relationships/hyperlink" Target="https://github.com/RDA-DMP-Common/RDA-DMP-Common-Standard" TargetMode="External"/><Relationship Id="rId103" Type="http://schemas.openxmlformats.org/officeDocument/2006/relationships/hyperlink" Target="https://github.com/RDA-DMP-Common/RDA-DMP-Common-Standard" TargetMode="External"/><Relationship Id="rId108" Type="http://schemas.openxmlformats.org/officeDocument/2006/relationships/hyperlink" Target="https://github.com/RDA-DMP-Common/RDA-DMP-Common-Standard" TargetMode="External"/><Relationship Id="rId54" Type="http://schemas.openxmlformats.org/officeDocument/2006/relationships/hyperlink" Target="https://github.com/RDA-DMP-Common/RDA-DMP-Common-Standard?tab=readme-ov-file" TargetMode="External"/><Relationship Id="rId70" Type="http://schemas.openxmlformats.org/officeDocument/2006/relationships/hyperlink" Target="https://xwi7xwa-library-10nov2016.sites.olt.ubc.ca/files/2021/06/2018-MODIFIED-DEER-Public-version.pdf" TargetMode="External"/><Relationship Id="rId75" Type="http://schemas.openxmlformats.org/officeDocument/2006/relationships/hyperlink" Target="https://github.com/RDA-DMP-Common/RDA-DMP-Common-Standard" TargetMode="External"/><Relationship Id="rId91" Type="http://schemas.openxmlformats.org/officeDocument/2006/relationships/hyperlink" Target="https://doi.org/10.1371/journal.pcbi.1006750" TargetMode="External"/><Relationship Id="rId96" Type="http://schemas.openxmlformats.org/officeDocument/2006/relationships/hyperlink" Target="https://github.com/RDA-DMP-Common/RDA-DMP-Common-Standard" TargetMode="External"/><Relationship Id="rId1" Type="http://schemas.openxmlformats.org/officeDocument/2006/relationships/hyperlink" Target="https://doi.org/10.1371/journal.pcbi.1006750" TargetMode="External"/><Relationship Id="rId6" Type="http://schemas.openxmlformats.org/officeDocument/2006/relationships/hyperlink" Target="https://github.com/RDA-DMP-Common/RDA-DMP-Common-Standard" TargetMode="External"/><Relationship Id="rId23" Type="http://schemas.openxmlformats.org/officeDocument/2006/relationships/hyperlink" Target="https://github.com/RDA-DMP-Common/RDA-DMP-Common-Standard" TargetMode="External"/><Relationship Id="rId28" Type="http://schemas.openxmlformats.org/officeDocument/2006/relationships/hyperlink" Target="https://gcdirectory-gcannuaire.ssc-spc.gc.ca/en/GCD/?pgid=002" TargetMode="External"/><Relationship Id="rId49" Type="http://schemas.openxmlformats.org/officeDocument/2006/relationships/hyperlink" Target="https://github.com/RDA-DMP-Common/RDA-DMP-Common-Standard" TargetMode="External"/><Relationship Id="rId114" Type="http://schemas.openxmlformats.org/officeDocument/2006/relationships/table" Target="../tables/table1.xml"/><Relationship Id="rId10" Type="http://schemas.openxmlformats.org/officeDocument/2006/relationships/hyperlink" Target="https://www.registreentreprises.gouv.qc.ca/reqna/gr/gr03/gr03a71.rechercheregistre.mvc/gr03a71?choixdomaine=RegistreEntreprisesQuebec" TargetMode="External"/><Relationship Id="rId31" Type="http://schemas.openxmlformats.org/officeDocument/2006/relationships/hyperlink" Target="https://007mydep.sharepoint.com/sites/PMAD/Lists/ProjectDB/AllItems.aspx" TargetMode="External"/><Relationship Id="rId44" Type="http://schemas.openxmlformats.org/officeDocument/2006/relationships/hyperlink" Target="http://some.repo.../download/" TargetMode="External"/><Relationship Id="rId52" Type="http://schemas.openxmlformats.org/officeDocument/2006/relationships/hyperlink" Target="https://github.com/RDA-DMP-Common/RDA-DMP-Common-Standard" TargetMode="External"/><Relationship Id="rId60" Type="http://schemas.openxmlformats.org/officeDocument/2006/relationships/hyperlink" Target="https://github.com/RDA-DMP-Common/RDA-DMP-Common-Standard" TargetMode="External"/><Relationship Id="rId65" Type="http://schemas.openxmlformats.org/officeDocument/2006/relationships/hyperlink" Target="https://github.com/RDA-DMP-Common/RDA-DMP-Common-Standard" TargetMode="External"/><Relationship Id="rId73" Type="http://schemas.openxmlformats.org/officeDocument/2006/relationships/hyperlink" Target="https://github.com/RDA-DMP-Common/RDA-DMP-Common-Standard" TargetMode="External"/><Relationship Id="rId78" Type="http://schemas.openxmlformats.org/officeDocument/2006/relationships/hyperlink" Target="https://github.com/RDA-DMP-Common/RDA-DMP-Common-Standard" TargetMode="External"/><Relationship Id="rId81" Type="http://schemas.openxmlformats.org/officeDocument/2006/relationships/hyperlink" Target="https://007mydep.sharepoint.com/sites/PMAD/Lists/ProjectDB/AllItems.aspx" TargetMode="External"/><Relationship Id="rId86" Type="http://schemas.openxmlformats.org/officeDocument/2006/relationships/hyperlink" Target="http://report.location/" TargetMode="External"/><Relationship Id="rId94" Type="http://schemas.openxmlformats.org/officeDocument/2006/relationships/hyperlink" Target="https://github.com/RDA-DMP-Common/RDA-DMP-Common-Standard" TargetMode="External"/><Relationship Id="rId99" Type="http://schemas.openxmlformats.org/officeDocument/2006/relationships/hyperlink" Target="https://github.com/RDA-DMP-Common/RDA-DMP-Common-Standard" TargetMode="External"/><Relationship Id="rId101" Type="http://schemas.openxmlformats.org/officeDocument/2006/relationships/hyperlink" Target="https://github.com/RDA-DMP-Common/RDA-DMP-Common-Standard" TargetMode="External"/><Relationship Id="rId4" Type="http://schemas.openxmlformats.org/officeDocument/2006/relationships/hyperlink" Target="https://github.com/RDA-DMP-Common/RDA-DMP-Common-Standard" TargetMode="External"/><Relationship Id="rId9" Type="http://schemas.openxmlformats.org/officeDocument/2006/relationships/hyperlink" Target="http://www.geogratis.gc.ca/" TargetMode="External"/><Relationship Id="rId13" Type="http://schemas.openxmlformats.org/officeDocument/2006/relationships/hyperlink" Target="https://gcdirectory-gcannuaire.ssc-spc.gc.ca/en/GCD/?pgid=002" TargetMode="External"/><Relationship Id="rId18" Type="http://schemas.openxmlformats.org/officeDocument/2006/relationships/hyperlink" Target="https://profils-profiles.science.gc.ca/fr/profil/john-doe" TargetMode="External"/><Relationship Id="rId39" Type="http://schemas.openxmlformats.org/officeDocument/2006/relationships/hyperlink" Target="https://github.com/RDA-DMP-Common/RDA-DMP-Common-Standard" TargetMode="External"/><Relationship Id="rId109" Type="http://schemas.openxmlformats.org/officeDocument/2006/relationships/hyperlink" Target="https://github.com/RDA-DMP-Common/RDA-DMP-Common-Standard" TargetMode="External"/><Relationship Id="rId34" Type="http://schemas.openxmlformats.org/officeDocument/2006/relationships/hyperlink" Target="https://github.com/yourstruly/bestcodeever" TargetMode="External"/><Relationship Id="rId50" Type="http://schemas.openxmlformats.org/officeDocument/2006/relationships/hyperlink" Target="https://www.w3.org/2011/gld/wiki/5_Star_Linked_Data" TargetMode="External"/><Relationship Id="rId55" Type="http://schemas.openxmlformats.org/officeDocument/2006/relationships/hyperlink" Target="https://github.com/RDA-DMP-Common/RDA-DMP-Common-Standard" TargetMode="External"/><Relationship Id="rId76" Type="http://schemas.openxmlformats.org/officeDocument/2006/relationships/hyperlink" Target="https://github.com/RDA-DMP-Common/RDA-DMP-Common-Standard" TargetMode="External"/><Relationship Id="rId97" Type="http://schemas.openxmlformats.org/officeDocument/2006/relationships/hyperlink" Target="https://github.com/RDA-DMP-Common/RDA-DMP-Common-Standard" TargetMode="External"/><Relationship Id="rId104" Type="http://schemas.openxmlformats.org/officeDocument/2006/relationships/hyperlink" Target="https://007mydep.sharepoint.com/sites/PMAD/Lists/ProjectDB/AllItems.aspx" TargetMode="External"/><Relationship Id="rId7" Type="http://schemas.openxmlformats.org/officeDocument/2006/relationships/hyperlink" Target="https://github.com/RDA-DMP-Common/RDA-DMP-Common-Standard" TargetMode="External"/><Relationship Id="rId71" Type="http://schemas.openxmlformats.org/officeDocument/2006/relationships/hyperlink" Target="https://dmssystem.org/" TargetMode="External"/><Relationship Id="rId92" Type="http://schemas.openxmlformats.org/officeDocument/2006/relationships/hyperlink" Target="https://007mydep.sharepoint.com/sites/PMAD/Lists/ProjectDB/AllItems.aspx" TargetMode="External"/><Relationship Id="rId2" Type="http://schemas.openxmlformats.org/officeDocument/2006/relationships/hyperlink" Target="https://007mydep.sharepoint.com/sites/PMAD/Lists/ProjectDB/AllItems.aspx" TargetMode="External"/><Relationship Id="rId29" Type="http://schemas.openxmlformats.org/officeDocument/2006/relationships/hyperlink" Target="https://github.com/RDA-DMP-Common/RDA-DMP-Common-Standard" TargetMode="External"/><Relationship Id="rId24" Type="http://schemas.openxmlformats.org/officeDocument/2006/relationships/hyperlink" Target="https://github.com/RDA-DMP-Common/RDA-DMP-Common-Standard" TargetMode="External"/><Relationship Id="rId40" Type="http://schemas.openxmlformats.org/officeDocument/2006/relationships/hyperlink" Target="https://www.alerc.org.uk/uploads/7/6/3/3/7633190/an_introduction_to_open_shared_and_closed_data.pdf" TargetMode="External"/><Relationship Id="rId45" Type="http://schemas.openxmlformats.org/officeDocument/2006/relationships/hyperlink" Target="https://github.com/RDA-DMP-Common/RDA-DMP-Common-Standard" TargetMode="External"/><Relationship Id="rId66" Type="http://schemas.openxmlformats.org/officeDocument/2006/relationships/hyperlink" Target="https://github.com/RDA-DMP-Common/RDA-DMP-Common-Standard" TargetMode="External"/><Relationship Id="rId87" Type="http://schemas.openxmlformats.org/officeDocument/2006/relationships/hyperlink" Target="https://fnp-ppn.aadnc-aandc.gc.ca/fnp/Main/Search/SearchFN.aspx?lang=eng" TargetMode="External"/><Relationship Id="rId110" Type="http://schemas.openxmlformats.org/officeDocument/2006/relationships/hyperlink" Target="https://github.com/FAIRERdata/maDMP-Standard/blob/Master/examples/JSON/PublishedSchemas/GCWG-RDA-maDMP-schema_v2.6.json" TargetMode="External"/><Relationship Id="rId115" Type="http://schemas.openxmlformats.org/officeDocument/2006/relationships/comments" Target="../comments1.xml"/><Relationship Id="rId61" Type="http://schemas.openxmlformats.org/officeDocument/2006/relationships/hyperlink" Target="https://github.com/RDA-DMP-Common/RDA-DMP-Common-Standard" TargetMode="External"/><Relationship Id="rId82" Type="http://schemas.openxmlformats.org/officeDocument/2006/relationships/hyperlink" Target="https://github.com/RDA-DMP-Common/RDA-DMP-Common-Standard" TargetMode="External"/><Relationship Id="rId19" Type="http://schemas.openxmlformats.org/officeDocument/2006/relationships/hyperlink" Target="https://007gc.sharepoint.com/dpmo/projects/" TargetMode="External"/><Relationship Id="rId14" Type="http://schemas.openxmlformats.org/officeDocument/2006/relationships/hyperlink" Target="https://github.com/RDA-DMP-Common/RDA-DMP-Common-Standard" TargetMode="External"/><Relationship Id="rId30" Type="http://schemas.openxmlformats.org/officeDocument/2006/relationships/hyperlink" Target="https://github.com/RDA-DMP-Common/RDA-DMP-Common-Standard" TargetMode="External"/><Relationship Id="rId35" Type="http://schemas.openxmlformats.org/officeDocument/2006/relationships/hyperlink" Target="https://github.com/RDA-DMP-Common/RDA-DMP-Common-Standard" TargetMode="External"/><Relationship Id="rId56" Type="http://schemas.openxmlformats.org/officeDocument/2006/relationships/hyperlink" Target="https://github.com/RDA-DMP-Common/RDA-DMP-Common-Standard" TargetMode="External"/><Relationship Id="rId77" Type="http://schemas.openxmlformats.org/officeDocument/2006/relationships/hyperlink" Target="http://vocabularies.coar-repositories.org/pubby/resource_type.html" TargetMode="External"/><Relationship Id="rId100" Type="http://schemas.openxmlformats.org/officeDocument/2006/relationships/hyperlink" Target="https://github.com/RDA-DMP-Common/RDA-DMP-Common-Standard" TargetMode="External"/><Relationship Id="rId105" Type="http://schemas.openxmlformats.org/officeDocument/2006/relationships/hyperlink" Target="https://www.registreentreprises.gouv.qc.ca/reqna/gr/gr03/gr03a71.rechercheregistre.mvc/gr03a71?choixdomaine=RegistreEntreprisesQuebec" TargetMode="External"/><Relationship Id="rId8" Type="http://schemas.openxmlformats.org/officeDocument/2006/relationships/hyperlink" Target="https://github.com/RDA-DMP-Common/RDA-DMP-Common-Standard" TargetMode="External"/><Relationship Id="rId51" Type="http://schemas.openxmlformats.org/officeDocument/2006/relationships/hyperlink" Target="https://github.com/RDA-DMP-Common/RDA-DMP-Common-Standard" TargetMode="External"/><Relationship Id="rId72" Type="http://schemas.openxmlformats.org/officeDocument/2006/relationships/hyperlink" Target="https://github.com/RDA-DMP-Common/RDA-DMP-Common-Standard" TargetMode="External"/><Relationship Id="rId93" Type="http://schemas.openxmlformats.org/officeDocument/2006/relationships/hyperlink" Target="https://github.com/RDA-DMP-Common/RDA-DMP-Common-Standard" TargetMode="External"/><Relationship Id="rId98" Type="http://schemas.openxmlformats.org/officeDocument/2006/relationships/hyperlink" Target="https://www.registreentreprises.gouv.qc.ca/reqna/gr/gr03/gr03a71.rechercheregistre.mvc/gr03a71?choixdomaine=RegistreEntreprisesQuebec" TargetMode="External"/><Relationship Id="rId3" Type="http://schemas.openxmlformats.org/officeDocument/2006/relationships/hyperlink" Target="https://www.registreentreprises.gouv.qc.ca/reqna/gr/gr03/gr03a71.rechercheregistre.mvc/gr03a71?choixdomaine=RegistreEntreprisesQuebec" TargetMode="External"/><Relationship Id="rId25" Type="http://schemas.openxmlformats.org/officeDocument/2006/relationships/hyperlink" Target="https://github.com/RDA-DMP-Common/RDA-DMP-Common-Standard" TargetMode="External"/><Relationship Id="rId46" Type="http://schemas.openxmlformats.org/officeDocument/2006/relationships/hyperlink" Target="https://zenodo.org/" TargetMode="External"/><Relationship Id="rId67" Type="http://schemas.openxmlformats.org/officeDocument/2006/relationships/hyperlink" Target="https://github.com/RDA-DMP-Common/RDA-DMP-Common-Standard" TargetMode="External"/><Relationship Id="rId116" Type="http://schemas.microsoft.com/office/2017/10/relationships/threadedComment" Target="../threadedComments/threadedComment1.xml"/><Relationship Id="rId20" Type="http://schemas.openxmlformats.org/officeDocument/2006/relationships/hyperlink" Target="https://007gc.sharepoint.com/dpmo/projects/" TargetMode="External"/><Relationship Id="rId41" Type="http://schemas.openxmlformats.org/officeDocument/2006/relationships/hyperlink" Target="https://github.com/RDA-DMP-Common/RDA-DMP-Common-Standard" TargetMode="External"/><Relationship Id="rId62" Type="http://schemas.openxmlformats.org/officeDocument/2006/relationships/hyperlink" Target="https://example.com/" TargetMode="External"/><Relationship Id="rId83" Type="http://schemas.openxmlformats.org/officeDocument/2006/relationships/hyperlink" Target="https://github.com/RDA-DMP-Common/RDA-DMP-Common-Standard" TargetMode="External"/><Relationship Id="rId88" Type="http://schemas.openxmlformats.org/officeDocument/2006/relationships/hyperlink" Target="https://open.canada.ca/data/en/dataset/b6567c5c-8339-4055-99fa-63f92114d9e4" TargetMode="External"/><Relationship Id="rId111" Type="http://schemas.openxmlformats.org/officeDocument/2006/relationships/hyperlink" Target="https://github.com/RDA-DMP-Common/RDA-DMP-Common-Standard" TargetMode="External"/><Relationship Id="rId15" Type="http://schemas.openxmlformats.org/officeDocument/2006/relationships/hyperlink" Target="https://github.com/RDA-DMP-Common/RDA-DMP-Common-Standard" TargetMode="External"/><Relationship Id="rId36" Type="http://schemas.openxmlformats.org/officeDocument/2006/relationships/hyperlink" Target="https://github.com/RDA-DMP-Common/RDA-DMP-Common-Standard" TargetMode="External"/><Relationship Id="rId57" Type="http://schemas.openxmlformats.org/officeDocument/2006/relationships/hyperlink" Target="https://github.com/RDA-DMP-Common/RDA-DMP-Common-Standard" TargetMode="External"/><Relationship Id="rId106" Type="http://schemas.openxmlformats.org/officeDocument/2006/relationships/hyperlink" Target="http://some.repo/.../..."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RDA-DMP-Common/RDA-DMP-Common-Standard" TargetMode="External"/><Relationship Id="rId13" Type="http://schemas.openxmlformats.org/officeDocument/2006/relationships/hyperlink" Target="https://github.com/RDA-DMP-Common/RDA-DMP-Common-Standard" TargetMode="External"/><Relationship Id="rId18" Type="http://schemas.openxmlformats.org/officeDocument/2006/relationships/hyperlink" Target="https://github.com/RDA-DMP-Common/RDA-DMP-Common-Standard" TargetMode="External"/><Relationship Id="rId3" Type="http://schemas.openxmlformats.org/officeDocument/2006/relationships/hyperlink" Target="https://www.tpsgc-pwgsc.gc.ca/esc-src/protection-safeguarding/niveaux-levels-eng.html" TargetMode="External"/><Relationship Id="rId7" Type="http://schemas.openxmlformats.org/officeDocument/2006/relationships/hyperlink" Target="https://github.com/RDA-DMP-Common/RDA-DMP-Common-Standard" TargetMode="External"/><Relationship Id="rId12" Type="http://schemas.openxmlformats.org/officeDocument/2006/relationships/hyperlink" Target="https://github.com/RDA-DMP-Common/RDA-DMP-Common-Standard" TargetMode="External"/><Relationship Id="rId17" Type="http://schemas.openxmlformats.org/officeDocument/2006/relationships/hyperlink" Target="https://github.com/RDA-DMP-Common/RDA-DMP-Common-Standard" TargetMode="External"/><Relationship Id="rId2" Type="http://schemas.openxmlformats.org/officeDocument/2006/relationships/hyperlink" Target="https://open.canada.ca/data/en/dataset/b6567c5c-8339-4055-99fa-63f92114d9e4/resource/c7cd376f-83da-43db-b51c-2084a0e24e32" TargetMode="External"/><Relationship Id="rId16" Type="http://schemas.openxmlformats.org/officeDocument/2006/relationships/hyperlink" Target="https://github.com/RDA-DMP-Common/RDA-DMP-Common-Standard" TargetMode="External"/><Relationship Id="rId1" Type="http://schemas.openxmlformats.org/officeDocument/2006/relationships/hyperlink" Target="https://docs.google.com/document/d/1_IOj1AwWQ36Z4jZLGo4G-jQPJXlmgB_MKxrLbgKuSw0/edit?usp=sharing" TargetMode="External"/><Relationship Id="rId6" Type="http://schemas.openxmlformats.org/officeDocument/2006/relationships/hyperlink" Target="https://github.com/RDA-DMP-Common/RDA-DMP-Common-Standard" TargetMode="External"/><Relationship Id="rId11" Type="http://schemas.openxmlformats.org/officeDocument/2006/relationships/hyperlink" Target="https://github.com/RDA-DMP-Common/RDA-DMP-Common-Standard" TargetMode="External"/><Relationship Id="rId5" Type="http://schemas.openxmlformats.org/officeDocument/2006/relationships/hyperlink" Target="https://github.com/RDA-DMP-Common/RDA-DMP-Common-Standard" TargetMode="External"/><Relationship Id="rId15" Type="http://schemas.openxmlformats.org/officeDocument/2006/relationships/hyperlink" Target="https://science.gc.ca/eic/site/063.nsf/eng/h_97610.html" TargetMode="External"/><Relationship Id="rId10" Type="http://schemas.openxmlformats.org/officeDocument/2006/relationships/hyperlink" Target="https://github.com/RDA-DMP-Common/RDA-DMP-Common-Standard" TargetMode="External"/><Relationship Id="rId19" Type="http://schemas.openxmlformats.org/officeDocument/2006/relationships/hyperlink" Target="https://github.com/RDA-DMP-Common/RDA-DMP-Common-Standard" TargetMode="External"/><Relationship Id="rId4" Type="http://schemas.openxmlformats.org/officeDocument/2006/relationships/hyperlink" Target="https://github.com/RDA-DMP-Common/RDA-DMP-Common-Standard" TargetMode="External"/><Relationship Id="rId9" Type="http://schemas.openxmlformats.org/officeDocument/2006/relationships/hyperlink" Target="https://github.com/RDA-DMP-Common/RDA-DMP-Common-Standard" TargetMode="External"/><Relationship Id="rId14" Type="http://schemas.openxmlformats.org/officeDocument/2006/relationships/hyperlink" Target="https://github.com/RDA-DMP-Common/RDA-DMP-Common-Standard"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en.wikipedia.org/wiki/Papua_New_Guinean_kina" TargetMode="External"/><Relationship Id="rId21" Type="http://schemas.openxmlformats.org/officeDocument/2006/relationships/hyperlink" Target="https://en.wikipedia.org/wiki/Bermudian_dollar" TargetMode="External"/><Relationship Id="rId42" Type="http://schemas.openxmlformats.org/officeDocument/2006/relationships/hyperlink" Target="https://en.wikipedia.org/wiki/Cuban_peso" TargetMode="External"/><Relationship Id="rId63" Type="http://schemas.openxmlformats.org/officeDocument/2006/relationships/hyperlink" Target="https://en.wikipedia.org/wiki/Croatian_kuna" TargetMode="External"/><Relationship Id="rId84" Type="http://schemas.openxmlformats.org/officeDocument/2006/relationships/hyperlink" Target="https://en.wikipedia.org/wiki/Lao_kip" TargetMode="External"/><Relationship Id="rId138" Type="http://schemas.openxmlformats.org/officeDocument/2006/relationships/hyperlink" Target="https://en.wikipedia.org/wiki/ISO_4217" TargetMode="External"/><Relationship Id="rId159" Type="http://schemas.openxmlformats.org/officeDocument/2006/relationships/hyperlink" Target="https://en.wikipedia.org/wiki/Vanuatu_vatu" TargetMode="External"/><Relationship Id="rId170" Type="http://schemas.openxmlformats.org/officeDocument/2006/relationships/hyperlink" Target="https://en.wikipedia.org/wiki/West_African_CFA_franc" TargetMode="External"/><Relationship Id="rId107" Type="http://schemas.openxmlformats.org/officeDocument/2006/relationships/hyperlink" Target="https://en.wikipedia.org/wiki/Mozambican_metical" TargetMode="External"/><Relationship Id="rId11" Type="http://schemas.openxmlformats.org/officeDocument/2006/relationships/hyperlink" Target="https://en.wikipedia.org/wiki/Argentine_peso" TargetMode="External"/><Relationship Id="rId32" Type="http://schemas.openxmlformats.org/officeDocument/2006/relationships/hyperlink" Target="https://en.wikipedia.org/wiki/Swiss_franc" TargetMode="External"/><Relationship Id="rId53" Type="http://schemas.openxmlformats.org/officeDocument/2006/relationships/hyperlink" Target="https://en.wikipedia.org/wiki/Falkland_Islands_pound" TargetMode="External"/><Relationship Id="rId74" Type="http://schemas.openxmlformats.org/officeDocument/2006/relationships/hyperlink" Target="https://en.wikipedia.org/wiki/Japanese_yen" TargetMode="External"/><Relationship Id="rId128" Type="http://schemas.openxmlformats.org/officeDocument/2006/relationships/hyperlink" Target="https://en.wikipedia.org/wiki/Solomon_Islands_dollar" TargetMode="External"/><Relationship Id="rId149" Type="http://schemas.openxmlformats.org/officeDocument/2006/relationships/hyperlink" Target="https://en.wikipedia.org/wiki/Trinidad_and_Tobago_dollar" TargetMode="External"/><Relationship Id="rId5" Type="http://schemas.openxmlformats.org/officeDocument/2006/relationships/hyperlink" Target="https://en.wikipedia.org/wiki/United_Arab_Emirates_dirham" TargetMode="External"/><Relationship Id="rId95" Type="http://schemas.openxmlformats.org/officeDocument/2006/relationships/hyperlink" Target="https://en.wikipedia.org/wiki/Myanmar_kyat" TargetMode="External"/><Relationship Id="rId160" Type="http://schemas.openxmlformats.org/officeDocument/2006/relationships/hyperlink" Target="https://en.wikipedia.org/wiki/Samoan_tala" TargetMode="External"/><Relationship Id="rId22" Type="http://schemas.openxmlformats.org/officeDocument/2006/relationships/hyperlink" Target="https://en.wikipedia.org/wiki/Brunei_dollar" TargetMode="External"/><Relationship Id="rId43" Type="http://schemas.openxmlformats.org/officeDocument/2006/relationships/hyperlink" Target="https://en.wikipedia.org/wiki/Cape_Verdean_escudo" TargetMode="External"/><Relationship Id="rId64" Type="http://schemas.openxmlformats.org/officeDocument/2006/relationships/hyperlink" Target="https://en.wikipedia.org/wiki/Haitian_gourde" TargetMode="External"/><Relationship Id="rId118" Type="http://schemas.openxmlformats.org/officeDocument/2006/relationships/hyperlink" Target="https://en.wikipedia.org/wiki/Philippine_peso" TargetMode="External"/><Relationship Id="rId139" Type="http://schemas.openxmlformats.org/officeDocument/2006/relationships/hyperlink" Target="https://en.wikipedia.org/wiki/S%C3%A3o_Tom%C3%A9_and_Pr%C3%ADncipe_dobra" TargetMode="External"/><Relationship Id="rId85" Type="http://schemas.openxmlformats.org/officeDocument/2006/relationships/hyperlink" Target="https://en.wikipedia.org/wiki/Lebanese_pound" TargetMode="External"/><Relationship Id="rId150" Type="http://schemas.openxmlformats.org/officeDocument/2006/relationships/hyperlink" Target="https://en.wikipedia.org/wiki/New_Taiwan_dollar" TargetMode="External"/><Relationship Id="rId171" Type="http://schemas.openxmlformats.org/officeDocument/2006/relationships/hyperlink" Target="https://en.wikipedia.org/wiki/Palladium" TargetMode="External"/><Relationship Id="rId12" Type="http://schemas.openxmlformats.org/officeDocument/2006/relationships/hyperlink" Target="https://en.wikipedia.org/wiki/Australian_dollar" TargetMode="External"/><Relationship Id="rId33" Type="http://schemas.openxmlformats.org/officeDocument/2006/relationships/hyperlink" Target="https://en.wikipedia.org/wiki/WIR_Bank" TargetMode="External"/><Relationship Id="rId108" Type="http://schemas.openxmlformats.org/officeDocument/2006/relationships/hyperlink" Target="https://en.wikipedia.org/wiki/Namibian_dollar" TargetMode="External"/><Relationship Id="rId129" Type="http://schemas.openxmlformats.org/officeDocument/2006/relationships/hyperlink" Target="https://en.wikipedia.org/wiki/Seychelles_rupee" TargetMode="External"/><Relationship Id="rId54" Type="http://schemas.openxmlformats.org/officeDocument/2006/relationships/hyperlink" Target="https://en.wikipedia.org/wiki/Georgian_lari" TargetMode="External"/><Relationship Id="rId75" Type="http://schemas.openxmlformats.org/officeDocument/2006/relationships/hyperlink" Target="https://en.wikipedia.org/wiki/Kenyan_shilling" TargetMode="External"/><Relationship Id="rId96" Type="http://schemas.openxmlformats.org/officeDocument/2006/relationships/hyperlink" Target="https://en.wikipedia.org/wiki/Mongolian_t%C3%B6gr%C3%B6g" TargetMode="External"/><Relationship Id="rId140" Type="http://schemas.openxmlformats.org/officeDocument/2006/relationships/hyperlink" Target="https://en.wikipedia.org/wiki/Salvadoran_col%C3%B3n" TargetMode="External"/><Relationship Id="rId161" Type="http://schemas.openxmlformats.org/officeDocument/2006/relationships/hyperlink" Target="https://en.wikipedia.org/wiki/Central_African_CFA_franc" TargetMode="External"/><Relationship Id="rId6" Type="http://schemas.openxmlformats.org/officeDocument/2006/relationships/hyperlink" Target="https://en.wikipedia.org/wiki/Afghan_afghani" TargetMode="External"/><Relationship Id="rId23" Type="http://schemas.openxmlformats.org/officeDocument/2006/relationships/hyperlink" Target="https://en.wikipedia.org/wiki/Boliviano" TargetMode="External"/><Relationship Id="rId28" Type="http://schemas.openxmlformats.org/officeDocument/2006/relationships/hyperlink" Target="https://en.wikipedia.org/wiki/Belarusian_ruble" TargetMode="External"/><Relationship Id="rId49" Type="http://schemas.openxmlformats.org/officeDocument/2006/relationships/hyperlink" Target="https://en.wikipedia.org/wiki/Egyptian_pound" TargetMode="External"/><Relationship Id="rId114" Type="http://schemas.openxmlformats.org/officeDocument/2006/relationships/hyperlink" Target="https://en.wikipedia.org/wiki/Omani_rial" TargetMode="External"/><Relationship Id="rId119" Type="http://schemas.openxmlformats.org/officeDocument/2006/relationships/hyperlink" Target="https://en.wikipedia.org/wiki/Pakistani_rupee" TargetMode="External"/><Relationship Id="rId44" Type="http://schemas.openxmlformats.org/officeDocument/2006/relationships/hyperlink" Target="https://en.wikipedia.org/wiki/Czech_koruna" TargetMode="External"/><Relationship Id="rId60" Type="http://schemas.openxmlformats.org/officeDocument/2006/relationships/hyperlink" Target="https://en.wikipedia.org/wiki/Guyanese_dollar" TargetMode="External"/><Relationship Id="rId65" Type="http://schemas.openxmlformats.org/officeDocument/2006/relationships/hyperlink" Target="https://en.wikipedia.org/wiki/Hungarian_forint" TargetMode="External"/><Relationship Id="rId81" Type="http://schemas.openxmlformats.org/officeDocument/2006/relationships/hyperlink" Target="https://en.wikipedia.org/wiki/Kuwaiti_dinar" TargetMode="External"/><Relationship Id="rId86" Type="http://schemas.openxmlformats.org/officeDocument/2006/relationships/hyperlink" Target="https://en.wikipedia.org/wiki/Sri_Lankan_rupee" TargetMode="External"/><Relationship Id="rId130" Type="http://schemas.openxmlformats.org/officeDocument/2006/relationships/hyperlink" Target="https://en.wikipedia.org/wiki/Sudanese_pound" TargetMode="External"/><Relationship Id="rId135" Type="http://schemas.openxmlformats.org/officeDocument/2006/relationships/hyperlink" Target="https://en.wikipedia.org/wiki/Somali_shilling" TargetMode="External"/><Relationship Id="rId151" Type="http://schemas.openxmlformats.org/officeDocument/2006/relationships/hyperlink" Target="https://en.wikipedia.org/wiki/Tanzanian_shilling" TargetMode="External"/><Relationship Id="rId156" Type="http://schemas.openxmlformats.org/officeDocument/2006/relationships/hyperlink" Target="https://en.wikipedia.org/wiki/Uzbekistan_som" TargetMode="External"/><Relationship Id="rId177" Type="http://schemas.openxmlformats.org/officeDocument/2006/relationships/hyperlink" Target="https://en.wikipedia.org/wiki/South_African_rand" TargetMode="External"/><Relationship Id="rId172" Type="http://schemas.openxmlformats.org/officeDocument/2006/relationships/hyperlink" Target="https://en.wikipedia.org/wiki/CFP_franc" TargetMode="External"/><Relationship Id="rId13" Type="http://schemas.openxmlformats.org/officeDocument/2006/relationships/hyperlink" Target="https://en.wikipedia.org/wiki/Aruban_florin" TargetMode="External"/><Relationship Id="rId18" Type="http://schemas.openxmlformats.org/officeDocument/2006/relationships/hyperlink" Target="https://en.wikipedia.org/wiki/Bulgarian_lev" TargetMode="External"/><Relationship Id="rId39" Type="http://schemas.openxmlformats.org/officeDocument/2006/relationships/hyperlink" Target="https://en.wikipedia.org/wiki/ISO_4217" TargetMode="External"/><Relationship Id="rId109" Type="http://schemas.openxmlformats.org/officeDocument/2006/relationships/hyperlink" Target="https://en.wikipedia.org/wiki/Nigerian_naira" TargetMode="External"/><Relationship Id="rId34" Type="http://schemas.openxmlformats.org/officeDocument/2006/relationships/hyperlink" Target="https://en.wikipedia.org/wiki/Unidad_de_Fomento" TargetMode="External"/><Relationship Id="rId50" Type="http://schemas.openxmlformats.org/officeDocument/2006/relationships/hyperlink" Target="https://en.wikipedia.org/wiki/Eritrean_nakfa" TargetMode="External"/><Relationship Id="rId55" Type="http://schemas.openxmlformats.org/officeDocument/2006/relationships/hyperlink" Target="https://en.wikipedia.org/wiki/Ghanaian_cedi" TargetMode="External"/><Relationship Id="rId76" Type="http://schemas.openxmlformats.org/officeDocument/2006/relationships/hyperlink" Target="https://en.wikipedia.org/wiki/Kyrgyzstani_som" TargetMode="External"/><Relationship Id="rId97" Type="http://schemas.openxmlformats.org/officeDocument/2006/relationships/hyperlink" Target="https://en.wikipedia.org/wiki/Macanese_pataca" TargetMode="External"/><Relationship Id="rId104" Type="http://schemas.openxmlformats.org/officeDocument/2006/relationships/hyperlink" Target="https://en.wikipedia.org/wiki/Mexican_peso" TargetMode="External"/><Relationship Id="rId120" Type="http://schemas.openxmlformats.org/officeDocument/2006/relationships/hyperlink" Target="https://en.wikipedia.org/wiki/Polish_z%C5%82oty" TargetMode="External"/><Relationship Id="rId125" Type="http://schemas.openxmlformats.org/officeDocument/2006/relationships/hyperlink" Target="https://en.wikipedia.org/wiki/Russian_ruble" TargetMode="External"/><Relationship Id="rId141" Type="http://schemas.openxmlformats.org/officeDocument/2006/relationships/hyperlink" Target="https://en.wikipedia.org/wiki/Syrian_pound" TargetMode="External"/><Relationship Id="rId146" Type="http://schemas.openxmlformats.org/officeDocument/2006/relationships/hyperlink" Target="https://en.wikipedia.org/wiki/Tunisian_dinar" TargetMode="External"/><Relationship Id="rId167" Type="http://schemas.openxmlformats.org/officeDocument/2006/relationships/hyperlink" Target="https://en.wikipedia.org/wiki/European_Unit_of_Account_17" TargetMode="External"/><Relationship Id="rId7" Type="http://schemas.openxmlformats.org/officeDocument/2006/relationships/hyperlink" Target="https://en.wikipedia.org/wiki/Albanian_lek" TargetMode="External"/><Relationship Id="rId71" Type="http://schemas.openxmlformats.org/officeDocument/2006/relationships/hyperlink" Target="https://en.wikipedia.org/wiki/Icelandic_kr%C3%B3na" TargetMode="External"/><Relationship Id="rId92" Type="http://schemas.openxmlformats.org/officeDocument/2006/relationships/hyperlink" Target="https://en.wikipedia.org/wiki/ISO_4217" TargetMode="External"/><Relationship Id="rId162" Type="http://schemas.openxmlformats.org/officeDocument/2006/relationships/hyperlink" Target="https://en.wikipedia.org/wiki/Silver" TargetMode="External"/><Relationship Id="rId2" Type="http://schemas.openxmlformats.org/officeDocument/2006/relationships/hyperlink" Target="https://en.wikipedia.org/wiki/Euro" TargetMode="External"/><Relationship Id="rId29" Type="http://schemas.openxmlformats.org/officeDocument/2006/relationships/hyperlink" Target="https://en.wikipedia.org/wiki/Belize_dollar" TargetMode="External"/><Relationship Id="rId24" Type="http://schemas.openxmlformats.org/officeDocument/2006/relationships/hyperlink" Target="https://en.wikipedia.org/wiki/Brazilian_real" TargetMode="External"/><Relationship Id="rId40" Type="http://schemas.openxmlformats.org/officeDocument/2006/relationships/hyperlink" Target="https://en.wikipedia.org/wiki/Costa_Rican_colon" TargetMode="External"/><Relationship Id="rId45" Type="http://schemas.openxmlformats.org/officeDocument/2006/relationships/hyperlink" Target="https://en.wikipedia.org/wiki/Djiboutian_franc" TargetMode="External"/><Relationship Id="rId66" Type="http://schemas.openxmlformats.org/officeDocument/2006/relationships/hyperlink" Target="https://en.wikipedia.org/wiki/Indonesian_rupiah" TargetMode="External"/><Relationship Id="rId87" Type="http://schemas.openxmlformats.org/officeDocument/2006/relationships/hyperlink" Target="https://en.wikipedia.org/wiki/Liberian_dollar" TargetMode="External"/><Relationship Id="rId110" Type="http://schemas.openxmlformats.org/officeDocument/2006/relationships/hyperlink" Target="https://en.wikipedia.org/wiki/Nicaraguan_c%C3%B3rdoba" TargetMode="External"/><Relationship Id="rId115" Type="http://schemas.openxmlformats.org/officeDocument/2006/relationships/hyperlink" Target="https://en.wikipedia.org/wiki/Panamanian_balboa" TargetMode="External"/><Relationship Id="rId131" Type="http://schemas.openxmlformats.org/officeDocument/2006/relationships/hyperlink" Target="https://en.wikipedia.org/wiki/Swedish_krona" TargetMode="External"/><Relationship Id="rId136" Type="http://schemas.openxmlformats.org/officeDocument/2006/relationships/hyperlink" Target="https://en.wikipedia.org/wiki/Surinamese_dollar" TargetMode="External"/><Relationship Id="rId157" Type="http://schemas.openxmlformats.org/officeDocument/2006/relationships/hyperlink" Target="https://en.wikipedia.org/wiki/Venezuelan_bol%C3%ADvar" TargetMode="External"/><Relationship Id="rId178" Type="http://schemas.openxmlformats.org/officeDocument/2006/relationships/hyperlink" Target="https://en.wikipedia.org/wiki/Zambian_kwacha" TargetMode="External"/><Relationship Id="rId61" Type="http://schemas.openxmlformats.org/officeDocument/2006/relationships/hyperlink" Target="https://en.wikipedia.org/wiki/Hong_Kong_dollar" TargetMode="External"/><Relationship Id="rId82" Type="http://schemas.openxmlformats.org/officeDocument/2006/relationships/hyperlink" Target="https://en.wikipedia.org/wiki/Cayman_Islands_dollar" TargetMode="External"/><Relationship Id="rId152" Type="http://schemas.openxmlformats.org/officeDocument/2006/relationships/hyperlink" Target="https://en.wikipedia.org/wiki/Ukrainian_hryvnia" TargetMode="External"/><Relationship Id="rId173" Type="http://schemas.openxmlformats.org/officeDocument/2006/relationships/hyperlink" Target="https://en.wikipedia.org/wiki/Platinum" TargetMode="External"/><Relationship Id="rId19" Type="http://schemas.openxmlformats.org/officeDocument/2006/relationships/hyperlink" Target="https://en.wikipedia.org/wiki/Bahraini_dinar" TargetMode="External"/><Relationship Id="rId14" Type="http://schemas.openxmlformats.org/officeDocument/2006/relationships/hyperlink" Target="https://en.wikipedia.org/wiki/Azerbaijani_manat" TargetMode="External"/><Relationship Id="rId30" Type="http://schemas.openxmlformats.org/officeDocument/2006/relationships/hyperlink" Target="https://en.wikipedia.org/wiki/Congolese_franc" TargetMode="External"/><Relationship Id="rId35" Type="http://schemas.openxmlformats.org/officeDocument/2006/relationships/hyperlink" Target="https://en.wikipedia.org/wiki/Chilean_peso" TargetMode="External"/><Relationship Id="rId56" Type="http://schemas.openxmlformats.org/officeDocument/2006/relationships/hyperlink" Target="https://en.wikipedia.org/wiki/Gibraltar_pound" TargetMode="External"/><Relationship Id="rId77" Type="http://schemas.openxmlformats.org/officeDocument/2006/relationships/hyperlink" Target="https://en.wikipedia.org/wiki/Cambodian_riel" TargetMode="External"/><Relationship Id="rId100" Type="http://schemas.openxmlformats.org/officeDocument/2006/relationships/hyperlink" Target="https://en.wikipedia.org/wiki/Mauritanian_ouguiya" TargetMode="External"/><Relationship Id="rId105" Type="http://schemas.openxmlformats.org/officeDocument/2006/relationships/hyperlink" Target="https://en.wikipedia.org/wiki/Mexican_Unidad_de_Inversion" TargetMode="External"/><Relationship Id="rId126" Type="http://schemas.openxmlformats.org/officeDocument/2006/relationships/hyperlink" Target="https://en.wikipedia.org/wiki/Rwandan_franc" TargetMode="External"/><Relationship Id="rId147" Type="http://schemas.openxmlformats.org/officeDocument/2006/relationships/hyperlink" Target="https://en.wikipedia.org/wiki/Tongan_pa%CA%BBanga" TargetMode="External"/><Relationship Id="rId168" Type="http://schemas.openxmlformats.org/officeDocument/2006/relationships/hyperlink" Target="https://en.wikipedia.org/wiki/East_Caribbean_dollar" TargetMode="External"/><Relationship Id="rId8" Type="http://schemas.openxmlformats.org/officeDocument/2006/relationships/hyperlink" Target="https://en.wikipedia.org/wiki/Armenian_dram" TargetMode="External"/><Relationship Id="rId51" Type="http://schemas.openxmlformats.org/officeDocument/2006/relationships/hyperlink" Target="https://en.wikipedia.org/wiki/Ethiopian_birr" TargetMode="External"/><Relationship Id="rId72" Type="http://schemas.openxmlformats.org/officeDocument/2006/relationships/hyperlink" Target="https://en.wikipedia.org/wiki/Jamaican_dollar" TargetMode="External"/><Relationship Id="rId93" Type="http://schemas.openxmlformats.org/officeDocument/2006/relationships/hyperlink" Target="https://en.wikipedia.org/wiki/Malagasy_ariary" TargetMode="External"/><Relationship Id="rId98" Type="http://schemas.openxmlformats.org/officeDocument/2006/relationships/hyperlink" Target="https://en.wikipedia.org/wiki/ISO_4217" TargetMode="External"/><Relationship Id="rId121" Type="http://schemas.openxmlformats.org/officeDocument/2006/relationships/hyperlink" Target="https://en.wikipedia.org/wiki/Paraguayan_guaran%C3%AD" TargetMode="External"/><Relationship Id="rId142" Type="http://schemas.openxmlformats.org/officeDocument/2006/relationships/hyperlink" Target="https://en.wikipedia.org/wiki/Swazi_lilangeni" TargetMode="External"/><Relationship Id="rId163" Type="http://schemas.openxmlformats.org/officeDocument/2006/relationships/hyperlink" Target="https://en.wikipedia.org/wiki/Gold" TargetMode="External"/><Relationship Id="rId3" Type="http://schemas.openxmlformats.org/officeDocument/2006/relationships/hyperlink" Target="https://en.wikipedia.org/wiki/Pound_sterling" TargetMode="External"/><Relationship Id="rId25" Type="http://schemas.openxmlformats.org/officeDocument/2006/relationships/hyperlink" Target="https://en.wikipedia.org/wiki/Bahamian_dollar" TargetMode="External"/><Relationship Id="rId46" Type="http://schemas.openxmlformats.org/officeDocument/2006/relationships/hyperlink" Target="https://en.wikipedia.org/wiki/Danish_krone" TargetMode="External"/><Relationship Id="rId67" Type="http://schemas.openxmlformats.org/officeDocument/2006/relationships/hyperlink" Target="https://en.wikipedia.org/wiki/Israeli_new_shekel" TargetMode="External"/><Relationship Id="rId116" Type="http://schemas.openxmlformats.org/officeDocument/2006/relationships/hyperlink" Target="https://en.wikipedia.org/wiki/Peruvian_sol" TargetMode="External"/><Relationship Id="rId137" Type="http://schemas.openxmlformats.org/officeDocument/2006/relationships/hyperlink" Target="https://en.wikipedia.org/wiki/South_Sudanese_pound" TargetMode="External"/><Relationship Id="rId158" Type="http://schemas.openxmlformats.org/officeDocument/2006/relationships/hyperlink" Target="https://en.wikipedia.org/wiki/Vietnamese_%C4%91%E1%BB%93ng" TargetMode="External"/><Relationship Id="rId20" Type="http://schemas.openxmlformats.org/officeDocument/2006/relationships/hyperlink" Target="https://en.wikipedia.org/wiki/Burundian_franc" TargetMode="External"/><Relationship Id="rId41" Type="http://schemas.openxmlformats.org/officeDocument/2006/relationships/hyperlink" Target="https://en.wikipedia.org/wiki/Cuban_convertible_peso" TargetMode="External"/><Relationship Id="rId62" Type="http://schemas.openxmlformats.org/officeDocument/2006/relationships/hyperlink" Target="https://en.wikipedia.org/wiki/Honduran_lempira" TargetMode="External"/><Relationship Id="rId83" Type="http://schemas.openxmlformats.org/officeDocument/2006/relationships/hyperlink" Target="https://en.wikipedia.org/wiki/Kazakhstani_tenge" TargetMode="External"/><Relationship Id="rId88" Type="http://schemas.openxmlformats.org/officeDocument/2006/relationships/hyperlink" Target="https://en.wikipedia.org/wiki/Lesotho_loti" TargetMode="External"/><Relationship Id="rId111" Type="http://schemas.openxmlformats.org/officeDocument/2006/relationships/hyperlink" Target="https://en.wikipedia.org/wiki/Norwegian_krone" TargetMode="External"/><Relationship Id="rId132" Type="http://schemas.openxmlformats.org/officeDocument/2006/relationships/hyperlink" Target="https://en.wikipedia.org/wiki/Singapore_dollar" TargetMode="External"/><Relationship Id="rId153" Type="http://schemas.openxmlformats.org/officeDocument/2006/relationships/hyperlink" Target="https://en.wikipedia.org/wiki/Ugandan_shilling" TargetMode="External"/><Relationship Id="rId174" Type="http://schemas.openxmlformats.org/officeDocument/2006/relationships/hyperlink" Target="https://en.wikipedia.org/wiki/XSU" TargetMode="External"/><Relationship Id="rId179" Type="http://schemas.openxmlformats.org/officeDocument/2006/relationships/hyperlink" Target="https://en.wikipedia.org/wiki/Zimbabwean_dollar" TargetMode="External"/><Relationship Id="rId15" Type="http://schemas.openxmlformats.org/officeDocument/2006/relationships/hyperlink" Target="https://en.wikipedia.org/wiki/Bosnia_and_Herzegovina_convertible_mark" TargetMode="External"/><Relationship Id="rId36" Type="http://schemas.openxmlformats.org/officeDocument/2006/relationships/hyperlink" Target="https://en.wikipedia.org/wiki/Renminbi" TargetMode="External"/><Relationship Id="rId57" Type="http://schemas.openxmlformats.org/officeDocument/2006/relationships/hyperlink" Target="https://en.wikipedia.org/wiki/Gambian_dalasi" TargetMode="External"/><Relationship Id="rId106" Type="http://schemas.openxmlformats.org/officeDocument/2006/relationships/hyperlink" Target="https://en.wikipedia.org/wiki/Malaysian_ringgit" TargetMode="External"/><Relationship Id="rId127" Type="http://schemas.openxmlformats.org/officeDocument/2006/relationships/hyperlink" Target="https://en.wikipedia.org/wiki/Saudi_riyal" TargetMode="External"/><Relationship Id="rId10" Type="http://schemas.openxmlformats.org/officeDocument/2006/relationships/hyperlink" Target="https://en.wikipedia.org/wiki/Angolan_kwanza" TargetMode="External"/><Relationship Id="rId31" Type="http://schemas.openxmlformats.org/officeDocument/2006/relationships/hyperlink" Target="https://en.wikipedia.org/wiki/WIR_Bank" TargetMode="External"/><Relationship Id="rId52" Type="http://schemas.openxmlformats.org/officeDocument/2006/relationships/hyperlink" Target="https://en.wikipedia.org/wiki/Fijian_dollar" TargetMode="External"/><Relationship Id="rId73" Type="http://schemas.openxmlformats.org/officeDocument/2006/relationships/hyperlink" Target="https://en.wikipedia.org/wiki/Jordanian_dinar" TargetMode="External"/><Relationship Id="rId78" Type="http://schemas.openxmlformats.org/officeDocument/2006/relationships/hyperlink" Target="https://en.wikipedia.org/wiki/Comoro_franc" TargetMode="External"/><Relationship Id="rId94" Type="http://schemas.openxmlformats.org/officeDocument/2006/relationships/hyperlink" Target="https://en.wikipedia.org/wiki/Macedonian_denar" TargetMode="External"/><Relationship Id="rId99" Type="http://schemas.openxmlformats.org/officeDocument/2006/relationships/hyperlink" Target="https://en.wikipedia.org/wiki/ISO_4217" TargetMode="External"/><Relationship Id="rId101" Type="http://schemas.openxmlformats.org/officeDocument/2006/relationships/hyperlink" Target="https://en.wikipedia.org/wiki/Mauritian_rupee" TargetMode="External"/><Relationship Id="rId122" Type="http://schemas.openxmlformats.org/officeDocument/2006/relationships/hyperlink" Target="https://en.wikipedia.org/wiki/Qatari_riyal" TargetMode="External"/><Relationship Id="rId143" Type="http://schemas.openxmlformats.org/officeDocument/2006/relationships/hyperlink" Target="https://en.wikipedia.org/wiki/Thai_baht" TargetMode="External"/><Relationship Id="rId148" Type="http://schemas.openxmlformats.org/officeDocument/2006/relationships/hyperlink" Target="https://en.wikipedia.org/wiki/Turkish_lira" TargetMode="External"/><Relationship Id="rId164" Type="http://schemas.openxmlformats.org/officeDocument/2006/relationships/hyperlink" Target="https://en.wikipedia.org/wiki/European_Composite_Unit" TargetMode="External"/><Relationship Id="rId169" Type="http://schemas.openxmlformats.org/officeDocument/2006/relationships/hyperlink" Target="https://en.wikipedia.org/wiki/Special_drawing_rights" TargetMode="External"/><Relationship Id="rId4" Type="http://schemas.openxmlformats.org/officeDocument/2006/relationships/hyperlink" Target="https://en.wikipedia.org/wiki/United_States_dollar" TargetMode="External"/><Relationship Id="rId9" Type="http://schemas.openxmlformats.org/officeDocument/2006/relationships/hyperlink" Target="https://en.wikipedia.org/wiki/Netherlands_Antillean_guilder" TargetMode="External"/><Relationship Id="rId26" Type="http://schemas.openxmlformats.org/officeDocument/2006/relationships/hyperlink" Target="https://en.wikipedia.org/wiki/Bhutanese_ngultrum" TargetMode="External"/><Relationship Id="rId47" Type="http://schemas.openxmlformats.org/officeDocument/2006/relationships/hyperlink" Target="https://en.wikipedia.org/wiki/Dominican_peso" TargetMode="External"/><Relationship Id="rId68" Type="http://schemas.openxmlformats.org/officeDocument/2006/relationships/hyperlink" Target="https://en.wikipedia.org/wiki/Indian_rupee" TargetMode="External"/><Relationship Id="rId89" Type="http://schemas.openxmlformats.org/officeDocument/2006/relationships/hyperlink" Target="https://en.wikipedia.org/wiki/Libyan_dinar" TargetMode="External"/><Relationship Id="rId112" Type="http://schemas.openxmlformats.org/officeDocument/2006/relationships/hyperlink" Target="https://en.wikipedia.org/wiki/Nepalese_rupee" TargetMode="External"/><Relationship Id="rId133" Type="http://schemas.openxmlformats.org/officeDocument/2006/relationships/hyperlink" Target="https://en.wikipedia.org/wiki/Saint_Helena_pound" TargetMode="External"/><Relationship Id="rId154" Type="http://schemas.openxmlformats.org/officeDocument/2006/relationships/hyperlink" Target="https://en.wikipedia.org/wiki/Uruguayan_peso" TargetMode="External"/><Relationship Id="rId175" Type="http://schemas.openxmlformats.org/officeDocument/2006/relationships/hyperlink" Target="https://en.wikipedia.org/wiki/XUA" TargetMode="External"/><Relationship Id="rId16" Type="http://schemas.openxmlformats.org/officeDocument/2006/relationships/hyperlink" Target="https://en.wikipedia.org/wiki/Barbados_dollar" TargetMode="External"/><Relationship Id="rId37" Type="http://schemas.openxmlformats.org/officeDocument/2006/relationships/hyperlink" Target="https://en.wikipedia.org/wiki/Colombian_peso" TargetMode="External"/><Relationship Id="rId58" Type="http://schemas.openxmlformats.org/officeDocument/2006/relationships/hyperlink" Target="https://en.wikipedia.org/wiki/Guinean_franc" TargetMode="External"/><Relationship Id="rId79" Type="http://schemas.openxmlformats.org/officeDocument/2006/relationships/hyperlink" Target="https://en.wikipedia.org/wiki/North_Korean_won" TargetMode="External"/><Relationship Id="rId102" Type="http://schemas.openxmlformats.org/officeDocument/2006/relationships/hyperlink" Target="https://en.wikipedia.org/wiki/Maldivian_rufiyaa" TargetMode="External"/><Relationship Id="rId123" Type="http://schemas.openxmlformats.org/officeDocument/2006/relationships/hyperlink" Target="https://en.wikipedia.org/wiki/Romanian_leu" TargetMode="External"/><Relationship Id="rId144" Type="http://schemas.openxmlformats.org/officeDocument/2006/relationships/hyperlink" Target="https://en.wikipedia.org/wiki/Tajikistani_somoni" TargetMode="External"/><Relationship Id="rId90" Type="http://schemas.openxmlformats.org/officeDocument/2006/relationships/hyperlink" Target="https://en.wikipedia.org/wiki/Moroccan_dirham" TargetMode="External"/><Relationship Id="rId165" Type="http://schemas.openxmlformats.org/officeDocument/2006/relationships/hyperlink" Target="https://en.wikipedia.org/wiki/European_Monetary_Unit" TargetMode="External"/><Relationship Id="rId27" Type="http://schemas.openxmlformats.org/officeDocument/2006/relationships/hyperlink" Target="https://en.wikipedia.org/wiki/Botswana_pula" TargetMode="External"/><Relationship Id="rId48" Type="http://schemas.openxmlformats.org/officeDocument/2006/relationships/hyperlink" Target="https://en.wikipedia.org/wiki/Algerian_dinar" TargetMode="External"/><Relationship Id="rId69" Type="http://schemas.openxmlformats.org/officeDocument/2006/relationships/hyperlink" Target="https://en.wikipedia.org/wiki/Iraqi_dinar" TargetMode="External"/><Relationship Id="rId113" Type="http://schemas.openxmlformats.org/officeDocument/2006/relationships/hyperlink" Target="https://en.wikipedia.org/wiki/New_Zealand_dollar" TargetMode="External"/><Relationship Id="rId134" Type="http://schemas.openxmlformats.org/officeDocument/2006/relationships/hyperlink" Target="https://en.wikipedia.org/wiki/Sierra_Leonean_leone" TargetMode="External"/><Relationship Id="rId80" Type="http://schemas.openxmlformats.org/officeDocument/2006/relationships/hyperlink" Target="https://en.wikipedia.org/wiki/South_Korean_won" TargetMode="External"/><Relationship Id="rId155" Type="http://schemas.openxmlformats.org/officeDocument/2006/relationships/hyperlink" Target="https://en.wikipedia.org/wiki/ISO_4217" TargetMode="External"/><Relationship Id="rId176" Type="http://schemas.openxmlformats.org/officeDocument/2006/relationships/hyperlink" Target="https://en.wikipedia.org/wiki/Yemeni_rial" TargetMode="External"/><Relationship Id="rId17" Type="http://schemas.openxmlformats.org/officeDocument/2006/relationships/hyperlink" Target="https://en.wikipedia.org/wiki/Bangladeshi_taka" TargetMode="External"/><Relationship Id="rId38" Type="http://schemas.openxmlformats.org/officeDocument/2006/relationships/hyperlink" Target="https://en.wikipedia.org/wiki/ISO_4217" TargetMode="External"/><Relationship Id="rId59" Type="http://schemas.openxmlformats.org/officeDocument/2006/relationships/hyperlink" Target="https://en.wikipedia.org/wiki/Guatemalan_quetzal" TargetMode="External"/><Relationship Id="rId103" Type="http://schemas.openxmlformats.org/officeDocument/2006/relationships/hyperlink" Target="https://en.wikipedia.org/wiki/Malawian_kwacha" TargetMode="External"/><Relationship Id="rId124" Type="http://schemas.openxmlformats.org/officeDocument/2006/relationships/hyperlink" Target="https://en.wikipedia.org/wiki/Serbian_dinar" TargetMode="External"/><Relationship Id="rId70" Type="http://schemas.openxmlformats.org/officeDocument/2006/relationships/hyperlink" Target="https://en.wikipedia.org/wiki/Iranian_rial" TargetMode="External"/><Relationship Id="rId91" Type="http://schemas.openxmlformats.org/officeDocument/2006/relationships/hyperlink" Target="https://en.wikipedia.org/wiki/Moldovan_leu" TargetMode="External"/><Relationship Id="rId145" Type="http://schemas.openxmlformats.org/officeDocument/2006/relationships/hyperlink" Target="https://en.wikipedia.org/wiki/Turkmenistan_manat" TargetMode="External"/><Relationship Id="rId166" Type="http://schemas.openxmlformats.org/officeDocument/2006/relationships/hyperlink" Target="https://en.wikipedia.org/wiki/European_Unit_of_Account_9" TargetMode="External"/><Relationship Id="rId1" Type="http://schemas.openxmlformats.org/officeDocument/2006/relationships/hyperlink" Target="https://en.wikipedia.org/wiki/Canadian_dolla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unesco.org/languages-atlas/index.php"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rive.google.com/drive/folders/16hoXo6vHoeAbNpaj9UcUOfGkckp3SSTi?usp=sharing" TargetMode="External"/><Relationship Id="rId2" Type="http://schemas.openxmlformats.org/officeDocument/2006/relationships/hyperlink" Target="https://docs.google.com/document/d/1_IOj1AwWQ36Z4jZLGo4G-jQPJXlmgB_MKxrLbgKuSw0/edit?usp=sharing" TargetMode="External"/><Relationship Id="rId1" Type="http://schemas.openxmlformats.org/officeDocument/2006/relationships/hyperlink" Target="https://github.com/RDA-DMP-Common/RDA-DMP-Common-Standard" TargetMode="External"/><Relationship Id="rId5" Type="http://schemas.openxmlformats.org/officeDocument/2006/relationships/hyperlink" Target="http://schema.datacite.org/meta/kernel-4.4/" TargetMode="External"/><Relationship Id="rId4" Type="http://schemas.openxmlformats.org/officeDocument/2006/relationships/hyperlink" Target="https://laws-lois.justice.gc.ca/eng/acts/L-7.7/"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rive.google.com/drive/folders/16hoXo6vHoeAbNpaj9UcUOfGkckp3SSTi?usp=sharing" TargetMode="External"/><Relationship Id="rId2" Type="http://schemas.openxmlformats.org/officeDocument/2006/relationships/hyperlink" Target="https://docs.google.com/document/d/1_IOj1AwWQ36Z4jZLGo4G-jQPJXlmgB_MKxrLbgKuSw0/edit?usp=sharing" TargetMode="External"/><Relationship Id="rId1" Type="http://schemas.openxmlformats.org/officeDocument/2006/relationships/hyperlink" Target="https://github.com/RDA-DMP-Common/RDA-DMP-Common-Standard" TargetMode="External"/><Relationship Id="rId5" Type="http://schemas.openxmlformats.org/officeDocument/2006/relationships/hyperlink" Target="http://schema.datacite.org/meta/kernel-4.4/" TargetMode="External"/><Relationship Id="rId4" Type="http://schemas.openxmlformats.org/officeDocument/2006/relationships/hyperlink" Target="https://laws-lois.justice.gc.ca/eng/acts/L-7.7/"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drive.google.com/drive/folders/16hoXo6vHoeAbNpaj9UcUOfGkckp3SSTi?usp=sharing" TargetMode="External"/><Relationship Id="rId2" Type="http://schemas.openxmlformats.org/officeDocument/2006/relationships/hyperlink" Target="https://docs.google.com/document/d/1_IOj1AwWQ36Z4jZLGo4G-jQPJXlmgB_MKxrLbgKuSw0/edit?usp=sharing" TargetMode="External"/><Relationship Id="rId1" Type="http://schemas.openxmlformats.org/officeDocument/2006/relationships/hyperlink" Target="https://github.com/RDA-DMP-Common/RDA-DMP-Common-Standard" TargetMode="External"/><Relationship Id="rId5" Type="http://schemas.openxmlformats.org/officeDocument/2006/relationships/hyperlink" Target="http://schema.datacite.org/meta/kernel-4.4/" TargetMode="External"/><Relationship Id="rId4" Type="http://schemas.openxmlformats.org/officeDocument/2006/relationships/hyperlink" Target="https://laws-lois.justice.gc.ca/eng/acts/L-7.7/"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drive.google.com/drive/folders/16hoXo6vHoeAbNpaj9UcUOfGkckp3SSTi?usp=sharing" TargetMode="External"/><Relationship Id="rId2" Type="http://schemas.openxmlformats.org/officeDocument/2006/relationships/hyperlink" Target="https://docs.google.com/document/d/1_IOj1AwWQ36Z4jZLGo4G-jQPJXlmgB_MKxrLbgKuSw0/edit?usp=sharing" TargetMode="External"/><Relationship Id="rId1" Type="http://schemas.openxmlformats.org/officeDocument/2006/relationships/hyperlink" Target="https://github.com/RDA-DMP-Common/RDA-DMP-Common-Standard" TargetMode="External"/><Relationship Id="rId5" Type="http://schemas.openxmlformats.org/officeDocument/2006/relationships/hyperlink" Target="http://schema.datacite.org/meta/kernel-4.4/" TargetMode="External"/><Relationship Id="rId4" Type="http://schemas.openxmlformats.org/officeDocument/2006/relationships/hyperlink" Target="https://laws-lois.justice.gc.ca/eng/acts/L-7.7/"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rive.google.com/drive/folders/16hoXo6vHoeAbNpaj9UcUOfGkckp3SSTi?usp=sharing" TargetMode="External"/><Relationship Id="rId2" Type="http://schemas.openxmlformats.org/officeDocument/2006/relationships/hyperlink" Target="https://docs.google.com/document/d/1_IOj1AwWQ36Z4jZLGo4G-jQPJXlmgB_MKxrLbgKuSw0/edit?usp=sharing" TargetMode="External"/><Relationship Id="rId1" Type="http://schemas.openxmlformats.org/officeDocument/2006/relationships/hyperlink" Target="https://github.com/RDA-DMP-Common/RDA-DMP-Common-Standard" TargetMode="External"/><Relationship Id="rId5" Type="http://schemas.openxmlformats.org/officeDocument/2006/relationships/hyperlink" Target="http://schema.datacite.org/meta/kernel-4.4/" TargetMode="External"/><Relationship Id="rId4" Type="http://schemas.openxmlformats.org/officeDocument/2006/relationships/hyperlink" Target="https://laws-lois.justice.gc.ca/eng/acts/L-7.7/"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drive.google.com/drive/folders/16hoXo6vHoeAbNpaj9UcUOfGkckp3SSTi?usp=sharing" TargetMode="External"/><Relationship Id="rId2" Type="http://schemas.openxmlformats.org/officeDocument/2006/relationships/hyperlink" Target="https://docs.google.com/document/d/1_IOj1AwWQ36Z4jZLGo4G-jQPJXlmgB_MKxrLbgKuSw0/edit?usp=sharing" TargetMode="External"/><Relationship Id="rId1" Type="http://schemas.openxmlformats.org/officeDocument/2006/relationships/hyperlink" Target="https://github.com/RDA-DMP-Common/RDA-DMP-Common-Standard" TargetMode="External"/><Relationship Id="rId5" Type="http://schemas.openxmlformats.org/officeDocument/2006/relationships/hyperlink" Target="http://schema.datacite.org/meta/kernel-4.4/" TargetMode="External"/><Relationship Id="rId4" Type="http://schemas.openxmlformats.org/officeDocument/2006/relationships/hyperlink" Target="https://laws-lois.justice.gc.ca/eng/acts/L-7.7/"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drive.google.com/drive/folders/16hoXo6vHoeAbNpaj9UcUOfGkckp3SSTi?usp=sharing" TargetMode="External"/><Relationship Id="rId2" Type="http://schemas.openxmlformats.org/officeDocument/2006/relationships/hyperlink" Target="https://docs.google.com/document/d/1_IOj1AwWQ36Z4jZLGo4G-jQPJXlmgB_MKxrLbgKuSw0/edit?usp=sharing" TargetMode="External"/><Relationship Id="rId1" Type="http://schemas.openxmlformats.org/officeDocument/2006/relationships/hyperlink" Target="https://github.com/RDA-DMP-Common/RDA-DMP-Common-Standard" TargetMode="External"/><Relationship Id="rId5" Type="http://schemas.openxmlformats.org/officeDocument/2006/relationships/hyperlink" Target="http://schema.datacite.org/meta/kernel-4.4/" TargetMode="External"/><Relationship Id="rId4" Type="http://schemas.openxmlformats.org/officeDocument/2006/relationships/hyperlink" Target="https://laws-lois.justice.gc.ca/eng/acts/L-7.7/"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drive.google.com/drive/folders/16hoXo6vHoeAbNpaj9UcUOfGkckp3SSTi?usp=sharing" TargetMode="External"/><Relationship Id="rId2" Type="http://schemas.openxmlformats.org/officeDocument/2006/relationships/hyperlink" Target="https://docs.google.com/document/d/1_IOj1AwWQ36Z4jZLGo4G-jQPJXlmgB_MKxrLbgKuSw0/edit?usp=sharing" TargetMode="External"/><Relationship Id="rId1" Type="http://schemas.openxmlformats.org/officeDocument/2006/relationships/hyperlink" Target="https://github.com/RDA-DMP-Common/RDA-DMP-Common-Standard" TargetMode="External"/><Relationship Id="rId5" Type="http://schemas.openxmlformats.org/officeDocument/2006/relationships/hyperlink" Target="http://schema.datacite.org/meta/kernel-4.4/" TargetMode="External"/><Relationship Id="rId4" Type="http://schemas.openxmlformats.org/officeDocument/2006/relationships/hyperlink" Target="https://laws-lois.justice.gc.ca/eng/acts/L-7.7/"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drive.google.com/drive/folders/16hoXo6vHoeAbNpaj9UcUOfGkckp3SSTi?usp=sharing" TargetMode="External"/><Relationship Id="rId2" Type="http://schemas.openxmlformats.org/officeDocument/2006/relationships/hyperlink" Target="https://docs.google.com/document/d/1_IOj1AwWQ36Z4jZLGo4G-jQPJXlmgB_MKxrLbgKuSw0/edit?usp=sharing" TargetMode="External"/><Relationship Id="rId1" Type="http://schemas.openxmlformats.org/officeDocument/2006/relationships/hyperlink" Target="https://github.com/RDA-DMP-Common/RDA-DMP-Common-Standard" TargetMode="External"/><Relationship Id="rId5" Type="http://schemas.openxmlformats.org/officeDocument/2006/relationships/hyperlink" Target="http://schema.datacite.org/meta/kernel-4.4/" TargetMode="External"/><Relationship Id="rId4" Type="http://schemas.openxmlformats.org/officeDocument/2006/relationships/hyperlink" Target="https://laws-lois.justice.gc.ca/eng/acts/L-7.7/"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drive.google.com/drive/folders/16hoXo6vHoeAbNpaj9UcUOfGkckp3SSTi?usp=sharing" TargetMode="External"/><Relationship Id="rId2" Type="http://schemas.openxmlformats.org/officeDocument/2006/relationships/hyperlink" Target="https://docs.google.com/document/d/1_IOj1AwWQ36Z4jZLGo4G-jQPJXlmgB_MKxrLbgKuSw0/edit?usp=sharing" TargetMode="External"/><Relationship Id="rId1" Type="http://schemas.openxmlformats.org/officeDocument/2006/relationships/hyperlink" Target="https://github.com/RDA-DMP-Common/RDA-DMP-Common-Standard" TargetMode="External"/><Relationship Id="rId5" Type="http://schemas.openxmlformats.org/officeDocument/2006/relationships/hyperlink" Target="http://schema.datacite.org/meta/kernel-4.4/" TargetMode="External"/><Relationship Id="rId4" Type="http://schemas.openxmlformats.org/officeDocument/2006/relationships/hyperlink" Target="https://laws-lois.justice.gc.ca/eng/acts/L-7.7/"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drive.google.com/drive/folders/16hoXo6vHoeAbNpaj9UcUOfGkckp3SSTi?usp=sharing" TargetMode="External"/><Relationship Id="rId2" Type="http://schemas.openxmlformats.org/officeDocument/2006/relationships/hyperlink" Target="https://docs.google.com/document/d/1_IOj1AwWQ36Z4jZLGo4G-jQPJXlmgB_MKxrLbgKuSw0/edit?usp=sharing" TargetMode="External"/><Relationship Id="rId1" Type="http://schemas.openxmlformats.org/officeDocument/2006/relationships/hyperlink" Target="https://github.com/RDA-DMP-Common/RDA-DMP-Common-Standard" TargetMode="External"/><Relationship Id="rId5" Type="http://schemas.openxmlformats.org/officeDocument/2006/relationships/hyperlink" Target="http://schema.datacite.org/meta/kernel-4.4/" TargetMode="External"/><Relationship Id="rId4" Type="http://schemas.openxmlformats.org/officeDocument/2006/relationships/hyperlink" Target="https://laws-lois.justice.gc.ca/eng/acts/L-7.7/"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drive.google.com/drive/folders/16hoXo6vHoeAbNpaj9UcUOfGkckp3SSTi?usp=sharing" TargetMode="External"/><Relationship Id="rId2" Type="http://schemas.openxmlformats.org/officeDocument/2006/relationships/hyperlink" Target="https://docs.google.com/document/d/1_IOj1AwWQ36Z4jZLGo4G-jQPJXlmgB_MKxrLbgKuSw0/edit?usp=sharing" TargetMode="External"/><Relationship Id="rId1" Type="http://schemas.openxmlformats.org/officeDocument/2006/relationships/hyperlink" Target="https://github.com/RDA-DMP-Common/RDA-DMP-Common-Standard" TargetMode="External"/><Relationship Id="rId5" Type="http://schemas.openxmlformats.org/officeDocument/2006/relationships/hyperlink" Target="http://schema.datacite.org/meta/kernel-4.4/" TargetMode="External"/><Relationship Id="rId4" Type="http://schemas.openxmlformats.org/officeDocument/2006/relationships/hyperlink" Target="https://laws-lois.justice.gc.ca/eng/acts/L-7.7/"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drive.google.com/drive/folders/16hoXo6vHoeAbNpaj9UcUOfGkckp3SSTi?usp=sharing" TargetMode="External"/><Relationship Id="rId2" Type="http://schemas.openxmlformats.org/officeDocument/2006/relationships/hyperlink" Target="https://docs.google.com/document/d/1_IOj1AwWQ36Z4jZLGo4G-jQPJXlmgB_MKxrLbgKuSw0/edit?usp=sharing" TargetMode="External"/><Relationship Id="rId1" Type="http://schemas.openxmlformats.org/officeDocument/2006/relationships/hyperlink" Target="https://github.com/RDA-DMP-Common/RDA-DMP-Common-Standard" TargetMode="External"/><Relationship Id="rId5" Type="http://schemas.openxmlformats.org/officeDocument/2006/relationships/hyperlink" Target="http://schema.datacite.org/meta/kernel-4.4/" TargetMode="External"/><Relationship Id="rId4" Type="http://schemas.openxmlformats.org/officeDocument/2006/relationships/hyperlink" Target="https://laws-lois.justice.gc.ca/eng/acts/L-7.7/"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drive.google.com/drive/folders/16hoXo6vHoeAbNpaj9UcUOfGkckp3SSTi?usp=sharing" TargetMode="External"/><Relationship Id="rId2" Type="http://schemas.openxmlformats.org/officeDocument/2006/relationships/hyperlink" Target="https://docs.google.com/document/d/1_IOj1AwWQ36Z4jZLGo4G-jQPJXlmgB_MKxrLbgKuSw0/edit?usp=sharing" TargetMode="External"/><Relationship Id="rId1" Type="http://schemas.openxmlformats.org/officeDocument/2006/relationships/hyperlink" Target="https://github.com/RDA-DMP-Common/RDA-DMP-Common-Standard" TargetMode="External"/><Relationship Id="rId5" Type="http://schemas.openxmlformats.org/officeDocument/2006/relationships/hyperlink" Target="http://schema.datacite.org/meta/kernel-4.4/" TargetMode="External"/><Relationship Id="rId4" Type="http://schemas.openxmlformats.org/officeDocument/2006/relationships/hyperlink" Target="https://laws-lois.justice.gc.ca/eng/acts/L-7.7/"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drive.google.com/drive/folders/16hoXo6vHoeAbNpaj9UcUOfGkckp3SSTi?usp=sharing" TargetMode="External"/><Relationship Id="rId2" Type="http://schemas.openxmlformats.org/officeDocument/2006/relationships/hyperlink" Target="https://docs.google.com/document/d/1_IOj1AwWQ36Z4jZLGo4G-jQPJXlmgB_MKxrLbgKuSw0/edit?usp=sharing" TargetMode="External"/><Relationship Id="rId1" Type="http://schemas.openxmlformats.org/officeDocument/2006/relationships/hyperlink" Target="https://github.com/RDA-DMP-Common/RDA-DMP-Common-Standard" TargetMode="External"/><Relationship Id="rId5" Type="http://schemas.openxmlformats.org/officeDocument/2006/relationships/hyperlink" Target="http://schema.datacite.org/meta/kernel-4.4/" TargetMode="External"/><Relationship Id="rId4" Type="http://schemas.openxmlformats.org/officeDocument/2006/relationships/hyperlink" Target="https://laws-lois.justice.gc.ca/eng/acts/L-7.7/"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drive.google.com/drive/folders/16hoXo6vHoeAbNpaj9UcUOfGkckp3SSTi?usp=sharing" TargetMode="External"/><Relationship Id="rId2" Type="http://schemas.openxmlformats.org/officeDocument/2006/relationships/hyperlink" Target="https://docs.google.com/document/d/1_IOj1AwWQ36Z4jZLGo4G-jQPJXlmgB_MKxrLbgKuSw0/edit?usp=sharing" TargetMode="External"/><Relationship Id="rId1" Type="http://schemas.openxmlformats.org/officeDocument/2006/relationships/hyperlink" Target="https://github.com/RDA-DMP-Common/RDA-DMP-Common-Standard" TargetMode="External"/><Relationship Id="rId5" Type="http://schemas.openxmlformats.org/officeDocument/2006/relationships/hyperlink" Target="http://schema.datacite.org/meta/kernel-4.4/" TargetMode="External"/><Relationship Id="rId4" Type="http://schemas.openxmlformats.org/officeDocument/2006/relationships/hyperlink" Target="https://laws-lois.justice.gc.ca/eng/acts/L-7.7/"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document/d/1ZWHubeBtmsbuxYHe0UB2jY4jaxVu9rb9aTgtggK_yT4/edit?usp=sha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00"/>
    <outlinePr summaryBelow="0" summaryRight="0"/>
  </sheetPr>
  <dimension ref="A1:L476"/>
  <sheetViews>
    <sheetView tabSelected="1" workbookViewId="0"/>
  </sheetViews>
  <sheetFormatPr baseColWidth="10" defaultColWidth="12.5703125" defaultRowHeight="15.75" customHeight="1"/>
  <cols>
    <col min="1" max="1" width="30.42578125" customWidth="1"/>
    <col min="2" max="2" width="26.7109375" customWidth="1"/>
    <col min="3" max="3" width="55.7109375" customWidth="1"/>
    <col min="4" max="5" width="8.5703125" bestFit="1" customWidth="1"/>
    <col min="6" max="6" width="18.7109375" customWidth="1"/>
    <col min="7" max="7" width="35.140625" customWidth="1"/>
    <col min="8" max="8" width="16.140625" customWidth="1"/>
    <col min="9" max="9" width="18.140625" customWidth="1"/>
    <col min="10" max="10" width="18.85546875" customWidth="1"/>
    <col min="11" max="11" width="15.42578125" customWidth="1"/>
    <col min="12" max="12" width="33.140625" customWidth="1"/>
  </cols>
  <sheetData>
    <row r="1" spans="1:12" ht="43.5" customHeight="1">
      <c r="A1" s="2" t="s">
        <v>1</v>
      </c>
      <c r="B1" s="3" t="s">
        <v>2</v>
      </c>
      <c r="C1" s="4" t="s">
        <v>0</v>
      </c>
      <c r="D1" s="1" t="s">
        <v>3</v>
      </c>
      <c r="E1" s="5" t="s">
        <v>4</v>
      </c>
      <c r="F1" s="3" t="s">
        <v>5</v>
      </c>
      <c r="G1" s="5" t="s">
        <v>6</v>
      </c>
      <c r="H1" s="5" t="s">
        <v>7</v>
      </c>
      <c r="I1" s="4" t="s">
        <v>8</v>
      </c>
      <c r="J1" s="5" t="s">
        <v>9</v>
      </c>
      <c r="K1" s="4" t="s">
        <v>10</v>
      </c>
      <c r="L1" s="5" t="s">
        <v>11</v>
      </c>
    </row>
    <row r="2" spans="1:12" ht="12" customHeight="1">
      <c r="A2" s="8" t="s">
        <v>16</v>
      </c>
      <c r="B2" s="9" t="s">
        <v>17</v>
      </c>
      <c r="C2" s="10" t="s">
        <v>18</v>
      </c>
      <c r="D2" s="11" t="s">
        <v>19</v>
      </c>
      <c r="E2" s="12" t="s">
        <v>20</v>
      </c>
      <c r="F2" s="6" t="s">
        <v>21</v>
      </c>
      <c r="G2" s="13"/>
      <c r="H2" s="13"/>
      <c r="I2" s="14" t="s">
        <v>22</v>
      </c>
      <c r="J2" s="15" t="s">
        <v>23</v>
      </c>
      <c r="K2" s="16" t="s">
        <v>24</v>
      </c>
      <c r="L2" s="17" t="s">
        <v>25</v>
      </c>
    </row>
    <row r="3" spans="1:12" ht="12.75" customHeight="1">
      <c r="A3" s="25" t="s">
        <v>28</v>
      </c>
      <c r="B3" s="27" t="s">
        <v>29</v>
      </c>
      <c r="C3" s="27" t="s">
        <v>30</v>
      </c>
      <c r="D3" s="28" t="s">
        <v>31</v>
      </c>
      <c r="E3" s="28" t="s">
        <v>31</v>
      </c>
      <c r="F3" s="28" t="s">
        <v>21</v>
      </c>
      <c r="G3" s="27"/>
      <c r="H3" s="25"/>
      <c r="I3" s="29"/>
      <c r="J3" s="29"/>
      <c r="K3" s="25" t="s">
        <v>32</v>
      </c>
      <c r="L3" s="29"/>
    </row>
    <row r="4" spans="1:12" ht="12.75" customHeight="1">
      <c r="A4" s="33" t="s">
        <v>33</v>
      </c>
      <c r="B4" s="34" t="s">
        <v>34</v>
      </c>
      <c r="C4" s="13" t="s">
        <v>35</v>
      </c>
      <c r="D4" s="35" t="s">
        <v>26</v>
      </c>
      <c r="E4" s="35" t="s">
        <v>26</v>
      </c>
      <c r="F4" s="36" t="s">
        <v>36</v>
      </c>
      <c r="G4" s="34" t="s">
        <v>37</v>
      </c>
      <c r="H4" s="34" t="s">
        <v>29</v>
      </c>
      <c r="I4" s="18" t="s">
        <v>38</v>
      </c>
      <c r="J4" s="37" t="s">
        <v>39</v>
      </c>
      <c r="K4" s="8" t="s">
        <v>40</v>
      </c>
      <c r="L4" s="38"/>
    </row>
    <row r="5" spans="1:12" ht="12.75" customHeight="1">
      <c r="A5" s="8" t="s">
        <v>41</v>
      </c>
      <c r="B5" s="34" t="s">
        <v>42</v>
      </c>
      <c r="C5" s="34" t="s">
        <v>43</v>
      </c>
      <c r="D5" s="35" t="s">
        <v>19</v>
      </c>
      <c r="E5" s="35" t="s">
        <v>20</v>
      </c>
      <c r="F5" s="36" t="s">
        <v>44</v>
      </c>
      <c r="G5" s="34" t="s">
        <v>45</v>
      </c>
      <c r="H5" s="38"/>
      <c r="I5" s="18" t="s">
        <v>47</v>
      </c>
      <c r="J5" s="18" t="s">
        <v>48</v>
      </c>
      <c r="K5" s="8" t="s">
        <v>40</v>
      </c>
      <c r="L5" s="38"/>
    </row>
    <row r="6" spans="1:12" ht="12.75" customHeight="1">
      <c r="A6" s="8" t="s">
        <v>49</v>
      </c>
      <c r="B6" s="34" t="s">
        <v>50</v>
      </c>
      <c r="C6" s="34" t="s">
        <v>51</v>
      </c>
      <c r="D6" s="35" t="s">
        <v>19</v>
      </c>
      <c r="E6" s="35" t="s">
        <v>20</v>
      </c>
      <c r="F6" s="35" t="s">
        <v>21</v>
      </c>
      <c r="G6" s="32"/>
      <c r="H6" s="38"/>
      <c r="I6" s="18" t="s">
        <v>52</v>
      </c>
      <c r="J6" s="40" t="s">
        <v>53</v>
      </c>
      <c r="K6" s="8" t="s">
        <v>54</v>
      </c>
      <c r="L6" s="38"/>
    </row>
    <row r="7" spans="1:12" ht="12.75" customHeight="1">
      <c r="A7" s="8" t="s">
        <v>55</v>
      </c>
      <c r="B7" s="34" t="s">
        <v>56</v>
      </c>
      <c r="C7" s="34" t="s">
        <v>57</v>
      </c>
      <c r="D7" s="35" t="s">
        <v>19</v>
      </c>
      <c r="E7" s="35" t="s">
        <v>20</v>
      </c>
      <c r="F7" s="35" t="s">
        <v>21</v>
      </c>
      <c r="G7" s="32"/>
      <c r="H7" s="38"/>
      <c r="I7" s="18" t="s">
        <v>58</v>
      </c>
      <c r="J7" s="41" t="s">
        <v>59</v>
      </c>
      <c r="K7" s="8" t="s">
        <v>40</v>
      </c>
      <c r="L7" s="38"/>
    </row>
    <row r="8" spans="1:12" ht="12.75" customHeight="1">
      <c r="A8" s="8" t="s">
        <v>46</v>
      </c>
      <c r="B8" s="34" t="s">
        <v>60</v>
      </c>
      <c r="C8" s="34" t="s">
        <v>61</v>
      </c>
      <c r="D8" s="35" t="s">
        <v>26</v>
      </c>
      <c r="E8" s="35" t="s">
        <v>26</v>
      </c>
      <c r="F8" s="36" t="s">
        <v>36</v>
      </c>
      <c r="G8" s="34" t="s">
        <v>37</v>
      </c>
      <c r="H8" s="34" t="s">
        <v>29</v>
      </c>
      <c r="I8" s="18" t="s">
        <v>62</v>
      </c>
      <c r="J8" s="42" t="s">
        <v>63</v>
      </c>
      <c r="K8" s="16" t="s">
        <v>24</v>
      </c>
      <c r="L8" s="17" t="s">
        <v>64</v>
      </c>
    </row>
    <row r="9" spans="1:12" ht="12" customHeight="1">
      <c r="A9" s="25" t="s">
        <v>65</v>
      </c>
      <c r="B9" s="44" t="s">
        <v>66</v>
      </c>
      <c r="C9" s="45" t="s">
        <v>67</v>
      </c>
      <c r="D9" s="46" t="s">
        <v>19</v>
      </c>
      <c r="E9" s="47" t="s">
        <v>20</v>
      </c>
      <c r="F9" s="6" t="s">
        <v>21</v>
      </c>
      <c r="G9" s="49"/>
      <c r="H9" s="49"/>
      <c r="I9" s="49"/>
      <c r="J9" s="50"/>
      <c r="K9" s="51" t="s">
        <v>32</v>
      </c>
      <c r="L9" s="52"/>
    </row>
    <row r="10" spans="1:12" ht="12" customHeight="1">
      <c r="A10" s="8" t="s">
        <v>69</v>
      </c>
      <c r="B10" s="9" t="s">
        <v>70</v>
      </c>
      <c r="C10" s="10" t="s">
        <v>71</v>
      </c>
      <c r="D10" s="11" t="s">
        <v>19</v>
      </c>
      <c r="E10" s="12" t="s">
        <v>20</v>
      </c>
      <c r="F10" s="6" t="s">
        <v>21</v>
      </c>
      <c r="G10" s="13"/>
      <c r="H10" s="13"/>
      <c r="I10" s="13" t="s">
        <v>72</v>
      </c>
      <c r="J10" s="10" t="s">
        <v>73</v>
      </c>
      <c r="K10" s="14" t="s">
        <v>40</v>
      </c>
      <c r="L10" s="17"/>
    </row>
    <row r="11" spans="1:12" ht="12" customHeight="1">
      <c r="A11" s="8" t="s">
        <v>75</v>
      </c>
      <c r="B11" s="9" t="s">
        <v>76</v>
      </c>
      <c r="C11" s="10" t="s">
        <v>77</v>
      </c>
      <c r="D11" s="11" t="s">
        <v>19</v>
      </c>
      <c r="E11" s="12" t="s">
        <v>20</v>
      </c>
      <c r="F11" s="55" t="s">
        <v>44</v>
      </c>
      <c r="G11" s="13" t="s">
        <v>78</v>
      </c>
      <c r="H11" s="13"/>
      <c r="I11" s="13" t="s">
        <v>80</v>
      </c>
      <c r="J11" s="10" t="s">
        <v>81</v>
      </c>
      <c r="K11" s="14" t="s">
        <v>40</v>
      </c>
      <c r="L11" s="17"/>
    </row>
    <row r="12" spans="1:12" ht="12" customHeight="1">
      <c r="A12" s="8" t="s">
        <v>82</v>
      </c>
      <c r="B12" s="9" t="s">
        <v>83</v>
      </c>
      <c r="C12" s="10" t="s">
        <v>84</v>
      </c>
      <c r="D12" s="11" t="s">
        <v>19</v>
      </c>
      <c r="E12" s="12" t="s">
        <v>20</v>
      </c>
      <c r="F12" s="55" t="s">
        <v>44</v>
      </c>
      <c r="G12" s="13" t="s">
        <v>78</v>
      </c>
      <c r="H12" s="13"/>
      <c r="I12" s="13" t="s">
        <v>85</v>
      </c>
      <c r="J12" s="15" t="s">
        <v>86</v>
      </c>
      <c r="K12" s="14" t="s">
        <v>40</v>
      </c>
      <c r="L12" s="17"/>
    </row>
    <row r="13" spans="1:12" ht="12" customHeight="1">
      <c r="A13" s="8" t="s">
        <v>87</v>
      </c>
      <c r="B13" s="9" t="s">
        <v>88</v>
      </c>
      <c r="C13" s="13" t="s">
        <v>89</v>
      </c>
      <c r="D13" s="11" t="s">
        <v>19</v>
      </c>
      <c r="E13" s="12" t="s">
        <v>20</v>
      </c>
      <c r="F13" s="55" t="s">
        <v>44</v>
      </c>
      <c r="G13" s="13" t="s">
        <v>78</v>
      </c>
      <c r="H13" s="13"/>
      <c r="I13" s="13" t="s">
        <v>90</v>
      </c>
      <c r="J13" s="18" t="s">
        <v>91</v>
      </c>
      <c r="K13" s="56" t="s">
        <v>92</v>
      </c>
      <c r="L13" s="17"/>
    </row>
    <row r="14" spans="1:12" ht="12" customHeight="1">
      <c r="A14" s="8" t="s">
        <v>94</v>
      </c>
      <c r="B14" s="9" t="s">
        <v>95</v>
      </c>
      <c r="C14" s="13" t="s">
        <v>96</v>
      </c>
      <c r="D14" s="11" t="s">
        <v>19</v>
      </c>
      <c r="E14" s="12" t="s">
        <v>20</v>
      </c>
      <c r="F14" s="6" t="s">
        <v>21</v>
      </c>
      <c r="G14" s="13"/>
      <c r="H14" s="13"/>
      <c r="I14" s="13" t="s">
        <v>97</v>
      </c>
      <c r="J14" s="18" t="s">
        <v>98</v>
      </c>
      <c r="K14" s="14" t="s">
        <v>40</v>
      </c>
      <c r="L14" s="17"/>
    </row>
    <row r="15" spans="1:12" ht="12" customHeight="1">
      <c r="A15" s="8" t="s">
        <v>79</v>
      </c>
      <c r="B15" s="9" t="s">
        <v>99</v>
      </c>
      <c r="C15" s="13" t="s">
        <v>100</v>
      </c>
      <c r="D15" s="11" t="s">
        <v>19</v>
      </c>
      <c r="E15" s="12" t="s">
        <v>26</v>
      </c>
      <c r="F15" s="36" t="s">
        <v>36</v>
      </c>
      <c r="G15" s="13" t="s">
        <v>101</v>
      </c>
      <c r="H15" s="13" t="s">
        <v>102</v>
      </c>
      <c r="I15" s="13" t="s">
        <v>103</v>
      </c>
      <c r="J15" s="18" t="s">
        <v>104</v>
      </c>
      <c r="K15" s="16" t="s">
        <v>24</v>
      </c>
      <c r="L15" s="17" t="s">
        <v>105</v>
      </c>
    </row>
    <row r="16" spans="1:12" ht="12" customHeight="1">
      <c r="A16" s="25" t="s">
        <v>107</v>
      </c>
      <c r="B16" s="54" t="s">
        <v>108</v>
      </c>
      <c r="C16" s="51" t="s">
        <v>109</v>
      </c>
      <c r="D16" s="46" t="s">
        <v>26</v>
      </c>
      <c r="E16" s="47" t="s">
        <v>26</v>
      </c>
      <c r="F16" s="20" t="s">
        <v>27</v>
      </c>
      <c r="G16" s="49"/>
      <c r="H16" s="49"/>
      <c r="I16" s="51"/>
      <c r="J16" s="50"/>
      <c r="K16" s="51" t="s">
        <v>32</v>
      </c>
      <c r="L16" s="52"/>
    </row>
    <row r="17" spans="1:12" ht="12.75" customHeight="1">
      <c r="A17" s="25" t="s">
        <v>110</v>
      </c>
      <c r="B17" s="27" t="s">
        <v>111</v>
      </c>
      <c r="C17" s="27" t="s">
        <v>112</v>
      </c>
      <c r="D17" s="28" t="s">
        <v>31</v>
      </c>
      <c r="E17" s="28" t="s">
        <v>31</v>
      </c>
      <c r="F17" s="28" t="s">
        <v>21</v>
      </c>
      <c r="G17" s="23"/>
      <c r="H17" s="29"/>
      <c r="I17" s="29"/>
      <c r="J17" s="29"/>
      <c r="K17" s="25" t="s">
        <v>32</v>
      </c>
      <c r="L17" s="29"/>
    </row>
    <row r="18" spans="1:12" ht="12.75" customHeight="1">
      <c r="A18" s="25" t="s">
        <v>113</v>
      </c>
      <c r="B18" s="27" t="s">
        <v>114</v>
      </c>
      <c r="C18" s="27" t="s">
        <v>115</v>
      </c>
      <c r="D18" s="28" t="s">
        <v>26</v>
      </c>
      <c r="E18" s="28" t="s">
        <v>26</v>
      </c>
      <c r="F18" s="30" t="s">
        <v>36</v>
      </c>
      <c r="G18" s="27" t="s">
        <v>116</v>
      </c>
      <c r="H18" s="25" t="s">
        <v>111</v>
      </c>
      <c r="I18" s="29"/>
      <c r="J18" s="29"/>
      <c r="K18" s="25" t="s">
        <v>32</v>
      </c>
      <c r="L18" s="29"/>
    </row>
    <row r="19" spans="1:12" ht="12.75" customHeight="1">
      <c r="A19" s="33" t="s">
        <v>117</v>
      </c>
      <c r="B19" s="34" t="s">
        <v>118</v>
      </c>
      <c r="C19" s="13" t="s">
        <v>35</v>
      </c>
      <c r="D19" s="35" t="s">
        <v>26</v>
      </c>
      <c r="E19" s="35" t="s">
        <v>26</v>
      </c>
      <c r="F19" s="36" t="s">
        <v>36</v>
      </c>
      <c r="G19" s="34" t="s">
        <v>119</v>
      </c>
      <c r="H19" s="8" t="s">
        <v>114</v>
      </c>
      <c r="I19" s="18" t="s">
        <v>120</v>
      </c>
      <c r="J19" s="18" t="s">
        <v>121</v>
      </c>
      <c r="K19" s="8" t="s">
        <v>40</v>
      </c>
      <c r="L19" s="38"/>
    </row>
    <row r="20" spans="1:12" ht="12.75" customHeight="1">
      <c r="A20" s="8" t="s">
        <v>122</v>
      </c>
      <c r="B20" s="34" t="s">
        <v>123</v>
      </c>
      <c r="C20" s="34" t="s">
        <v>43</v>
      </c>
      <c r="D20" s="35" t="s">
        <v>19</v>
      </c>
      <c r="E20" s="35" t="s">
        <v>20</v>
      </c>
      <c r="F20" s="36" t="s">
        <v>44</v>
      </c>
      <c r="G20" s="34" t="s">
        <v>124</v>
      </c>
      <c r="H20" s="38"/>
      <c r="I20" s="18" t="s">
        <v>126</v>
      </c>
      <c r="J20" s="18" t="s">
        <v>127</v>
      </c>
      <c r="K20" s="8" t="s">
        <v>40</v>
      </c>
      <c r="L20" s="38"/>
    </row>
    <row r="21" spans="1:12" ht="12.75" customHeight="1">
      <c r="A21" s="8" t="s">
        <v>128</v>
      </c>
      <c r="B21" s="34" t="s">
        <v>129</v>
      </c>
      <c r="C21" s="34" t="s">
        <v>51</v>
      </c>
      <c r="D21" s="35" t="s">
        <v>19</v>
      </c>
      <c r="E21" s="35" t="s">
        <v>20</v>
      </c>
      <c r="F21" s="35" t="s">
        <v>21</v>
      </c>
      <c r="G21" s="32"/>
      <c r="H21" s="38"/>
      <c r="I21" s="18" t="s">
        <v>130</v>
      </c>
      <c r="J21" s="59" t="s">
        <v>131</v>
      </c>
      <c r="K21" s="8" t="s">
        <v>54</v>
      </c>
      <c r="L21" s="38"/>
    </row>
    <row r="22" spans="1:12" ht="12.75" customHeight="1">
      <c r="A22" s="8" t="s">
        <v>132</v>
      </c>
      <c r="B22" s="34" t="s">
        <v>133</v>
      </c>
      <c r="C22" s="34" t="s">
        <v>57</v>
      </c>
      <c r="D22" s="35" t="s">
        <v>19</v>
      </c>
      <c r="E22" s="35" t="s">
        <v>20</v>
      </c>
      <c r="F22" s="35" t="s">
        <v>21</v>
      </c>
      <c r="G22" s="32"/>
      <c r="H22" s="38"/>
      <c r="I22" s="18" t="s">
        <v>134</v>
      </c>
      <c r="J22" s="18" t="s">
        <v>59</v>
      </c>
      <c r="K22" s="8" t="s">
        <v>40</v>
      </c>
      <c r="L22" s="38"/>
    </row>
    <row r="23" spans="1:12" ht="12.75" customHeight="1">
      <c r="A23" s="8" t="s">
        <v>125</v>
      </c>
      <c r="B23" s="34" t="s">
        <v>135</v>
      </c>
      <c r="C23" s="34" t="s">
        <v>136</v>
      </c>
      <c r="D23" s="35" t="s">
        <v>26</v>
      </c>
      <c r="E23" s="35" t="s">
        <v>26</v>
      </c>
      <c r="F23" s="36" t="s">
        <v>36</v>
      </c>
      <c r="G23" s="34" t="s">
        <v>116</v>
      </c>
      <c r="H23" s="8" t="s">
        <v>114</v>
      </c>
      <c r="I23" s="18" t="s">
        <v>137</v>
      </c>
      <c r="J23" s="18" t="s">
        <v>138</v>
      </c>
      <c r="K23" s="16" t="s">
        <v>24</v>
      </c>
      <c r="L23" s="17" t="s">
        <v>139</v>
      </c>
    </row>
    <row r="24" spans="1:12" ht="12.75" customHeight="1">
      <c r="A24" s="8" t="s">
        <v>140</v>
      </c>
      <c r="B24" s="34" t="s">
        <v>141</v>
      </c>
      <c r="C24" s="34" t="s">
        <v>142</v>
      </c>
      <c r="D24" s="35" t="s">
        <v>26</v>
      </c>
      <c r="E24" s="35" t="s">
        <v>26</v>
      </c>
      <c r="F24" s="36" t="s">
        <v>36</v>
      </c>
      <c r="G24" s="34" t="s">
        <v>116</v>
      </c>
      <c r="H24" s="8" t="s">
        <v>111</v>
      </c>
      <c r="I24" s="18" t="s">
        <v>143</v>
      </c>
      <c r="J24" s="18" t="s">
        <v>144</v>
      </c>
      <c r="K24" s="8" t="s">
        <v>40</v>
      </c>
      <c r="L24" s="38"/>
    </row>
    <row r="25" spans="1:12" ht="12.75" customHeight="1">
      <c r="A25" s="25" t="s">
        <v>145</v>
      </c>
      <c r="B25" s="27" t="s">
        <v>146</v>
      </c>
      <c r="C25" s="27" t="s">
        <v>147</v>
      </c>
      <c r="D25" s="28" t="s">
        <v>19</v>
      </c>
      <c r="E25" s="28" t="s">
        <v>20</v>
      </c>
      <c r="F25" s="28" t="s">
        <v>21</v>
      </c>
      <c r="G25" s="23"/>
      <c r="H25" s="29"/>
      <c r="I25" s="49"/>
      <c r="J25" s="29"/>
      <c r="K25" s="25" t="s">
        <v>32</v>
      </c>
      <c r="L25" s="29"/>
    </row>
    <row r="26" spans="1:12" ht="12.75" customHeight="1">
      <c r="A26" s="8" t="s">
        <v>149</v>
      </c>
      <c r="B26" s="34" t="s">
        <v>150</v>
      </c>
      <c r="C26" s="34" t="s">
        <v>151</v>
      </c>
      <c r="D26" s="35" t="s">
        <v>19</v>
      </c>
      <c r="E26" s="35" t="s">
        <v>26</v>
      </c>
      <c r="F26" s="36" t="s">
        <v>36</v>
      </c>
      <c r="G26" s="34" t="s">
        <v>152</v>
      </c>
      <c r="H26" s="8" t="s">
        <v>146</v>
      </c>
      <c r="I26" s="13" t="s">
        <v>153</v>
      </c>
      <c r="J26" s="8" t="s">
        <v>154</v>
      </c>
      <c r="K26" s="8" t="s">
        <v>24</v>
      </c>
      <c r="L26" s="8" t="s">
        <v>155</v>
      </c>
    </row>
    <row r="27" spans="1:12" ht="12.75" customHeight="1">
      <c r="A27" s="8" t="s">
        <v>156</v>
      </c>
      <c r="B27" s="34" t="s">
        <v>157</v>
      </c>
      <c r="C27" s="34" t="s">
        <v>158</v>
      </c>
      <c r="D27" s="35" t="s">
        <v>19</v>
      </c>
      <c r="E27" s="35" t="s">
        <v>26</v>
      </c>
      <c r="F27" s="36" t="s">
        <v>36</v>
      </c>
      <c r="G27" s="34" t="s">
        <v>152</v>
      </c>
      <c r="H27" s="8" t="s">
        <v>146</v>
      </c>
      <c r="I27" s="13" t="s">
        <v>159</v>
      </c>
      <c r="J27" s="8" t="s">
        <v>160</v>
      </c>
      <c r="K27" s="8" t="s">
        <v>40</v>
      </c>
      <c r="L27" s="38"/>
    </row>
    <row r="28" spans="1:12" ht="12.75" customHeight="1">
      <c r="A28" s="25" t="s">
        <v>161</v>
      </c>
      <c r="B28" s="27" t="s">
        <v>162</v>
      </c>
      <c r="C28" s="27" t="s">
        <v>163</v>
      </c>
      <c r="D28" s="28" t="s">
        <v>19</v>
      </c>
      <c r="E28" s="28" t="s">
        <v>20</v>
      </c>
      <c r="F28" s="28" t="s">
        <v>21</v>
      </c>
      <c r="G28" s="23"/>
      <c r="H28" s="29"/>
      <c r="I28" s="51"/>
      <c r="J28" s="29"/>
      <c r="K28" s="25" t="s">
        <v>32</v>
      </c>
      <c r="L28" s="29"/>
    </row>
    <row r="29" spans="1:12" ht="12.75" customHeight="1">
      <c r="A29" s="8" t="s">
        <v>164</v>
      </c>
      <c r="B29" s="34" t="s">
        <v>165</v>
      </c>
      <c r="C29" s="34" t="s">
        <v>166</v>
      </c>
      <c r="D29" s="35" t="s">
        <v>19</v>
      </c>
      <c r="E29" s="35" t="s">
        <v>26</v>
      </c>
      <c r="F29" s="36" t="s">
        <v>36</v>
      </c>
      <c r="G29" s="34" t="s">
        <v>167</v>
      </c>
      <c r="H29" s="8" t="s">
        <v>162</v>
      </c>
      <c r="I29" s="13" t="s">
        <v>168</v>
      </c>
      <c r="J29" s="8" t="s">
        <v>169</v>
      </c>
      <c r="K29" s="8" t="s">
        <v>24</v>
      </c>
      <c r="L29" s="8" t="s">
        <v>170</v>
      </c>
    </row>
    <row r="30" spans="1:12" ht="12.75" customHeight="1">
      <c r="A30" s="8" t="s">
        <v>171</v>
      </c>
      <c r="B30" s="34" t="s">
        <v>172</v>
      </c>
      <c r="C30" s="34" t="s">
        <v>173</v>
      </c>
      <c r="D30" s="35" t="s">
        <v>19</v>
      </c>
      <c r="E30" s="35" t="s">
        <v>26</v>
      </c>
      <c r="F30" s="36" t="s">
        <v>36</v>
      </c>
      <c r="G30" s="34" t="s">
        <v>167</v>
      </c>
      <c r="H30" s="8" t="s">
        <v>162</v>
      </c>
      <c r="I30" s="13" t="s">
        <v>174</v>
      </c>
      <c r="J30" s="8" t="s">
        <v>175</v>
      </c>
      <c r="K30" s="8" t="s">
        <v>24</v>
      </c>
      <c r="L30" s="8" t="s">
        <v>176</v>
      </c>
    </row>
    <row r="31" spans="1:12" ht="12.75" customHeight="1">
      <c r="A31" s="63" t="s">
        <v>177</v>
      </c>
      <c r="B31" s="64" t="s">
        <v>178</v>
      </c>
      <c r="C31" s="65" t="s">
        <v>179</v>
      </c>
      <c r="D31" s="66" t="s">
        <v>19</v>
      </c>
      <c r="E31" s="67" t="s">
        <v>20</v>
      </c>
      <c r="F31" s="67" t="s">
        <v>21</v>
      </c>
      <c r="G31" s="68"/>
      <c r="H31" s="68"/>
      <c r="I31" s="68" t="s">
        <v>180</v>
      </c>
      <c r="J31" s="70" t="s">
        <v>181</v>
      </c>
      <c r="K31" s="70" t="s">
        <v>40</v>
      </c>
      <c r="L31" s="71"/>
    </row>
    <row r="32" spans="1:12" ht="12.75" customHeight="1">
      <c r="A32" s="25" t="s">
        <v>182</v>
      </c>
      <c r="B32" s="54" t="s">
        <v>183</v>
      </c>
      <c r="C32" s="51" t="s">
        <v>184</v>
      </c>
      <c r="D32" s="46" t="s">
        <v>26</v>
      </c>
      <c r="E32" s="47" t="s">
        <v>26</v>
      </c>
      <c r="F32" s="20" t="s">
        <v>27</v>
      </c>
      <c r="G32" s="49"/>
      <c r="H32" s="49"/>
      <c r="I32" s="51"/>
      <c r="J32" s="50"/>
      <c r="K32" s="51" t="s">
        <v>32</v>
      </c>
      <c r="L32" s="52"/>
    </row>
    <row r="33" spans="1:12" ht="12.75" customHeight="1">
      <c r="A33" s="73" t="s">
        <v>185</v>
      </c>
      <c r="B33" s="22" t="s">
        <v>186</v>
      </c>
      <c r="C33" s="13" t="s">
        <v>187</v>
      </c>
      <c r="D33" s="11" t="s">
        <v>26</v>
      </c>
      <c r="E33" s="12" t="s">
        <v>26</v>
      </c>
      <c r="F33" s="20" t="s">
        <v>27</v>
      </c>
      <c r="G33" s="13"/>
      <c r="H33" s="13"/>
      <c r="I33" s="13" t="s">
        <v>188</v>
      </c>
      <c r="J33" s="18" t="s">
        <v>189</v>
      </c>
      <c r="K33" s="14" t="s">
        <v>40</v>
      </c>
      <c r="L33" s="17"/>
    </row>
    <row r="34" spans="1:12" ht="12" customHeight="1">
      <c r="A34" s="8" t="s">
        <v>190</v>
      </c>
      <c r="B34" s="7" t="s">
        <v>191</v>
      </c>
      <c r="C34" s="15" t="s">
        <v>192</v>
      </c>
      <c r="D34" s="11" t="s">
        <v>19</v>
      </c>
      <c r="E34" s="12" t="s">
        <v>20</v>
      </c>
      <c r="F34" s="55" t="s">
        <v>44</v>
      </c>
      <c r="G34" s="13" t="s">
        <v>193</v>
      </c>
      <c r="H34" s="13"/>
      <c r="I34" s="18" t="s">
        <v>194</v>
      </c>
      <c r="J34" s="18" t="s">
        <v>195</v>
      </c>
      <c r="K34" s="14" t="s">
        <v>40</v>
      </c>
      <c r="L34" s="17"/>
    </row>
    <row r="35" spans="1:12" ht="12" customHeight="1">
      <c r="A35" s="8" t="s">
        <v>196</v>
      </c>
      <c r="B35" s="7" t="s">
        <v>197</v>
      </c>
      <c r="C35" s="15" t="s">
        <v>198</v>
      </c>
      <c r="D35" s="11" t="s">
        <v>19</v>
      </c>
      <c r="E35" s="12" t="s">
        <v>20</v>
      </c>
      <c r="F35" s="6" t="s">
        <v>21</v>
      </c>
      <c r="G35" s="13"/>
      <c r="H35" s="13"/>
      <c r="I35" s="18" t="s">
        <v>199</v>
      </c>
      <c r="J35" s="74" t="s">
        <v>200</v>
      </c>
      <c r="K35" s="13" t="s">
        <v>54</v>
      </c>
      <c r="L35" s="17"/>
    </row>
    <row r="36" spans="1:12" ht="12" customHeight="1">
      <c r="A36" s="8" t="s">
        <v>201</v>
      </c>
      <c r="B36" s="7" t="s">
        <v>202</v>
      </c>
      <c r="C36" s="15" t="s">
        <v>57</v>
      </c>
      <c r="D36" s="11" t="s">
        <v>19</v>
      </c>
      <c r="E36" s="12" t="s">
        <v>20</v>
      </c>
      <c r="F36" s="6" t="s">
        <v>21</v>
      </c>
      <c r="G36" s="13"/>
      <c r="H36" s="13"/>
      <c r="I36" s="18" t="s">
        <v>134</v>
      </c>
      <c r="J36" s="18" t="s">
        <v>203</v>
      </c>
      <c r="K36" s="14" t="s">
        <v>40</v>
      </c>
      <c r="L36" s="17"/>
    </row>
    <row r="37" spans="1:12" ht="12.75" customHeight="1">
      <c r="A37" s="73" t="s">
        <v>204</v>
      </c>
      <c r="B37" s="22" t="s">
        <v>205</v>
      </c>
      <c r="C37" s="14" t="s">
        <v>206</v>
      </c>
      <c r="D37" s="11" t="s">
        <v>26</v>
      </c>
      <c r="E37" s="12" t="s">
        <v>26</v>
      </c>
      <c r="F37" s="20" t="s">
        <v>27</v>
      </c>
      <c r="G37" s="13"/>
      <c r="H37" s="13"/>
      <c r="I37" s="18" t="s">
        <v>137</v>
      </c>
      <c r="J37" s="18" t="s">
        <v>207</v>
      </c>
      <c r="K37" s="14" t="s">
        <v>24</v>
      </c>
      <c r="L37" s="17" t="s">
        <v>208</v>
      </c>
    </row>
    <row r="38" spans="1:12" ht="12.75" customHeight="1">
      <c r="A38" s="63" t="s">
        <v>209</v>
      </c>
      <c r="B38" s="69" t="s">
        <v>210</v>
      </c>
      <c r="C38" s="68" t="s">
        <v>211</v>
      </c>
      <c r="D38" s="66" t="s">
        <v>19</v>
      </c>
      <c r="E38" s="67" t="s">
        <v>20</v>
      </c>
      <c r="F38" s="6" t="s">
        <v>21</v>
      </c>
      <c r="G38" s="68"/>
      <c r="H38" s="68"/>
      <c r="I38" s="65" t="s">
        <v>212</v>
      </c>
      <c r="J38" s="70" t="s">
        <v>213</v>
      </c>
      <c r="K38" s="65" t="s">
        <v>40</v>
      </c>
      <c r="L38" s="71"/>
    </row>
    <row r="39" spans="1:12" ht="12.75" customHeight="1">
      <c r="A39" s="63" t="s">
        <v>214</v>
      </c>
      <c r="B39" s="75" t="s">
        <v>215</v>
      </c>
      <c r="C39" s="68" t="s">
        <v>216</v>
      </c>
      <c r="D39" s="66" t="s">
        <v>19</v>
      </c>
      <c r="E39" s="67" t="s">
        <v>31</v>
      </c>
      <c r="F39" s="6" t="s">
        <v>21</v>
      </c>
      <c r="G39" s="68"/>
      <c r="H39" s="68"/>
      <c r="I39" s="65" t="s">
        <v>217</v>
      </c>
      <c r="J39" s="70" t="s">
        <v>218</v>
      </c>
      <c r="K39" s="65" t="s">
        <v>219</v>
      </c>
      <c r="L39" s="71"/>
    </row>
    <row r="40" spans="1:12" ht="12.75" customHeight="1">
      <c r="A40" s="63" t="s">
        <v>220</v>
      </c>
      <c r="B40" s="69" t="s">
        <v>221</v>
      </c>
      <c r="C40" s="68" t="s">
        <v>222</v>
      </c>
      <c r="D40" s="66" t="s">
        <v>19</v>
      </c>
      <c r="E40" s="67" t="s">
        <v>20</v>
      </c>
      <c r="F40" s="6" t="s">
        <v>21</v>
      </c>
      <c r="G40" s="68"/>
      <c r="H40" s="68"/>
      <c r="I40" s="65" t="s">
        <v>223</v>
      </c>
      <c r="J40" s="70" t="s">
        <v>224</v>
      </c>
      <c r="K40" s="65" t="s">
        <v>40</v>
      </c>
      <c r="L40" s="71"/>
    </row>
    <row r="41" spans="1:12" ht="12.75" customHeight="1">
      <c r="A41" s="73" t="s">
        <v>225</v>
      </c>
      <c r="B41" s="9" t="s">
        <v>226</v>
      </c>
      <c r="C41" s="13" t="s">
        <v>227</v>
      </c>
      <c r="D41" s="11" t="s">
        <v>26</v>
      </c>
      <c r="E41" s="12" t="s">
        <v>26</v>
      </c>
      <c r="F41" s="20" t="s">
        <v>27</v>
      </c>
      <c r="G41" s="13"/>
      <c r="H41" s="13"/>
      <c r="I41" s="13" t="s">
        <v>228</v>
      </c>
      <c r="J41" s="18" t="s">
        <v>229</v>
      </c>
      <c r="K41" s="14" t="s">
        <v>40</v>
      </c>
      <c r="L41" s="17"/>
    </row>
    <row r="42" spans="1:12" ht="12.75" customHeight="1">
      <c r="A42" s="73" t="s">
        <v>230</v>
      </c>
      <c r="B42" s="9" t="s">
        <v>231</v>
      </c>
      <c r="C42" s="13" t="s">
        <v>232</v>
      </c>
      <c r="D42" s="11" t="s">
        <v>26</v>
      </c>
      <c r="E42" s="12" t="s">
        <v>26</v>
      </c>
      <c r="F42" s="20" t="s">
        <v>27</v>
      </c>
      <c r="G42" s="13"/>
      <c r="H42" s="13"/>
      <c r="I42" s="13" t="s">
        <v>233</v>
      </c>
      <c r="J42" s="18" t="s">
        <v>234</v>
      </c>
      <c r="K42" s="14" t="s">
        <v>40</v>
      </c>
      <c r="L42" s="17"/>
    </row>
    <row r="43" spans="1:12" ht="12.75" customHeight="1">
      <c r="A43" s="63" t="s">
        <v>235</v>
      </c>
      <c r="B43" s="69" t="s">
        <v>236</v>
      </c>
      <c r="C43" s="68" t="s">
        <v>237</v>
      </c>
      <c r="D43" s="66" t="s">
        <v>19</v>
      </c>
      <c r="E43" s="67" t="s">
        <v>20</v>
      </c>
      <c r="F43" s="6" t="s">
        <v>21</v>
      </c>
      <c r="G43" s="68"/>
      <c r="H43" s="68"/>
      <c r="I43" s="65" t="s">
        <v>238</v>
      </c>
      <c r="J43" s="70" t="s">
        <v>239</v>
      </c>
      <c r="K43" s="65" t="s">
        <v>40</v>
      </c>
      <c r="L43" s="71"/>
    </row>
    <row r="44" spans="1:12" ht="12.75" customHeight="1">
      <c r="A44" s="63" t="s">
        <v>240</v>
      </c>
      <c r="B44" s="69" t="s">
        <v>241</v>
      </c>
      <c r="C44" s="68" t="s">
        <v>242</v>
      </c>
      <c r="D44" s="66" t="s">
        <v>19</v>
      </c>
      <c r="E44" s="67" t="s">
        <v>20</v>
      </c>
      <c r="F44" s="6" t="s">
        <v>21</v>
      </c>
      <c r="G44" s="68"/>
      <c r="H44" s="68"/>
      <c r="I44" s="65" t="s">
        <v>243</v>
      </c>
      <c r="J44" s="71" t="s">
        <v>244</v>
      </c>
      <c r="K44" s="65" t="s">
        <v>40</v>
      </c>
      <c r="L44" s="76"/>
    </row>
    <row r="45" spans="1:12" ht="12.75" customHeight="1">
      <c r="A45" s="63" t="s">
        <v>245</v>
      </c>
      <c r="B45" s="69" t="s">
        <v>246</v>
      </c>
      <c r="C45" s="68" t="s">
        <v>247</v>
      </c>
      <c r="D45" s="66" t="s">
        <v>19</v>
      </c>
      <c r="E45" s="67" t="s">
        <v>20</v>
      </c>
      <c r="F45" s="6" t="s">
        <v>21</v>
      </c>
      <c r="G45" s="68"/>
      <c r="H45" s="68"/>
      <c r="I45" s="65" t="s">
        <v>248</v>
      </c>
      <c r="J45" s="70" t="s">
        <v>249</v>
      </c>
      <c r="K45" s="65" t="s">
        <v>24</v>
      </c>
      <c r="L45" s="71" t="s">
        <v>250</v>
      </c>
    </row>
    <row r="46" spans="1:12" ht="12.75" customHeight="1">
      <c r="A46" s="63" t="s">
        <v>251</v>
      </c>
      <c r="B46" s="69" t="s">
        <v>252</v>
      </c>
      <c r="C46" s="68" t="s">
        <v>253</v>
      </c>
      <c r="D46" s="66" t="s">
        <v>19</v>
      </c>
      <c r="E46" s="67" t="s">
        <v>31</v>
      </c>
      <c r="F46" s="6" t="s">
        <v>21</v>
      </c>
      <c r="G46" s="68"/>
      <c r="H46" s="68"/>
      <c r="I46" s="65" t="s">
        <v>254</v>
      </c>
      <c r="J46" s="70" t="s">
        <v>255</v>
      </c>
      <c r="K46" s="65" t="s">
        <v>219</v>
      </c>
      <c r="L46" s="71"/>
    </row>
    <row r="47" spans="1:12" ht="12.75" customHeight="1">
      <c r="A47" s="63" t="s">
        <v>256</v>
      </c>
      <c r="B47" s="69" t="s">
        <v>257</v>
      </c>
      <c r="C47" s="68" t="s">
        <v>258</v>
      </c>
      <c r="D47" s="66" t="s">
        <v>19</v>
      </c>
      <c r="E47" s="67" t="s">
        <v>20</v>
      </c>
      <c r="F47" s="6" t="s">
        <v>21</v>
      </c>
      <c r="G47" s="68"/>
      <c r="H47" s="68"/>
      <c r="I47" s="65" t="s">
        <v>259</v>
      </c>
      <c r="J47" s="77" t="s">
        <v>260</v>
      </c>
      <c r="K47" s="65" t="s">
        <v>54</v>
      </c>
      <c r="L47" s="71"/>
    </row>
    <row r="48" spans="1:12" ht="12.75" customHeight="1">
      <c r="A48" s="25" t="s">
        <v>261</v>
      </c>
      <c r="B48" s="44" t="s">
        <v>262</v>
      </c>
      <c r="C48" s="49" t="s">
        <v>263</v>
      </c>
      <c r="D48" s="46" t="s">
        <v>31</v>
      </c>
      <c r="E48" s="47" t="s">
        <v>31</v>
      </c>
      <c r="F48" s="46" t="s">
        <v>21</v>
      </c>
      <c r="G48" s="49"/>
      <c r="H48" s="49"/>
      <c r="I48" s="51"/>
      <c r="J48" s="50"/>
      <c r="K48" s="49" t="s">
        <v>264</v>
      </c>
      <c r="L48" s="52"/>
    </row>
    <row r="49" spans="1:12" ht="12" customHeight="1">
      <c r="A49" s="25" t="s">
        <v>266</v>
      </c>
      <c r="B49" s="44" t="s">
        <v>267</v>
      </c>
      <c r="C49" s="49" t="s">
        <v>268</v>
      </c>
      <c r="D49" s="46" t="s">
        <v>31</v>
      </c>
      <c r="E49" s="47" t="s">
        <v>31</v>
      </c>
      <c r="F49" s="46" t="s">
        <v>21</v>
      </c>
      <c r="G49" s="49"/>
      <c r="H49" s="49"/>
      <c r="I49" s="49"/>
      <c r="J49" s="50"/>
      <c r="K49" s="49" t="s">
        <v>264</v>
      </c>
      <c r="L49" s="52"/>
    </row>
    <row r="50" spans="1:12" ht="12" customHeight="1">
      <c r="A50" s="25" t="s">
        <v>269</v>
      </c>
      <c r="B50" s="44" t="s">
        <v>270</v>
      </c>
      <c r="C50" s="49" t="s">
        <v>115</v>
      </c>
      <c r="D50" s="46" t="s">
        <v>26</v>
      </c>
      <c r="E50" s="47" t="s">
        <v>26</v>
      </c>
      <c r="F50" s="80" t="s">
        <v>36</v>
      </c>
      <c r="G50" s="49" t="s">
        <v>271</v>
      </c>
      <c r="H50" s="49" t="s">
        <v>267</v>
      </c>
      <c r="I50" s="51"/>
      <c r="J50" s="50"/>
      <c r="K50" s="49" t="s">
        <v>264</v>
      </c>
      <c r="L50" s="52"/>
    </row>
    <row r="51" spans="1:12" ht="12" customHeight="1">
      <c r="A51" s="8" t="s">
        <v>272</v>
      </c>
      <c r="B51" s="7" t="s">
        <v>273</v>
      </c>
      <c r="C51" s="13" t="s">
        <v>35</v>
      </c>
      <c r="D51" s="11" t="s">
        <v>26</v>
      </c>
      <c r="E51" s="12" t="s">
        <v>26</v>
      </c>
      <c r="F51" s="55" t="s">
        <v>36</v>
      </c>
      <c r="G51" s="13" t="s">
        <v>274</v>
      </c>
      <c r="H51" s="13" t="s">
        <v>270</v>
      </c>
      <c r="I51" s="18" t="s">
        <v>275</v>
      </c>
      <c r="J51" s="18" t="s">
        <v>121</v>
      </c>
      <c r="K51" s="14" t="s">
        <v>40</v>
      </c>
      <c r="L51" s="17"/>
    </row>
    <row r="52" spans="1:12" ht="12" customHeight="1">
      <c r="A52" s="8" t="s">
        <v>276</v>
      </c>
      <c r="B52" s="7" t="s">
        <v>277</v>
      </c>
      <c r="C52" s="15" t="s">
        <v>278</v>
      </c>
      <c r="D52" s="11" t="s">
        <v>19</v>
      </c>
      <c r="E52" s="12" t="s">
        <v>20</v>
      </c>
      <c r="F52" s="55" t="s">
        <v>44</v>
      </c>
      <c r="G52" s="13" t="s">
        <v>279</v>
      </c>
      <c r="H52" s="13"/>
      <c r="I52" s="18" t="s">
        <v>126</v>
      </c>
      <c r="J52" s="18" t="s">
        <v>127</v>
      </c>
      <c r="K52" s="14" t="s">
        <v>40</v>
      </c>
      <c r="L52" s="17"/>
    </row>
    <row r="53" spans="1:12" ht="12" customHeight="1">
      <c r="A53" s="8" t="s">
        <v>281</v>
      </c>
      <c r="B53" s="7" t="s">
        <v>282</v>
      </c>
      <c r="C53" s="15" t="s">
        <v>51</v>
      </c>
      <c r="D53" s="11" t="s">
        <v>19</v>
      </c>
      <c r="E53" s="12" t="s">
        <v>20</v>
      </c>
      <c r="F53" s="6" t="s">
        <v>21</v>
      </c>
      <c r="G53" s="13"/>
      <c r="H53" s="13"/>
      <c r="I53" s="18" t="s">
        <v>130</v>
      </c>
      <c r="J53" s="59" t="s">
        <v>131</v>
      </c>
      <c r="K53" s="13" t="s">
        <v>54</v>
      </c>
      <c r="L53" s="17"/>
    </row>
    <row r="54" spans="1:12" ht="12" customHeight="1">
      <c r="A54" s="8" t="s">
        <v>283</v>
      </c>
      <c r="B54" s="7" t="s">
        <v>284</v>
      </c>
      <c r="C54" s="15" t="s">
        <v>57</v>
      </c>
      <c r="D54" s="11" t="s">
        <v>19</v>
      </c>
      <c r="E54" s="12" t="s">
        <v>20</v>
      </c>
      <c r="F54" s="6" t="s">
        <v>21</v>
      </c>
      <c r="G54" s="13"/>
      <c r="H54" s="13"/>
      <c r="I54" s="18" t="s">
        <v>134</v>
      </c>
      <c r="J54" s="18" t="s">
        <v>59</v>
      </c>
      <c r="K54" s="14" t="s">
        <v>40</v>
      </c>
      <c r="L54" s="17"/>
    </row>
    <row r="55" spans="1:12" ht="12" customHeight="1">
      <c r="A55" s="8" t="s">
        <v>280</v>
      </c>
      <c r="B55" s="7" t="s">
        <v>285</v>
      </c>
      <c r="C55" s="15" t="s">
        <v>286</v>
      </c>
      <c r="D55" s="11" t="s">
        <v>26</v>
      </c>
      <c r="E55" s="12" t="s">
        <v>26</v>
      </c>
      <c r="F55" s="55" t="s">
        <v>36</v>
      </c>
      <c r="G55" s="13" t="s">
        <v>287</v>
      </c>
      <c r="H55" s="13" t="s">
        <v>270</v>
      </c>
      <c r="I55" s="18" t="s">
        <v>137</v>
      </c>
      <c r="J55" s="18" t="s">
        <v>138</v>
      </c>
      <c r="K55" s="16" t="s">
        <v>24</v>
      </c>
      <c r="L55" s="17" t="s">
        <v>139</v>
      </c>
    </row>
    <row r="56" spans="1:12" ht="12" customHeight="1">
      <c r="A56" s="8" t="s">
        <v>288</v>
      </c>
      <c r="B56" s="7" t="s">
        <v>289</v>
      </c>
      <c r="C56" s="15" t="s">
        <v>290</v>
      </c>
      <c r="D56" s="11" t="s">
        <v>26</v>
      </c>
      <c r="E56" s="12" t="s">
        <v>26</v>
      </c>
      <c r="F56" s="55" t="s">
        <v>36</v>
      </c>
      <c r="G56" s="13" t="s">
        <v>287</v>
      </c>
      <c r="H56" s="13" t="s">
        <v>267</v>
      </c>
      <c r="I56" s="18" t="s">
        <v>143</v>
      </c>
      <c r="J56" s="18" t="s">
        <v>144</v>
      </c>
      <c r="K56" s="14" t="s">
        <v>40</v>
      </c>
      <c r="L56" s="17"/>
    </row>
    <row r="57" spans="1:12" ht="12" customHeight="1">
      <c r="A57" s="25" t="s">
        <v>291</v>
      </c>
      <c r="B57" s="44" t="s">
        <v>292</v>
      </c>
      <c r="C57" s="49" t="s">
        <v>293</v>
      </c>
      <c r="D57" s="46" t="s">
        <v>19</v>
      </c>
      <c r="E57" s="47" t="s">
        <v>20</v>
      </c>
      <c r="F57" s="80" t="s">
        <v>21</v>
      </c>
      <c r="G57" s="49"/>
      <c r="H57" s="49"/>
      <c r="I57" s="49"/>
      <c r="J57" s="50"/>
      <c r="K57" s="49" t="s">
        <v>264</v>
      </c>
      <c r="L57" s="52"/>
    </row>
    <row r="58" spans="1:12" ht="12" customHeight="1">
      <c r="A58" s="8" t="s">
        <v>294</v>
      </c>
      <c r="B58" s="9" t="s">
        <v>295</v>
      </c>
      <c r="C58" s="13" t="s">
        <v>151</v>
      </c>
      <c r="D58" s="11" t="s">
        <v>19</v>
      </c>
      <c r="E58" s="12" t="s">
        <v>26</v>
      </c>
      <c r="F58" s="55" t="s">
        <v>36</v>
      </c>
      <c r="G58" s="13" t="s">
        <v>152</v>
      </c>
      <c r="H58" s="13" t="s">
        <v>292</v>
      </c>
      <c r="I58" s="13" t="s">
        <v>296</v>
      </c>
      <c r="J58" s="8" t="s">
        <v>154</v>
      </c>
      <c r="K58" s="14" t="s">
        <v>24</v>
      </c>
      <c r="L58" s="17" t="s">
        <v>155</v>
      </c>
    </row>
    <row r="59" spans="1:12" ht="12" customHeight="1">
      <c r="A59" s="8" t="s">
        <v>297</v>
      </c>
      <c r="B59" s="9" t="s">
        <v>298</v>
      </c>
      <c r="C59" s="13" t="s">
        <v>158</v>
      </c>
      <c r="D59" s="11" t="s">
        <v>19</v>
      </c>
      <c r="E59" s="12" t="s">
        <v>26</v>
      </c>
      <c r="F59" s="55" t="s">
        <v>36</v>
      </c>
      <c r="G59" s="13" t="s">
        <v>152</v>
      </c>
      <c r="H59" s="13" t="s">
        <v>292</v>
      </c>
      <c r="I59" s="13" t="s">
        <v>299</v>
      </c>
      <c r="J59" s="8" t="s">
        <v>160</v>
      </c>
      <c r="K59" s="14" t="s">
        <v>40</v>
      </c>
      <c r="L59" s="17"/>
    </row>
    <row r="60" spans="1:12" ht="12" customHeight="1">
      <c r="A60" s="25" t="s">
        <v>300</v>
      </c>
      <c r="B60" s="44" t="s">
        <v>301</v>
      </c>
      <c r="C60" s="49" t="s">
        <v>302</v>
      </c>
      <c r="D60" s="46" t="s">
        <v>19</v>
      </c>
      <c r="E60" s="47" t="s">
        <v>20</v>
      </c>
      <c r="F60" s="46" t="s">
        <v>21</v>
      </c>
      <c r="G60" s="82"/>
      <c r="H60" s="49"/>
      <c r="I60" s="51"/>
      <c r="J60" s="29"/>
      <c r="K60" s="51" t="s">
        <v>32</v>
      </c>
      <c r="L60" s="52"/>
    </row>
    <row r="61" spans="1:12" ht="12" customHeight="1">
      <c r="A61" s="8" t="s">
        <v>303</v>
      </c>
      <c r="B61" s="9" t="s">
        <v>304</v>
      </c>
      <c r="C61" s="13" t="s">
        <v>166</v>
      </c>
      <c r="D61" s="11" t="s">
        <v>19</v>
      </c>
      <c r="E61" s="12" t="s">
        <v>26</v>
      </c>
      <c r="F61" s="55" t="s">
        <v>36</v>
      </c>
      <c r="G61" s="13" t="s">
        <v>167</v>
      </c>
      <c r="H61" s="13" t="s">
        <v>301</v>
      </c>
      <c r="I61" s="13" t="s">
        <v>305</v>
      </c>
      <c r="J61" s="8" t="s">
        <v>169</v>
      </c>
      <c r="K61" s="14" t="s">
        <v>24</v>
      </c>
      <c r="L61" s="17" t="s">
        <v>170</v>
      </c>
    </row>
    <row r="62" spans="1:12" ht="12" customHeight="1">
      <c r="A62" s="8" t="s">
        <v>306</v>
      </c>
      <c r="B62" s="9" t="s">
        <v>307</v>
      </c>
      <c r="C62" s="13" t="s">
        <v>308</v>
      </c>
      <c r="D62" s="11" t="s">
        <v>19</v>
      </c>
      <c r="E62" s="12" t="s">
        <v>26</v>
      </c>
      <c r="F62" s="55" t="s">
        <v>36</v>
      </c>
      <c r="G62" s="13" t="s">
        <v>167</v>
      </c>
      <c r="H62" s="13" t="s">
        <v>301</v>
      </c>
      <c r="I62" s="13" t="s">
        <v>309</v>
      </c>
      <c r="J62" s="8" t="s">
        <v>175</v>
      </c>
      <c r="K62" s="14" t="s">
        <v>24</v>
      </c>
      <c r="L62" s="17" t="s">
        <v>176</v>
      </c>
    </row>
    <row r="63" spans="1:12" ht="12" customHeight="1">
      <c r="A63" s="63" t="s">
        <v>310</v>
      </c>
      <c r="B63" s="69" t="s">
        <v>311</v>
      </c>
      <c r="C63" s="68" t="s">
        <v>312</v>
      </c>
      <c r="D63" s="66" t="s">
        <v>19</v>
      </c>
      <c r="E63" s="67" t="s">
        <v>20</v>
      </c>
      <c r="F63" s="66" t="s">
        <v>21</v>
      </c>
      <c r="G63" s="68"/>
      <c r="H63" s="68"/>
      <c r="I63" s="68" t="s">
        <v>313</v>
      </c>
      <c r="J63" s="70" t="s">
        <v>314</v>
      </c>
      <c r="K63" s="71" t="s">
        <v>40</v>
      </c>
      <c r="L63" s="71"/>
    </row>
    <row r="64" spans="1:12" ht="12" customHeight="1">
      <c r="A64" s="84" t="s">
        <v>315</v>
      </c>
      <c r="B64" s="44" t="s">
        <v>316</v>
      </c>
      <c r="C64" s="49" t="s">
        <v>317</v>
      </c>
      <c r="D64" s="46" t="s">
        <v>26</v>
      </c>
      <c r="E64" s="47" t="s">
        <v>26</v>
      </c>
      <c r="F64" s="85" t="s">
        <v>36</v>
      </c>
      <c r="G64" s="25" t="s">
        <v>318</v>
      </c>
      <c r="H64" s="25" t="s">
        <v>319</v>
      </c>
      <c r="I64" s="49"/>
      <c r="J64" s="50"/>
      <c r="K64" s="51" t="s">
        <v>32</v>
      </c>
      <c r="L64" s="52"/>
    </row>
    <row r="65" spans="1:12" ht="12" customHeight="1">
      <c r="A65" s="73" t="s">
        <v>320</v>
      </c>
      <c r="B65" s="9" t="s">
        <v>321</v>
      </c>
      <c r="C65" s="13" t="s">
        <v>322</v>
      </c>
      <c r="D65" s="11" t="s">
        <v>26</v>
      </c>
      <c r="E65" s="12" t="s">
        <v>26</v>
      </c>
      <c r="F65" s="87" t="s">
        <v>36</v>
      </c>
      <c r="G65" s="8" t="s">
        <v>323</v>
      </c>
      <c r="H65" s="8" t="s">
        <v>316</v>
      </c>
      <c r="I65" s="13" t="s">
        <v>324</v>
      </c>
      <c r="J65" s="18" t="s">
        <v>325</v>
      </c>
      <c r="K65" s="14" t="s">
        <v>40</v>
      </c>
      <c r="L65" s="17"/>
    </row>
    <row r="66" spans="1:12" ht="12" customHeight="1">
      <c r="A66" s="8" t="s">
        <v>326</v>
      </c>
      <c r="B66" s="7" t="s">
        <v>327</v>
      </c>
      <c r="C66" s="15" t="s">
        <v>328</v>
      </c>
      <c r="D66" s="11" t="s">
        <v>19</v>
      </c>
      <c r="E66" s="12" t="s">
        <v>20</v>
      </c>
      <c r="F66" s="55" t="s">
        <v>44</v>
      </c>
      <c r="G66" s="13" t="s">
        <v>329</v>
      </c>
      <c r="H66" s="13"/>
      <c r="I66" s="18" t="s">
        <v>331</v>
      </c>
      <c r="J66" s="18" t="s">
        <v>195</v>
      </c>
      <c r="K66" s="14" t="s">
        <v>40</v>
      </c>
      <c r="L66" s="17"/>
    </row>
    <row r="67" spans="1:12" ht="12" customHeight="1">
      <c r="A67" s="8" t="s">
        <v>332</v>
      </c>
      <c r="B67" s="7" t="s">
        <v>333</v>
      </c>
      <c r="C67" s="15" t="s">
        <v>334</v>
      </c>
      <c r="D67" s="11" t="s">
        <v>19</v>
      </c>
      <c r="E67" s="12" t="s">
        <v>20</v>
      </c>
      <c r="F67" s="6" t="s">
        <v>21</v>
      </c>
      <c r="G67" s="13"/>
      <c r="H67" s="13"/>
      <c r="I67" s="18" t="s">
        <v>335</v>
      </c>
      <c r="J67" s="74" t="s">
        <v>200</v>
      </c>
      <c r="K67" s="13" t="s">
        <v>54</v>
      </c>
      <c r="L67" s="17"/>
    </row>
    <row r="68" spans="1:12" ht="12" customHeight="1">
      <c r="A68" s="8" t="s">
        <v>336</v>
      </c>
      <c r="B68" s="7" t="s">
        <v>337</v>
      </c>
      <c r="C68" s="15" t="s">
        <v>338</v>
      </c>
      <c r="D68" s="11" t="s">
        <v>19</v>
      </c>
      <c r="E68" s="12" t="s">
        <v>20</v>
      </c>
      <c r="F68" s="6" t="s">
        <v>21</v>
      </c>
      <c r="G68" s="13"/>
      <c r="H68" s="13"/>
      <c r="I68" s="18" t="s">
        <v>134</v>
      </c>
      <c r="J68" s="18" t="s">
        <v>203</v>
      </c>
      <c r="K68" s="14" t="s">
        <v>40</v>
      </c>
      <c r="L68" s="17"/>
    </row>
    <row r="69" spans="1:12" ht="12.75" customHeight="1">
      <c r="A69" s="73" t="s">
        <v>339</v>
      </c>
      <c r="B69" s="9" t="s">
        <v>340</v>
      </c>
      <c r="C69" s="13" t="s">
        <v>341</v>
      </c>
      <c r="D69" s="11" t="s">
        <v>26</v>
      </c>
      <c r="E69" s="12" t="s">
        <v>26</v>
      </c>
      <c r="F69" s="85" t="s">
        <v>36</v>
      </c>
      <c r="G69" s="8" t="s">
        <v>323</v>
      </c>
      <c r="H69" s="13"/>
      <c r="I69" s="13" t="s">
        <v>342</v>
      </c>
      <c r="J69" s="88" t="s">
        <v>343</v>
      </c>
      <c r="K69" s="16" t="s">
        <v>24</v>
      </c>
      <c r="L69" s="17" t="s">
        <v>208</v>
      </c>
    </row>
    <row r="70" spans="1:12" ht="12" customHeight="1">
      <c r="A70" s="63" t="s">
        <v>344</v>
      </c>
      <c r="B70" s="69" t="s">
        <v>345</v>
      </c>
      <c r="C70" s="68" t="s">
        <v>346</v>
      </c>
      <c r="D70" s="66" t="s">
        <v>19</v>
      </c>
      <c r="E70" s="67" t="s">
        <v>20</v>
      </c>
      <c r="F70" s="66" t="s">
        <v>21</v>
      </c>
      <c r="G70" s="68"/>
      <c r="H70" s="68"/>
      <c r="I70" s="65" t="s">
        <v>347</v>
      </c>
      <c r="J70" s="70" t="s">
        <v>348</v>
      </c>
      <c r="K70" s="65" t="s">
        <v>40</v>
      </c>
      <c r="L70" s="71"/>
    </row>
    <row r="71" spans="1:12" ht="12" customHeight="1">
      <c r="A71" s="63" t="s">
        <v>349</v>
      </c>
      <c r="B71" s="69" t="s">
        <v>350</v>
      </c>
      <c r="C71" s="68" t="s">
        <v>351</v>
      </c>
      <c r="D71" s="66" t="s">
        <v>19</v>
      </c>
      <c r="E71" s="67" t="s">
        <v>31</v>
      </c>
      <c r="F71" s="66" t="s">
        <v>21</v>
      </c>
      <c r="G71" s="68"/>
      <c r="H71" s="68"/>
      <c r="I71" s="65" t="s">
        <v>352</v>
      </c>
      <c r="J71" s="70" t="s">
        <v>353</v>
      </c>
      <c r="K71" s="65" t="s">
        <v>219</v>
      </c>
      <c r="L71" s="71"/>
    </row>
    <row r="72" spans="1:12" ht="12" customHeight="1">
      <c r="A72" s="63" t="s">
        <v>354</v>
      </c>
      <c r="B72" s="69" t="s">
        <v>355</v>
      </c>
      <c r="C72" s="68" t="s">
        <v>356</v>
      </c>
      <c r="D72" s="66" t="s">
        <v>19</v>
      </c>
      <c r="E72" s="67" t="s">
        <v>20</v>
      </c>
      <c r="F72" s="66" t="s">
        <v>21</v>
      </c>
      <c r="G72" s="68"/>
      <c r="H72" s="68"/>
      <c r="I72" s="65" t="s">
        <v>357</v>
      </c>
      <c r="J72" s="70" t="s">
        <v>358</v>
      </c>
      <c r="K72" s="65" t="s">
        <v>40</v>
      </c>
      <c r="L72" s="71"/>
    </row>
    <row r="73" spans="1:12" ht="12" customHeight="1">
      <c r="A73" s="73" t="s">
        <v>359</v>
      </c>
      <c r="B73" s="9" t="s">
        <v>360</v>
      </c>
      <c r="C73" s="13" t="s">
        <v>361</v>
      </c>
      <c r="D73" s="11" t="s">
        <v>20</v>
      </c>
      <c r="E73" s="12" t="s">
        <v>20</v>
      </c>
      <c r="F73" s="6" t="s">
        <v>21</v>
      </c>
      <c r="G73" s="13"/>
      <c r="H73" s="13"/>
      <c r="I73" s="13" t="s">
        <v>362</v>
      </c>
      <c r="J73" s="18" t="s">
        <v>363</v>
      </c>
      <c r="K73" s="14" t="s">
        <v>40</v>
      </c>
      <c r="L73" s="17"/>
    </row>
    <row r="74" spans="1:12" ht="12" customHeight="1">
      <c r="A74" s="90" t="s">
        <v>364</v>
      </c>
      <c r="B74" s="9" t="s">
        <v>365</v>
      </c>
      <c r="C74" s="13" t="s">
        <v>366</v>
      </c>
      <c r="D74" s="11" t="s">
        <v>26</v>
      </c>
      <c r="E74" s="12" t="s">
        <v>26</v>
      </c>
      <c r="F74" s="55" t="s">
        <v>36</v>
      </c>
      <c r="G74" s="13" t="s">
        <v>274</v>
      </c>
      <c r="H74" s="13" t="s">
        <v>270</v>
      </c>
      <c r="I74" s="13" t="s">
        <v>367</v>
      </c>
      <c r="J74" s="18" t="s">
        <v>368</v>
      </c>
      <c r="K74" s="14" t="s">
        <v>40</v>
      </c>
      <c r="L74" s="17"/>
    </row>
    <row r="75" spans="1:12" ht="12" customHeight="1">
      <c r="A75" s="91" t="s">
        <v>369</v>
      </c>
      <c r="B75" s="69" t="s">
        <v>370</v>
      </c>
      <c r="C75" s="68" t="s">
        <v>371</v>
      </c>
      <c r="D75" s="66" t="s">
        <v>19</v>
      </c>
      <c r="E75" s="67" t="s">
        <v>20</v>
      </c>
      <c r="F75" s="66" t="s">
        <v>21</v>
      </c>
      <c r="G75" s="68"/>
      <c r="H75" s="68"/>
      <c r="I75" s="65" t="s">
        <v>372</v>
      </c>
      <c r="J75" s="70" t="s">
        <v>373</v>
      </c>
      <c r="K75" s="71" t="s">
        <v>40</v>
      </c>
      <c r="L75" s="71"/>
    </row>
    <row r="76" spans="1:12" ht="12" customHeight="1">
      <c r="A76" s="63" t="s">
        <v>375</v>
      </c>
      <c r="B76" s="69" t="s">
        <v>376</v>
      </c>
      <c r="C76" s="68" t="s">
        <v>377</v>
      </c>
      <c r="D76" s="66" t="s">
        <v>19</v>
      </c>
      <c r="E76" s="67" t="s">
        <v>20</v>
      </c>
      <c r="F76" s="66" t="s">
        <v>21</v>
      </c>
      <c r="G76" s="68"/>
      <c r="H76" s="68"/>
      <c r="I76" s="68" t="s">
        <v>378</v>
      </c>
      <c r="J76" s="70" t="s">
        <v>379</v>
      </c>
      <c r="K76" s="71" t="s">
        <v>40</v>
      </c>
      <c r="L76" s="71"/>
    </row>
    <row r="77" spans="1:12" ht="12" customHeight="1">
      <c r="A77" s="90" t="s">
        <v>380</v>
      </c>
      <c r="B77" s="9" t="s">
        <v>381</v>
      </c>
      <c r="C77" s="13" t="s">
        <v>382</v>
      </c>
      <c r="D77" s="11" t="s">
        <v>383</v>
      </c>
      <c r="E77" s="12" t="s">
        <v>383</v>
      </c>
      <c r="F77" s="87" t="s">
        <v>36</v>
      </c>
      <c r="G77" s="10" t="s">
        <v>274</v>
      </c>
      <c r="H77" s="10" t="s">
        <v>270</v>
      </c>
      <c r="I77" s="13" t="s">
        <v>384</v>
      </c>
      <c r="J77" s="18" t="s">
        <v>385</v>
      </c>
      <c r="K77" s="14" t="s">
        <v>40</v>
      </c>
      <c r="L77" s="17"/>
    </row>
    <row r="78" spans="1:12" ht="12" customHeight="1">
      <c r="A78" s="63" t="s">
        <v>386</v>
      </c>
      <c r="B78" s="69" t="s">
        <v>387</v>
      </c>
      <c r="C78" s="68" t="s">
        <v>388</v>
      </c>
      <c r="D78" s="66" t="s">
        <v>19</v>
      </c>
      <c r="E78" s="67" t="s">
        <v>31</v>
      </c>
      <c r="F78" s="66" t="s">
        <v>21</v>
      </c>
      <c r="G78" s="68"/>
      <c r="H78" s="68"/>
      <c r="I78" s="65" t="s">
        <v>389</v>
      </c>
      <c r="J78" s="70" t="s">
        <v>353</v>
      </c>
      <c r="K78" s="65" t="s">
        <v>219</v>
      </c>
      <c r="L78" s="71"/>
    </row>
    <row r="79" spans="1:12" ht="12" customHeight="1">
      <c r="A79" s="63" t="s">
        <v>390</v>
      </c>
      <c r="B79" s="69" t="s">
        <v>391</v>
      </c>
      <c r="C79" s="68" t="s">
        <v>392</v>
      </c>
      <c r="D79" s="66" t="s">
        <v>19</v>
      </c>
      <c r="E79" s="67" t="s">
        <v>20</v>
      </c>
      <c r="F79" s="66" t="s">
        <v>21</v>
      </c>
      <c r="G79" s="68"/>
      <c r="H79" s="68"/>
      <c r="I79" s="65" t="s">
        <v>393</v>
      </c>
      <c r="J79" s="93" t="s">
        <v>394</v>
      </c>
      <c r="K79" s="65" t="s">
        <v>54</v>
      </c>
      <c r="L79" s="71"/>
    </row>
    <row r="80" spans="1:12" ht="12" customHeight="1">
      <c r="A80" s="25" t="s">
        <v>395</v>
      </c>
      <c r="B80" s="44" t="s">
        <v>396</v>
      </c>
      <c r="C80" s="49" t="s">
        <v>397</v>
      </c>
      <c r="D80" s="46" t="s">
        <v>31</v>
      </c>
      <c r="E80" s="47" t="s">
        <v>31</v>
      </c>
      <c r="F80" s="46" t="s">
        <v>21</v>
      </c>
      <c r="G80" s="49"/>
      <c r="H80" s="49"/>
      <c r="I80" s="51"/>
      <c r="J80" s="50"/>
      <c r="K80" s="49" t="s">
        <v>32</v>
      </c>
      <c r="L80" s="52"/>
    </row>
    <row r="81" spans="1:12" ht="12" customHeight="1">
      <c r="A81" s="25" t="s">
        <v>398</v>
      </c>
      <c r="B81" s="44" t="s">
        <v>399</v>
      </c>
      <c r="C81" s="49" t="s">
        <v>400</v>
      </c>
      <c r="D81" s="46" t="s">
        <v>19</v>
      </c>
      <c r="E81" s="47" t="s">
        <v>31</v>
      </c>
      <c r="F81" s="46" t="s">
        <v>21</v>
      </c>
      <c r="G81" s="49"/>
      <c r="H81" s="49"/>
      <c r="I81" s="49"/>
      <c r="J81" s="79"/>
      <c r="K81" s="49" t="s">
        <v>32</v>
      </c>
      <c r="L81" s="94"/>
    </row>
    <row r="82" spans="1:12" ht="12" customHeight="1">
      <c r="A82" s="8" t="s">
        <v>401</v>
      </c>
      <c r="B82" s="9" t="s">
        <v>402</v>
      </c>
      <c r="C82" s="13" t="s">
        <v>403</v>
      </c>
      <c r="D82" s="11" t="s">
        <v>19</v>
      </c>
      <c r="E82" s="12" t="s">
        <v>20</v>
      </c>
      <c r="F82" s="11" t="s">
        <v>21</v>
      </c>
      <c r="G82" s="13"/>
      <c r="H82" s="13"/>
      <c r="I82" s="13" t="s">
        <v>404</v>
      </c>
      <c r="J82" s="15" t="s">
        <v>405</v>
      </c>
      <c r="K82" s="13" t="s">
        <v>54</v>
      </c>
      <c r="L82" s="33"/>
    </row>
    <row r="83" spans="1:12" ht="12" customHeight="1">
      <c r="A83" s="8" t="s">
        <v>406</v>
      </c>
      <c r="B83" s="9" t="s">
        <v>407</v>
      </c>
      <c r="C83" s="13" t="s">
        <v>408</v>
      </c>
      <c r="D83" s="11" t="s">
        <v>19</v>
      </c>
      <c r="E83" s="12" t="s">
        <v>20</v>
      </c>
      <c r="F83" s="11" t="s">
        <v>21</v>
      </c>
      <c r="G83" s="13"/>
      <c r="H83" s="13"/>
      <c r="I83" s="13" t="s">
        <v>409</v>
      </c>
      <c r="J83" s="15" t="s">
        <v>410</v>
      </c>
      <c r="K83" s="13" t="s">
        <v>54</v>
      </c>
      <c r="L83" s="33"/>
    </row>
    <row r="84" spans="1:12" ht="12" customHeight="1">
      <c r="A84" s="8" t="s">
        <v>411</v>
      </c>
      <c r="B84" s="9" t="s">
        <v>412</v>
      </c>
      <c r="C84" s="13" t="s">
        <v>413</v>
      </c>
      <c r="D84" s="11" t="s">
        <v>19</v>
      </c>
      <c r="E84" s="12" t="s">
        <v>26</v>
      </c>
      <c r="F84" s="55" t="s">
        <v>36</v>
      </c>
      <c r="G84" s="13" t="s">
        <v>414</v>
      </c>
      <c r="H84" s="13" t="s">
        <v>399</v>
      </c>
      <c r="I84" s="13" t="s">
        <v>415</v>
      </c>
      <c r="J84" s="13" t="s">
        <v>416</v>
      </c>
      <c r="K84" s="13" t="s">
        <v>40</v>
      </c>
      <c r="L84" s="33"/>
    </row>
    <row r="85" spans="1:12" ht="12" customHeight="1">
      <c r="A85" s="73" t="s">
        <v>417</v>
      </c>
      <c r="B85" s="9" t="s">
        <v>418</v>
      </c>
      <c r="C85" s="13" t="s">
        <v>419</v>
      </c>
      <c r="D85" s="11" t="s">
        <v>20</v>
      </c>
      <c r="E85" s="12" t="s">
        <v>20</v>
      </c>
      <c r="F85" s="55" t="s">
        <v>44</v>
      </c>
      <c r="G85" s="13" t="s">
        <v>420</v>
      </c>
      <c r="H85" s="13"/>
      <c r="I85" s="13" t="s">
        <v>421</v>
      </c>
      <c r="J85" s="13" t="s">
        <v>422</v>
      </c>
      <c r="K85" s="16" t="s">
        <v>24</v>
      </c>
      <c r="L85" s="17" t="s">
        <v>423</v>
      </c>
    </row>
    <row r="86" spans="1:12" ht="12" customHeight="1">
      <c r="A86" s="73" t="s">
        <v>424</v>
      </c>
      <c r="B86" s="9" t="s">
        <v>425</v>
      </c>
      <c r="C86" s="13" t="s">
        <v>426</v>
      </c>
      <c r="D86" s="11" t="s">
        <v>20</v>
      </c>
      <c r="E86" s="12" t="s">
        <v>20</v>
      </c>
      <c r="F86" s="6" t="s">
        <v>21</v>
      </c>
      <c r="G86" s="13"/>
      <c r="H86" s="13"/>
      <c r="I86" s="13" t="s">
        <v>427</v>
      </c>
      <c r="J86" s="18" t="s">
        <v>428</v>
      </c>
      <c r="K86" s="14" t="s">
        <v>40</v>
      </c>
      <c r="L86" s="17"/>
    </row>
    <row r="87" spans="1:12" ht="12" customHeight="1">
      <c r="A87" s="73" t="s">
        <v>429</v>
      </c>
      <c r="B87" s="9" t="s">
        <v>430</v>
      </c>
      <c r="C87" s="13" t="s">
        <v>431</v>
      </c>
      <c r="D87" s="11" t="s">
        <v>26</v>
      </c>
      <c r="E87" s="12" t="s">
        <v>26</v>
      </c>
      <c r="F87" s="55" t="s">
        <v>36</v>
      </c>
      <c r="G87" s="13" t="s">
        <v>432</v>
      </c>
      <c r="H87" s="13" t="s">
        <v>396</v>
      </c>
      <c r="I87" s="13" t="s">
        <v>433</v>
      </c>
      <c r="J87" s="18" t="s">
        <v>434</v>
      </c>
      <c r="K87" s="14" t="s">
        <v>40</v>
      </c>
      <c r="L87" s="17"/>
    </row>
    <row r="88" spans="1:12" ht="12" customHeight="1">
      <c r="A88" s="73" t="s">
        <v>435</v>
      </c>
      <c r="B88" s="9" t="s">
        <v>436</v>
      </c>
      <c r="C88" s="13" t="s">
        <v>437</v>
      </c>
      <c r="D88" s="11" t="s">
        <v>20</v>
      </c>
      <c r="E88" s="12" t="s">
        <v>20</v>
      </c>
      <c r="F88" s="6" t="s">
        <v>21</v>
      </c>
      <c r="G88" s="13"/>
      <c r="H88" s="13"/>
      <c r="I88" s="13" t="s">
        <v>438</v>
      </c>
      <c r="J88" s="18" t="s">
        <v>439</v>
      </c>
      <c r="K88" s="14" t="s">
        <v>219</v>
      </c>
      <c r="L88" s="17"/>
    </row>
    <row r="89" spans="1:12" ht="12.75" customHeight="1">
      <c r="A89" s="73" t="s">
        <v>440</v>
      </c>
      <c r="B89" s="9" t="s">
        <v>441</v>
      </c>
      <c r="C89" s="13" t="s">
        <v>442</v>
      </c>
      <c r="D89" s="11" t="s">
        <v>26</v>
      </c>
      <c r="E89" s="12" t="s">
        <v>26</v>
      </c>
      <c r="F89" s="20" t="s">
        <v>27</v>
      </c>
      <c r="G89" s="15"/>
      <c r="H89" s="15"/>
      <c r="I89" s="14" t="s">
        <v>443</v>
      </c>
      <c r="J89" s="18" t="s">
        <v>444</v>
      </c>
      <c r="K89" s="95" t="s">
        <v>445</v>
      </c>
      <c r="L89" s="17"/>
    </row>
    <row r="90" spans="1:12" ht="12.75" customHeight="1">
      <c r="A90" s="25" t="s">
        <v>446</v>
      </c>
      <c r="B90" s="44" t="s">
        <v>447</v>
      </c>
      <c r="C90" s="49" t="s">
        <v>448</v>
      </c>
      <c r="D90" s="46" t="s">
        <v>383</v>
      </c>
      <c r="E90" s="47" t="s">
        <v>383</v>
      </c>
      <c r="F90" s="20" t="s">
        <v>27</v>
      </c>
      <c r="G90" s="49"/>
      <c r="H90" s="49"/>
      <c r="I90" s="49"/>
      <c r="J90" s="49"/>
      <c r="K90" s="49" t="s">
        <v>32</v>
      </c>
      <c r="L90" s="79"/>
    </row>
    <row r="91" spans="1:12" ht="12.75" customHeight="1">
      <c r="A91" s="25" t="s">
        <v>449</v>
      </c>
      <c r="B91" s="27" t="s">
        <v>450</v>
      </c>
      <c r="C91" s="27" t="s">
        <v>451</v>
      </c>
      <c r="D91" s="28" t="s">
        <v>31</v>
      </c>
      <c r="E91" s="28" t="s">
        <v>31</v>
      </c>
      <c r="F91" s="46" t="s">
        <v>21</v>
      </c>
      <c r="G91" s="27"/>
      <c r="H91" s="25"/>
      <c r="I91" s="29"/>
      <c r="J91" s="29"/>
      <c r="K91" s="25" t="s">
        <v>32</v>
      </c>
      <c r="L91" s="29"/>
    </row>
    <row r="92" spans="1:12" ht="12.75" customHeight="1">
      <c r="A92" s="33" t="s">
        <v>452</v>
      </c>
      <c r="B92" s="34" t="s">
        <v>453</v>
      </c>
      <c r="C92" s="13" t="s">
        <v>454</v>
      </c>
      <c r="D92" s="35" t="s">
        <v>26</v>
      </c>
      <c r="E92" s="35" t="s">
        <v>26</v>
      </c>
      <c r="F92" s="36" t="s">
        <v>36</v>
      </c>
      <c r="G92" s="34" t="s">
        <v>455</v>
      </c>
      <c r="H92" s="34" t="s">
        <v>450</v>
      </c>
      <c r="I92" s="14" t="s">
        <v>456</v>
      </c>
      <c r="J92" s="18" t="s">
        <v>457</v>
      </c>
      <c r="K92" s="14" t="s">
        <v>40</v>
      </c>
      <c r="L92" s="17"/>
    </row>
    <row r="93" spans="1:12" ht="12.75" customHeight="1">
      <c r="A93" s="8" t="s">
        <v>458</v>
      </c>
      <c r="B93" s="34" t="s">
        <v>459</v>
      </c>
      <c r="C93" s="34" t="s">
        <v>460</v>
      </c>
      <c r="D93" s="35" t="s">
        <v>19</v>
      </c>
      <c r="E93" s="35" t="s">
        <v>20</v>
      </c>
      <c r="F93" s="36" t="s">
        <v>44</v>
      </c>
      <c r="G93" s="34" t="s">
        <v>461</v>
      </c>
      <c r="H93" s="38"/>
      <c r="I93" s="18" t="s">
        <v>463</v>
      </c>
      <c r="J93" s="18" t="s">
        <v>464</v>
      </c>
      <c r="K93" s="14" t="s">
        <v>40</v>
      </c>
      <c r="L93" s="17"/>
    </row>
    <row r="94" spans="1:12" ht="12.75" customHeight="1">
      <c r="A94" s="8" t="s">
        <v>465</v>
      </c>
      <c r="B94" s="34" t="s">
        <v>466</v>
      </c>
      <c r="C94" s="34" t="s">
        <v>467</v>
      </c>
      <c r="D94" s="35" t="s">
        <v>19</v>
      </c>
      <c r="E94" s="35" t="s">
        <v>20</v>
      </c>
      <c r="F94" s="35" t="s">
        <v>21</v>
      </c>
      <c r="G94" s="32"/>
      <c r="H94" s="38"/>
      <c r="I94" s="18" t="s">
        <v>52</v>
      </c>
      <c r="J94" s="40" t="s">
        <v>468</v>
      </c>
      <c r="K94" s="13" t="s">
        <v>54</v>
      </c>
      <c r="L94" s="17"/>
    </row>
    <row r="95" spans="1:12" ht="12.75" customHeight="1">
      <c r="A95" s="8" t="s">
        <v>469</v>
      </c>
      <c r="B95" s="34" t="s">
        <v>470</v>
      </c>
      <c r="C95" s="34" t="s">
        <v>57</v>
      </c>
      <c r="D95" s="35" t="s">
        <v>19</v>
      </c>
      <c r="E95" s="35" t="s">
        <v>20</v>
      </c>
      <c r="F95" s="35" t="s">
        <v>21</v>
      </c>
      <c r="G95" s="32"/>
      <c r="H95" s="38"/>
      <c r="I95" s="18" t="s">
        <v>471</v>
      </c>
      <c r="J95" s="41" t="s">
        <v>59</v>
      </c>
      <c r="K95" s="14" t="s">
        <v>40</v>
      </c>
      <c r="L95" s="17"/>
    </row>
    <row r="96" spans="1:12" ht="12.75" customHeight="1">
      <c r="A96" s="8" t="s">
        <v>462</v>
      </c>
      <c r="B96" s="34" t="s">
        <v>472</v>
      </c>
      <c r="C96" s="34" t="s">
        <v>473</v>
      </c>
      <c r="D96" s="35" t="s">
        <v>26</v>
      </c>
      <c r="E96" s="35" t="s">
        <v>26</v>
      </c>
      <c r="F96" s="36" t="s">
        <v>36</v>
      </c>
      <c r="G96" s="34" t="s">
        <v>455</v>
      </c>
      <c r="H96" s="34" t="s">
        <v>450</v>
      </c>
      <c r="I96" s="14" t="s">
        <v>474</v>
      </c>
      <c r="J96" s="88" t="s">
        <v>343</v>
      </c>
      <c r="K96" s="16" t="s">
        <v>24</v>
      </c>
      <c r="L96" s="17" t="s">
        <v>64</v>
      </c>
    </row>
    <row r="97" spans="1:12" ht="12.75" customHeight="1">
      <c r="A97" s="25" t="s">
        <v>475</v>
      </c>
      <c r="B97" s="44" t="s">
        <v>476</v>
      </c>
      <c r="C97" s="49" t="s">
        <v>477</v>
      </c>
      <c r="D97" s="46" t="s">
        <v>19</v>
      </c>
      <c r="E97" s="47" t="s">
        <v>20</v>
      </c>
      <c r="F97" s="46" t="s">
        <v>21</v>
      </c>
      <c r="G97" s="49"/>
      <c r="H97" s="49"/>
      <c r="I97" s="49"/>
      <c r="J97" s="79"/>
      <c r="K97" s="49" t="s">
        <v>32</v>
      </c>
      <c r="L97" s="94"/>
    </row>
    <row r="98" spans="1:12" ht="12" customHeight="1">
      <c r="A98" s="8" t="s">
        <v>478</v>
      </c>
      <c r="B98" s="9" t="s">
        <v>479</v>
      </c>
      <c r="C98" s="13" t="s">
        <v>480</v>
      </c>
      <c r="D98" s="11" t="s">
        <v>19</v>
      </c>
      <c r="E98" s="12" t="s">
        <v>20</v>
      </c>
      <c r="F98" s="6" t="s">
        <v>21</v>
      </c>
      <c r="G98" s="13"/>
      <c r="H98" s="13"/>
      <c r="I98" s="13" t="s">
        <v>481</v>
      </c>
      <c r="J98" s="18" t="s">
        <v>482</v>
      </c>
      <c r="K98" s="56" t="s">
        <v>92</v>
      </c>
      <c r="L98" s="97"/>
    </row>
    <row r="99" spans="1:12" ht="12" customHeight="1">
      <c r="A99" s="8" t="s">
        <v>483</v>
      </c>
      <c r="B99" s="9" t="s">
        <v>484</v>
      </c>
      <c r="C99" s="13" t="s">
        <v>485</v>
      </c>
      <c r="D99" s="11" t="s">
        <v>19</v>
      </c>
      <c r="E99" s="12" t="s">
        <v>20</v>
      </c>
      <c r="F99" s="6" t="s">
        <v>21</v>
      </c>
      <c r="G99" s="13"/>
      <c r="H99" s="13"/>
      <c r="I99" s="13" t="s">
        <v>486</v>
      </c>
      <c r="J99" s="18" t="s">
        <v>487</v>
      </c>
      <c r="K99" s="56" t="s">
        <v>92</v>
      </c>
      <c r="L99" s="33"/>
    </row>
    <row r="100" spans="1:12" ht="12" customHeight="1">
      <c r="A100" s="10" t="s">
        <v>488</v>
      </c>
      <c r="B100" s="81" t="s">
        <v>489</v>
      </c>
      <c r="C100" s="10" t="s">
        <v>490</v>
      </c>
      <c r="D100" s="98" t="s">
        <v>19</v>
      </c>
      <c r="E100" s="19" t="s">
        <v>20</v>
      </c>
      <c r="F100" s="98" t="s">
        <v>21</v>
      </c>
      <c r="G100" s="99"/>
      <c r="H100" s="99"/>
      <c r="I100" s="10" t="s">
        <v>491</v>
      </c>
      <c r="J100" s="10" t="s">
        <v>492</v>
      </c>
      <c r="K100" s="100" t="s">
        <v>92</v>
      </c>
      <c r="L100" s="99"/>
    </row>
    <row r="101" spans="1:12" ht="12" customHeight="1">
      <c r="A101" s="10" t="s">
        <v>493</v>
      </c>
      <c r="B101" s="81" t="s">
        <v>494</v>
      </c>
      <c r="C101" s="10" t="s">
        <v>495</v>
      </c>
      <c r="D101" s="98" t="s">
        <v>19</v>
      </c>
      <c r="E101" s="19" t="s">
        <v>20</v>
      </c>
      <c r="F101" s="98" t="s">
        <v>21</v>
      </c>
      <c r="G101" s="99"/>
      <c r="H101" s="99"/>
      <c r="I101" s="10" t="s">
        <v>496</v>
      </c>
      <c r="J101" s="10" t="s">
        <v>74</v>
      </c>
      <c r="K101" s="10" t="s">
        <v>219</v>
      </c>
      <c r="L101" s="99"/>
    </row>
    <row r="102" spans="1:12" ht="12" customHeight="1">
      <c r="A102" s="10" t="s">
        <v>497</v>
      </c>
      <c r="B102" s="81" t="s">
        <v>498</v>
      </c>
      <c r="C102" s="10" t="s">
        <v>499</v>
      </c>
      <c r="D102" s="98" t="s">
        <v>19</v>
      </c>
      <c r="E102" s="19" t="s">
        <v>20</v>
      </c>
      <c r="F102" s="98" t="s">
        <v>21</v>
      </c>
      <c r="G102" s="99"/>
      <c r="H102" s="99"/>
      <c r="I102" s="10" t="s">
        <v>500</v>
      </c>
      <c r="J102" s="10" t="s">
        <v>501</v>
      </c>
      <c r="K102" s="10" t="s">
        <v>24</v>
      </c>
      <c r="L102" s="10" t="s">
        <v>502</v>
      </c>
    </row>
    <row r="103" spans="1:12" ht="12" customHeight="1">
      <c r="A103" s="10" t="s">
        <v>504</v>
      </c>
      <c r="B103" s="81" t="s">
        <v>505</v>
      </c>
      <c r="C103" s="10" t="s">
        <v>506</v>
      </c>
      <c r="D103" s="98" t="s">
        <v>19</v>
      </c>
      <c r="E103" s="19" t="s">
        <v>20</v>
      </c>
      <c r="F103" s="98" t="s">
        <v>21</v>
      </c>
      <c r="G103" s="99"/>
      <c r="H103" s="99"/>
      <c r="I103" s="10" t="s">
        <v>507</v>
      </c>
      <c r="J103" s="10" t="s">
        <v>508</v>
      </c>
      <c r="K103" s="10" t="s">
        <v>24</v>
      </c>
      <c r="L103" s="10" t="s">
        <v>509</v>
      </c>
    </row>
    <row r="104" spans="1:12" ht="12" customHeight="1">
      <c r="A104" s="101" t="s">
        <v>510</v>
      </c>
      <c r="B104" s="7" t="s">
        <v>511</v>
      </c>
      <c r="C104" s="15" t="s">
        <v>512</v>
      </c>
      <c r="D104" s="11" t="s">
        <v>19</v>
      </c>
      <c r="E104" s="12" t="s">
        <v>20</v>
      </c>
      <c r="F104" s="6" t="s">
        <v>21</v>
      </c>
      <c r="G104" s="12"/>
      <c r="H104" s="12"/>
      <c r="I104" s="15" t="s">
        <v>513</v>
      </c>
      <c r="J104" s="18" t="s">
        <v>514</v>
      </c>
      <c r="K104" s="14" t="s">
        <v>40</v>
      </c>
      <c r="L104" s="17"/>
    </row>
    <row r="105" spans="1:12" ht="12" customHeight="1">
      <c r="A105" s="8" t="s">
        <v>515</v>
      </c>
      <c r="B105" s="7" t="s">
        <v>516</v>
      </c>
      <c r="C105" s="15" t="s">
        <v>517</v>
      </c>
      <c r="D105" s="11" t="s">
        <v>19</v>
      </c>
      <c r="E105" s="12" t="s">
        <v>20</v>
      </c>
      <c r="F105" s="6" t="s">
        <v>21</v>
      </c>
      <c r="G105" s="15"/>
      <c r="H105" s="15"/>
      <c r="I105" s="15" t="s">
        <v>518</v>
      </c>
      <c r="J105" s="18" t="s">
        <v>519</v>
      </c>
      <c r="K105" s="14" t="s">
        <v>219</v>
      </c>
      <c r="L105" s="17"/>
    </row>
    <row r="106" spans="1:12" ht="12" customHeight="1">
      <c r="A106" s="10" t="s">
        <v>520</v>
      </c>
      <c r="B106" s="22" t="s">
        <v>521</v>
      </c>
      <c r="C106" s="14" t="s">
        <v>522</v>
      </c>
      <c r="D106" s="6" t="s">
        <v>19</v>
      </c>
      <c r="E106" s="102" t="s">
        <v>20</v>
      </c>
      <c r="F106" s="6" t="s">
        <v>21</v>
      </c>
      <c r="G106" s="14"/>
      <c r="H106" s="14"/>
      <c r="I106" s="14" t="s">
        <v>523</v>
      </c>
      <c r="J106" s="18" t="s">
        <v>524</v>
      </c>
      <c r="K106" s="56" t="s">
        <v>92</v>
      </c>
      <c r="L106" s="17"/>
    </row>
    <row r="107" spans="1:12" ht="12.75">
      <c r="A107" s="105" t="s">
        <v>525</v>
      </c>
      <c r="B107" s="104" t="s">
        <v>526</v>
      </c>
      <c r="C107" s="106" t="s">
        <v>527</v>
      </c>
      <c r="D107" s="103" t="s">
        <v>31</v>
      </c>
      <c r="E107" s="107" t="s">
        <v>31</v>
      </c>
      <c r="F107" s="58" t="s">
        <v>21</v>
      </c>
      <c r="G107" s="105"/>
      <c r="H107" s="105"/>
      <c r="I107" s="106"/>
      <c r="J107" s="106"/>
      <c r="K107" s="25" t="s">
        <v>32</v>
      </c>
      <c r="L107" s="106"/>
    </row>
    <row r="108" spans="1:12" ht="12.75">
      <c r="A108" s="105" t="s">
        <v>528</v>
      </c>
      <c r="B108" s="104" t="s">
        <v>529</v>
      </c>
      <c r="C108" s="49" t="s">
        <v>530</v>
      </c>
      <c r="D108" s="103" t="s">
        <v>31</v>
      </c>
      <c r="E108" s="107" t="s">
        <v>31</v>
      </c>
      <c r="F108" s="58" t="s">
        <v>21</v>
      </c>
      <c r="G108" s="105"/>
      <c r="H108" s="105"/>
      <c r="I108" s="106"/>
      <c r="J108" s="106"/>
      <c r="K108" s="25" t="s">
        <v>32</v>
      </c>
      <c r="L108" s="106"/>
    </row>
    <row r="109" spans="1:12" ht="12.75">
      <c r="A109" s="25" t="s">
        <v>531</v>
      </c>
      <c r="B109" s="24" t="s">
        <v>532</v>
      </c>
      <c r="C109" s="49" t="s">
        <v>115</v>
      </c>
      <c r="D109" s="58" t="s">
        <v>26</v>
      </c>
      <c r="E109" s="109" t="s">
        <v>26</v>
      </c>
      <c r="F109" s="30" t="s">
        <v>36</v>
      </c>
      <c r="G109" s="27" t="s">
        <v>533</v>
      </c>
      <c r="H109" s="25" t="s">
        <v>529</v>
      </c>
      <c r="I109" s="94"/>
      <c r="J109" s="94"/>
      <c r="K109" s="25" t="s">
        <v>32</v>
      </c>
      <c r="L109" s="94"/>
    </row>
    <row r="110" spans="1:12" ht="12.75">
      <c r="A110" s="8" t="s">
        <v>534</v>
      </c>
      <c r="B110" s="21" t="s">
        <v>535</v>
      </c>
      <c r="C110" s="13" t="s">
        <v>35</v>
      </c>
      <c r="D110" s="61" t="s">
        <v>26</v>
      </c>
      <c r="E110" s="110" t="s">
        <v>26</v>
      </c>
      <c r="F110" s="36" t="s">
        <v>36</v>
      </c>
      <c r="G110" s="34" t="s">
        <v>536</v>
      </c>
      <c r="H110" s="111" t="s">
        <v>532</v>
      </c>
      <c r="I110" s="18" t="s">
        <v>537</v>
      </c>
      <c r="J110" s="18" t="s">
        <v>538</v>
      </c>
      <c r="K110" s="8" t="s">
        <v>40</v>
      </c>
      <c r="L110" s="33"/>
    </row>
    <row r="111" spans="1:12" ht="12.75">
      <c r="A111" s="8" t="s">
        <v>539</v>
      </c>
      <c r="B111" s="21" t="s">
        <v>540</v>
      </c>
      <c r="C111" s="15" t="s">
        <v>278</v>
      </c>
      <c r="D111" s="61" t="s">
        <v>19</v>
      </c>
      <c r="E111" s="110" t="s">
        <v>20</v>
      </c>
      <c r="F111" s="87" t="s">
        <v>44</v>
      </c>
      <c r="G111" s="8" t="s">
        <v>541</v>
      </c>
      <c r="H111" s="8"/>
      <c r="I111" s="18" t="s">
        <v>126</v>
      </c>
      <c r="J111" s="18" t="s">
        <v>127</v>
      </c>
      <c r="K111" s="8" t="s">
        <v>40</v>
      </c>
      <c r="L111" s="33"/>
    </row>
    <row r="112" spans="1:12" ht="12.75">
      <c r="A112" s="8" t="s">
        <v>542</v>
      </c>
      <c r="B112" s="21" t="s">
        <v>543</v>
      </c>
      <c r="C112" s="15" t="s">
        <v>51</v>
      </c>
      <c r="D112" s="61" t="s">
        <v>19</v>
      </c>
      <c r="E112" s="110" t="s">
        <v>20</v>
      </c>
      <c r="F112" s="61" t="s">
        <v>21</v>
      </c>
      <c r="G112" s="8"/>
      <c r="H112" s="8"/>
      <c r="I112" s="18" t="s">
        <v>130</v>
      </c>
      <c r="J112" s="59" t="s">
        <v>131</v>
      </c>
      <c r="K112" s="8" t="s">
        <v>54</v>
      </c>
      <c r="L112" s="33"/>
    </row>
    <row r="113" spans="1:12" ht="12.75">
      <c r="A113" s="8" t="s">
        <v>544</v>
      </c>
      <c r="B113" s="21" t="s">
        <v>545</v>
      </c>
      <c r="C113" s="15" t="s">
        <v>57</v>
      </c>
      <c r="D113" s="61" t="s">
        <v>19</v>
      </c>
      <c r="E113" s="110" t="s">
        <v>20</v>
      </c>
      <c r="F113" s="61" t="s">
        <v>21</v>
      </c>
      <c r="G113" s="8"/>
      <c r="H113" s="8"/>
      <c r="I113" s="18" t="s">
        <v>134</v>
      </c>
      <c r="J113" s="18" t="s">
        <v>59</v>
      </c>
      <c r="K113" s="8" t="s">
        <v>40</v>
      </c>
      <c r="L113" s="33"/>
    </row>
    <row r="114" spans="1:12" ht="12.75">
      <c r="A114" s="8" t="s">
        <v>546</v>
      </c>
      <c r="B114" s="21" t="s">
        <v>547</v>
      </c>
      <c r="C114" s="15" t="s">
        <v>136</v>
      </c>
      <c r="D114" s="61" t="s">
        <v>26</v>
      </c>
      <c r="E114" s="110" t="s">
        <v>26</v>
      </c>
      <c r="F114" s="36" t="s">
        <v>36</v>
      </c>
      <c r="G114" s="34" t="s">
        <v>536</v>
      </c>
      <c r="H114" s="111" t="s">
        <v>532</v>
      </c>
      <c r="I114" s="18" t="s">
        <v>137</v>
      </c>
      <c r="J114" s="18" t="s">
        <v>138</v>
      </c>
      <c r="K114" s="112" t="s">
        <v>24</v>
      </c>
      <c r="L114" s="33" t="s">
        <v>139</v>
      </c>
    </row>
    <row r="115" spans="1:12" ht="12.75">
      <c r="A115" s="8" t="s">
        <v>548</v>
      </c>
      <c r="B115" s="21" t="s">
        <v>549</v>
      </c>
      <c r="C115" s="15" t="s">
        <v>550</v>
      </c>
      <c r="D115" s="61" t="s">
        <v>26</v>
      </c>
      <c r="E115" s="110" t="s">
        <v>26</v>
      </c>
      <c r="F115" s="36" t="s">
        <v>36</v>
      </c>
      <c r="G115" s="34" t="s">
        <v>533</v>
      </c>
      <c r="H115" s="8" t="s">
        <v>529</v>
      </c>
      <c r="I115" s="18" t="s">
        <v>551</v>
      </c>
      <c r="J115" s="18" t="s">
        <v>144</v>
      </c>
      <c r="K115" s="8" t="s">
        <v>40</v>
      </c>
      <c r="L115" s="33"/>
    </row>
    <row r="116" spans="1:12" ht="12.75">
      <c r="A116" s="25" t="s">
        <v>552</v>
      </c>
      <c r="B116" s="27" t="s">
        <v>553</v>
      </c>
      <c r="C116" s="49" t="s">
        <v>293</v>
      </c>
      <c r="D116" s="28" t="s">
        <v>19</v>
      </c>
      <c r="E116" s="28" t="s">
        <v>20</v>
      </c>
      <c r="F116" s="28" t="s">
        <v>21</v>
      </c>
      <c r="G116" s="23"/>
      <c r="H116" s="29"/>
      <c r="I116" s="49"/>
      <c r="J116" s="50"/>
      <c r="K116" s="25" t="s">
        <v>32</v>
      </c>
      <c r="L116" s="29"/>
    </row>
    <row r="117" spans="1:12" ht="12.75">
      <c r="A117" s="8" t="s">
        <v>554</v>
      </c>
      <c r="B117" s="34" t="s">
        <v>555</v>
      </c>
      <c r="C117" s="13" t="s">
        <v>151</v>
      </c>
      <c r="D117" s="35" t="s">
        <v>19</v>
      </c>
      <c r="E117" s="35" t="s">
        <v>26</v>
      </c>
      <c r="F117" s="36" t="s">
        <v>36</v>
      </c>
      <c r="G117" s="34" t="s">
        <v>152</v>
      </c>
      <c r="H117" s="8" t="s">
        <v>553</v>
      </c>
      <c r="I117" s="13" t="s">
        <v>556</v>
      </c>
      <c r="J117" s="8" t="s">
        <v>154</v>
      </c>
      <c r="K117" s="8" t="s">
        <v>24</v>
      </c>
      <c r="L117" s="8" t="s">
        <v>155</v>
      </c>
    </row>
    <row r="118" spans="1:12" ht="12.75">
      <c r="A118" s="8" t="s">
        <v>557</v>
      </c>
      <c r="B118" s="34" t="s">
        <v>558</v>
      </c>
      <c r="C118" s="13" t="s">
        <v>158</v>
      </c>
      <c r="D118" s="35" t="s">
        <v>19</v>
      </c>
      <c r="E118" s="35" t="s">
        <v>26</v>
      </c>
      <c r="F118" s="36" t="s">
        <v>36</v>
      </c>
      <c r="G118" s="34" t="s">
        <v>152</v>
      </c>
      <c r="H118" s="8" t="s">
        <v>553</v>
      </c>
      <c r="I118" s="13" t="s">
        <v>559</v>
      </c>
      <c r="J118" s="8" t="s">
        <v>160</v>
      </c>
      <c r="K118" s="8" t="s">
        <v>40</v>
      </c>
      <c r="L118" s="8" t="s">
        <v>560</v>
      </c>
    </row>
    <row r="119" spans="1:12" ht="12.75">
      <c r="A119" s="25" t="s">
        <v>561</v>
      </c>
      <c r="B119" s="27" t="s">
        <v>562</v>
      </c>
      <c r="C119" s="49" t="s">
        <v>302</v>
      </c>
      <c r="D119" s="28" t="s">
        <v>19</v>
      </c>
      <c r="E119" s="28" t="s">
        <v>20</v>
      </c>
      <c r="F119" s="28" t="s">
        <v>21</v>
      </c>
      <c r="G119" s="23"/>
      <c r="H119" s="29"/>
      <c r="I119" s="51"/>
      <c r="J119" s="29"/>
      <c r="K119" s="25" t="s">
        <v>32</v>
      </c>
      <c r="L119" s="29"/>
    </row>
    <row r="120" spans="1:12" ht="12.75">
      <c r="A120" s="8" t="s">
        <v>563</v>
      </c>
      <c r="B120" s="34" t="s">
        <v>564</v>
      </c>
      <c r="C120" s="13" t="s">
        <v>166</v>
      </c>
      <c r="D120" s="35" t="s">
        <v>19</v>
      </c>
      <c r="E120" s="35" t="s">
        <v>26</v>
      </c>
      <c r="F120" s="36" t="s">
        <v>36</v>
      </c>
      <c r="G120" s="34" t="s">
        <v>167</v>
      </c>
      <c r="H120" s="8" t="s">
        <v>562</v>
      </c>
      <c r="I120" s="13" t="s">
        <v>565</v>
      </c>
      <c r="J120" s="8" t="s">
        <v>169</v>
      </c>
      <c r="K120" s="8" t="s">
        <v>24</v>
      </c>
      <c r="L120" s="8" t="s">
        <v>170</v>
      </c>
    </row>
    <row r="121" spans="1:12" ht="12.75">
      <c r="A121" s="8" t="s">
        <v>566</v>
      </c>
      <c r="B121" s="34" t="s">
        <v>567</v>
      </c>
      <c r="C121" s="13" t="s">
        <v>308</v>
      </c>
      <c r="D121" s="35" t="s">
        <v>19</v>
      </c>
      <c r="E121" s="35" t="s">
        <v>26</v>
      </c>
      <c r="F121" s="36" t="s">
        <v>36</v>
      </c>
      <c r="G121" s="34" t="s">
        <v>167</v>
      </c>
      <c r="H121" s="8" t="s">
        <v>562</v>
      </c>
      <c r="I121" s="13" t="s">
        <v>568</v>
      </c>
      <c r="J121" s="8" t="s">
        <v>175</v>
      </c>
      <c r="K121" s="8" t="s">
        <v>24</v>
      </c>
      <c r="L121" s="8" t="s">
        <v>176</v>
      </c>
    </row>
    <row r="122" spans="1:12" ht="12.75">
      <c r="A122" s="25" t="s">
        <v>569</v>
      </c>
      <c r="B122" s="24" t="s">
        <v>570</v>
      </c>
      <c r="C122" s="94" t="s">
        <v>571</v>
      </c>
      <c r="D122" s="58" t="s">
        <v>26</v>
      </c>
      <c r="E122" s="109" t="s">
        <v>26</v>
      </c>
      <c r="F122" s="85" t="s">
        <v>36</v>
      </c>
      <c r="G122" s="25" t="s">
        <v>572</v>
      </c>
      <c r="H122" s="25" t="s">
        <v>573</v>
      </c>
      <c r="I122" s="94"/>
      <c r="J122" s="94"/>
      <c r="K122" s="25" t="s">
        <v>32</v>
      </c>
      <c r="L122" s="94"/>
    </row>
    <row r="123" spans="1:12" ht="12.75">
      <c r="A123" s="8" t="s">
        <v>574</v>
      </c>
      <c r="B123" s="39" t="s">
        <v>575</v>
      </c>
      <c r="C123" s="33" t="s">
        <v>576</v>
      </c>
      <c r="D123" s="61" t="s">
        <v>26</v>
      </c>
      <c r="E123" s="110" t="s">
        <v>26</v>
      </c>
      <c r="F123" s="87" t="s">
        <v>36</v>
      </c>
      <c r="G123" s="8" t="s">
        <v>577</v>
      </c>
      <c r="H123" s="8" t="s">
        <v>570</v>
      </c>
      <c r="I123" s="13" t="s">
        <v>578</v>
      </c>
      <c r="J123" s="18" t="s">
        <v>325</v>
      </c>
      <c r="K123" s="8" t="s">
        <v>40</v>
      </c>
      <c r="L123" s="38"/>
    </row>
    <row r="124" spans="1:12" ht="12.75">
      <c r="A124" s="8" t="s">
        <v>579</v>
      </c>
      <c r="B124" s="21" t="s">
        <v>580</v>
      </c>
      <c r="C124" s="33" t="s">
        <v>581</v>
      </c>
      <c r="D124" s="35" t="s">
        <v>20</v>
      </c>
      <c r="E124" s="35" t="s">
        <v>20</v>
      </c>
      <c r="F124" s="113" t="s">
        <v>44</v>
      </c>
      <c r="G124" s="8" t="s">
        <v>582</v>
      </c>
      <c r="H124" s="8"/>
      <c r="I124" s="18" t="s">
        <v>584</v>
      </c>
      <c r="J124" s="18" t="s">
        <v>195</v>
      </c>
      <c r="K124" s="8" t="s">
        <v>40</v>
      </c>
      <c r="L124" s="38"/>
    </row>
    <row r="125" spans="1:12" ht="12.75">
      <c r="A125" s="8" t="s">
        <v>585</v>
      </c>
      <c r="B125" s="21" t="s">
        <v>586</v>
      </c>
      <c r="C125" s="33" t="s">
        <v>587</v>
      </c>
      <c r="D125" s="61" t="s">
        <v>19</v>
      </c>
      <c r="E125" s="110" t="s">
        <v>20</v>
      </c>
      <c r="F125" s="61" t="s">
        <v>21</v>
      </c>
      <c r="G125" s="8"/>
      <c r="H125" s="8"/>
      <c r="I125" s="18" t="s">
        <v>335</v>
      </c>
      <c r="J125" s="74" t="s">
        <v>200</v>
      </c>
      <c r="K125" s="8" t="s">
        <v>54</v>
      </c>
      <c r="L125" s="38"/>
    </row>
    <row r="126" spans="1:12" ht="12.75">
      <c r="A126" s="8" t="s">
        <v>588</v>
      </c>
      <c r="B126" s="21" t="s">
        <v>589</v>
      </c>
      <c r="C126" s="33" t="s">
        <v>57</v>
      </c>
      <c r="D126" s="61" t="s">
        <v>19</v>
      </c>
      <c r="E126" s="110" t="s">
        <v>20</v>
      </c>
      <c r="F126" s="61" t="s">
        <v>21</v>
      </c>
      <c r="G126" s="8"/>
      <c r="H126" s="8"/>
      <c r="I126" s="18" t="s">
        <v>134</v>
      </c>
      <c r="J126" s="18" t="s">
        <v>203</v>
      </c>
      <c r="K126" s="8" t="s">
        <v>40</v>
      </c>
      <c r="L126" s="38"/>
    </row>
    <row r="127" spans="1:12" ht="12.75">
      <c r="A127" s="8" t="s">
        <v>583</v>
      </c>
      <c r="B127" s="39" t="s">
        <v>590</v>
      </c>
      <c r="C127" s="33" t="s">
        <v>591</v>
      </c>
      <c r="D127" s="61" t="s">
        <v>19</v>
      </c>
      <c r="E127" s="110" t="s">
        <v>20</v>
      </c>
      <c r="F127" s="61" t="s">
        <v>21</v>
      </c>
      <c r="G127" s="8"/>
      <c r="H127" s="8"/>
      <c r="I127" s="13" t="s">
        <v>592</v>
      </c>
      <c r="J127" s="88" t="s">
        <v>343</v>
      </c>
      <c r="K127" s="112" t="s">
        <v>24</v>
      </c>
      <c r="L127" s="33" t="s">
        <v>208</v>
      </c>
    </row>
    <row r="128" spans="1:12" ht="12.75">
      <c r="A128" s="8" t="s">
        <v>593</v>
      </c>
      <c r="B128" s="21" t="s">
        <v>594</v>
      </c>
      <c r="C128" s="33" t="s">
        <v>595</v>
      </c>
      <c r="D128" s="35" t="s">
        <v>20</v>
      </c>
      <c r="E128" s="35" t="s">
        <v>20</v>
      </c>
      <c r="F128" s="61" t="s">
        <v>21</v>
      </c>
      <c r="G128" s="8"/>
      <c r="H128" s="8"/>
      <c r="I128" s="13" t="s">
        <v>596</v>
      </c>
      <c r="J128" s="18" t="s">
        <v>597</v>
      </c>
      <c r="K128" s="8" t="s">
        <v>40</v>
      </c>
      <c r="L128" s="38"/>
    </row>
    <row r="129" spans="1:12" ht="12" customHeight="1">
      <c r="A129" s="8" t="s">
        <v>598</v>
      </c>
      <c r="B129" s="21" t="s">
        <v>599</v>
      </c>
      <c r="C129" s="33" t="s">
        <v>600</v>
      </c>
      <c r="D129" s="61" t="s">
        <v>26</v>
      </c>
      <c r="E129" s="110" t="s">
        <v>26</v>
      </c>
      <c r="F129" s="87" t="s">
        <v>36</v>
      </c>
      <c r="G129" s="8" t="s">
        <v>601</v>
      </c>
      <c r="H129" s="8" t="s">
        <v>570</v>
      </c>
      <c r="I129" s="13" t="s">
        <v>602</v>
      </c>
      <c r="J129" s="18" t="s">
        <v>603</v>
      </c>
      <c r="K129" s="8" t="s">
        <v>40</v>
      </c>
      <c r="L129" s="38"/>
    </row>
    <row r="130" spans="1:12" ht="12.75">
      <c r="A130" s="8" t="s">
        <v>604</v>
      </c>
      <c r="B130" s="9" t="s">
        <v>605</v>
      </c>
      <c r="C130" s="13" t="s">
        <v>606</v>
      </c>
      <c r="D130" s="11" t="s">
        <v>19</v>
      </c>
      <c r="E130" s="12" t="s">
        <v>20</v>
      </c>
      <c r="F130" s="6" t="s">
        <v>21</v>
      </c>
      <c r="G130" s="13"/>
      <c r="H130" s="13"/>
      <c r="I130" s="13" t="s">
        <v>607</v>
      </c>
      <c r="J130" s="16" t="s">
        <v>608</v>
      </c>
      <c r="K130" s="16" t="s">
        <v>24</v>
      </c>
      <c r="L130" s="17" t="s">
        <v>609</v>
      </c>
    </row>
    <row r="131" spans="1:12" ht="12.75" customHeight="1">
      <c r="A131" s="8" t="s">
        <v>610</v>
      </c>
      <c r="B131" s="114" t="s">
        <v>611</v>
      </c>
      <c r="C131" s="115" t="s">
        <v>612</v>
      </c>
      <c r="D131" s="11" t="s">
        <v>19</v>
      </c>
      <c r="E131" s="12" t="s">
        <v>20</v>
      </c>
      <c r="F131" s="6" t="s">
        <v>21</v>
      </c>
      <c r="G131" s="13"/>
      <c r="H131" s="13"/>
      <c r="I131" s="115" t="s">
        <v>613</v>
      </c>
      <c r="J131" s="88" t="s">
        <v>614</v>
      </c>
      <c r="K131" s="14" t="s">
        <v>40</v>
      </c>
      <c r="L131" s="33"/>
    </row>
    <row r="132" spans="1:12" ht="12" customHeight="1">
      <c r="A132" s="8" t="s">
        <v>615</v>
      </c>
      <c r="B132" s="9" t="s">
        <v>616</v>
      </c>
      <c r="C132" s="9" t="s">
        <v>617</v>
      </c>
      <c r="D132" s="11" t="s">
        <v>19</v>
      </c>
      <c r="E132" s="12" t="s">
        <v>20</v>
      </c>
      <c r="F132" s="6" t="s">
        <v>21</v>
      </c>
      <c r="G132" s="13"/>
      <c r="H132" s="13"/>
      <c r="I132" s="13" t="s">
        <v>618</v>
      </c>
      <c r="J132" s="15" t="s">
        <v>619</v>
      </c>
      <c r="K132" s="14" t="s">
        <v>40</v>
      </c>
      <c r="L132" s="17"/>
    </row>
    <row r="133" spans="1:12" ht="12" customHeight="1">
      <c r="A133" s="90" t="s">
        <v>621</v>
      </c>
      <c r="B133" s="9" t="s">
        <v>622</v>
      </c>
      <c r="C133" s="9" t="s">
        <v>623</v>
      </c>
      <c r="D133" s="11" t="s">
        <v>31</v>
      </c>
      <c r="E133" s="12" t="s">
        <v>31</v>
      </c>
      <c r="F133" s="6" t="s">
        <v>21</v>
      </c>
      <c r="G133" s="13"/>
      <c r="H133" s="13"/>
      <c r="I133" s="14" t="s">
        <v>624</v>
      </c>
      <c r="J133" s="18" t="s">
        <v>625</v>
      </c>
      <c r="K133" s="14" t="s">
        <v>40</v>
      </c>
      <c r="L133" s="17"/>
    </row>
    <row r="134" spans="1:12" ht="12" customHeight="1">
      <c r="A134" s="25" t="s">
        <v>626</v>
      </c>
      <c r="B134" s="44" t="s">
        <v>627</v>
      </c>
      <c r="C134" s="44" t="s">
        <v>628</v>
      </c>
      <c r="D134" s="46" t="s">
        <v>19</v>
      </c>
      <c r="E134" s="47" t="s">
        <v>31</v>
      </c>
      <c r="F134" s="46" t="s">
        <v>21</v>
      </c>
      <c r="G134" s="49"/>
      <c r="H134" s="49"/>
      <c r="I134" s="49"/>
      <c r="J134" s="79"/>
      <c r="K134" s="49" t="s">
        <v>32</v>
      </c>
      <c r="L134" s="52"/>
    </row>
    <row r="135" spans="1:12" ht="12" customHeight="1">
      <c r="A135" s="116" t="s">
        <v>629</v>
      </c>
      <c r="B135" s="22" t="s">
        <v>630</v>
      </c>
      <c r="C135" s="14" t="s">
        <v>631</v>
      </c>
      <c r="D135" s="6" t="s">
        <v>19</v>
      </c>
      <c r="E135" s="102" t="s">
        <v>20</v>
      </c>
      <c r="F135" s="6" t="s">
        <v>21</v>
      </c>
      <c r="G135" s="14"/>
      <c r="H135" s="14"/>
      <c r="I135" s="14" t="s">
        <v>632</v>
      </c>
      <c r="J135" s="18" t="s">
        <v>633</v>
      </c>
      <c r="K135" s="14" t="s">
        <v>54</v>
      </c>
      <c r="L135" s="17"/>
    </row>
    <row r="136" spans="1:12" ht="12" customHeight="1">
      <c r="A136" s="116" t="s">
        <v>634</v>
      </c>
      <c r="B136" s="22" t="s">
        <v>635</v>
      </c>
      <c r="C136" s="14" t="s">
        <v>636</v>
      </c>
      <c r="D136" s="6" t="s">
        <v>19</v>
      </c>
      <c r="E136" s="102" t="s">
        <v>20</v>
      </c>
      <c r="F136" s="6" t="s">
        <v>21</v>
      </c>
      <c r="G136" s="14"/>
      <c r="H136" s="14"/>
      <c r="I136" s="14" t="s">
        <v>637</v>
      </c>
      <c r="J136" s="18" t="s">
        <v>638</v>
      </c>
      <c r="K136" s="14" t="s">
        <v>40</v>
      </c>
      <c r="L136" s="17"/>
    </row>
    <row r="137" spans="1:12" ht="12.75" customHeight="1">
      <c r="A137" s="116" t="s">
        <v>639</v>
      </c>
      <c r="B137" s="22" t="s">
        <v>640</v>
      </c>
      <c r="C137" s="14" t="s">
        <v>641</v>
      </c>
      <c r="D137" s="6" t="s">
        <v>19</v>
      </c>
      <c r="E137" s="102" t="s">
        <v>20</v>
      </c>
      <c r="F137" s="6" t="s">
        <v>21</v>
      </c>
      <c r="G137" s="14"/>
      <c r="H137" s="14"/>
      <c r="I137" s="14" t="s">
        <v>642</v>
      </c>
      <c r="J137" s="18" t="s">
        <v>643</v>
      </c>
      <c r="K137" s="14" t="s">
        <v>54</v>
      </c>
      <c r="L137" s="17"/>
    </row>
    <row r="138" spans="1:12" ht="12.75" customHeight="1">
      <c r="A138" s="116" t="s">
        <v>644</v>
      </c>
      <c r="B138" s="22" t="s">
        <v>645</v>
      </c>
      <c r="C138" s="14" t="s">
        <v>646</v>
      </c>
      <c r="D138" s="6" t="s">
        <v>19</v>
      </c>
      <c r="E138" s="102" t="s">
        <v>20</v>
      </c>
      <c r="F138" s="6" t="s">
        <v>21</v>
      </c>
      <c r="G138" s="14"/>
      <c r="H138" s="14"/>
      <c r="I138" s="14" t="s">
        <v>647</v>
      </c>
      <c r="J138" s="14" t="s">
        <v>648</v>
      </c>
      <c r="K138" s="14" t="s">
        <v>40</v>
      </c>
      <c r="L138" s="17"/>
    </row>
    <row r="139" spans="1:12" ht="12.75" customHeight="1">
      <c r="A139" s="25" t="s">
        <v>649</v>
      </c>
      <c r="B139" s="44" t="s">
        <v>650</v>
      </c>
      <c r="C139" s="49" t="s">
        <v>651</v>
      </c>
      <c r="D139" s="46" t="s">
        <v>26</v>
      </c>
      <c r="E139" s="47" t="s">
        <v>26</v>
      </c>
      <c r="F139" s="20" t="s">
        <v>27</v>
      </c>
      <c r="G139" s="49"/>
      <c r="H139" s="49"/>
      <c r="I139" s="51"/>
      <c r="J139" s="50"/>
      <c r="K139" s="51" t="s">
        <v>32</v>
      </c>
      <c r="L139" s="52"/>
    </row>
    <row r="140" spans="1:12" ht="12.75" customHeight="1">
      <c r="A140" s="73" t="s">
        <v>652</v>
      </c>
      <c r="B140" s="9" t="s">
        <v>653</v>
      </c>
      <c r="C140" s="13" t="s">
        <v>654</v>
      </c>
      <c r="D140" s="11" t="s">
        <v>26</v>
      </c>
      <c r="E140" s="12" t="s">
        <v>26</v>
      </c>
      <c r="F140" s="20" t="s">
        <v>27</v>
      </c>
      <c r="G140" s="13"/>
      <c r="H140" s="13"/>
      <c r="I140" s="14" t="s">
        <v>655</v>
      </c>
      <c r="J140" s="18" t="s">
        <v>457</v>
      </c>
      <c r="K140" s="14" t="s">
        <v>40</v>
      </c>
      <c r="L140" s="18"/>
    </row>
    <row r="141" spans="1:12" ht="12.75" customHeight="1">
      <c r="A141" s="8" t="s">
        <v>656</v>
      </c>
      <c r="B141" s="7" t="s">
        <v>657</v>
      </c>
      <c r="C141" s="15" t="s">
        <v>658</v>
      </c>
      <c r="D141" s="11" t="s">
        <v>19</v>
      </c>
      <c r="E141" s="12" t="s">
        <v>20</v>
      </c>
      <c r="F141" s="55" t="s">
        <v>44</v>
      </c>
      <c r="G141" s="13" t="s">
        <v>659</v>
      </c>
      <c r="H141" s="13"/>
      <c r="I141" s="18" t="s">
        <v>463</v>
      </c>
      <c r="J141" s="18" t="s">
        <v>464</v>
      </c>
      <c r="K141" s="14" t="s">
        <v>40</v>
      </c>
      <c r="L141" s="60"/>
    </row>
    <row r="142" spans="1:12" ht="12" customHeight="1">
      <c r="A142" s="8" t="s">
        <v>660</v>
      </c>
      <c r="B142" s="7" t="s">
        <v>661</v>
      </c>
      <c r="C142" s="15" t="s">
        <v>662</v>
      </c>
      <c r="D142" s="11" t="s">
        <v>19</v>
      </c>
      <c r="E142" s="12" t="s">
        <v>20</v>
      </c>
      <c r="F142" s="6" t="s">
        <v>21</v>
      </c>
      <c r="G142" s="13"/>
      <c r="H142" s="13"/>
      <c r="I142" s="18" t="s">
        <v>52</v>
      </c>
      <c r="J142" s="40" t="s">
        <v>468</v>
      </c>
      <c r="K142" s="13" t="s">
        <v>54</v>
      </c>
      <c r="L142" s="60"/>
    </row>
    <row r="143" spans="1:12" ht="12" customHeight="1">
      <c r="A143" s="8" t="s">
        <v>663</v>
      </c>
      <c r="B143" s="7" t="s">
        <v>664</v>
      </c>
      <c r="C143" s="15" t="s">
        <v>665</v>
      </c>
      <c r="D143" s="11" t="s">
        <v>19</v>
      </c>
      <c r="E143" s="12" t="s">
        <v>20</v>
      </c>
      <c r="F143" s="6" t="s">
        <v>21</v>
      </c>
      <c r="G143" s="13"/>
      <c r="H143" s="13"/>
      <c r="I143" s="18" t="s">
        <v>471</v>
      </c>
      <c r="J143" s="41" t="s">
        <v>59</v>
      </c>
      <c r="K143" s="14" t="s">
        <v>40</v>
      </c>
      <c r="L143" s="17"/>
    </row>
    <row r="144" spans="1:12" ht="12" customHeight="1">
      <c r="A144" s="73" t="s">
        <v>666</v>
      </c>
      <c r="B144" s="9" t="s">
        <v>667</v>
      </c>
      <c r="C144" s="13" t="s">
        <v>668</v>
      </c>
      <c r="D144" s="11" t="s">
        <v>26</v>
      </c>
      <c r="E144" s="12" t="s">
        <v>26</v>
      </c>
      <c r="F144" s="20" t="s">
        <v>27</v>
      </c>
      <c r="G144" s="13"/>
      <c r="H144" s="13"/>
      <c r="I144" s="14" t="s">
        <v>669</v>
      </c>
      <c r="J144" s="88" t="s">
        <v>343</v>
      </c>
      <c r="K144" s="16" t="s">
        <v>24</v>
      </c>
      <c r="L144" s="17" t="s">
        <v>64</v>
      </c>
    </row>
    <row r="145" spans="1:12" ht="12.75" customHeight="1">
      <c r="A145" s="90" t="s">
        <v>670</v>
      </c>
      <c r="B145" s="9" t="s">
        <v>671</v>
      </c>
      <c r="C145" s="13" t="s">
        <v>672</v>
      </c>
      <c r="D145" s="11" t="s">
        <v>20</v>
      </c>
      <c r="E145" s="12" t="s">
        <v>20</v>
      </c>
      <c r="F145" s="6" t="s">
        <v>21</v>
      </c>
      <c r="G145" s="13"/>
      <c r="H145" s="13"/>
      <c r="I145" s="14" t="s">
        <v>673</v>
      </c>
      <c r="J145" s="18" t="s">
        <v>674</v>
      </c>
      <c r="K145" s="14" t="s">
        <v>40</v>
      </c>
      <c r="L145" s="17"/>
    </row>
    <row r="146" spans="1:12" ht="12.75" customHeight="1">
      <c r="A146" s="91" t="s">
        <v>675</v>
      </c>
      <c r="B146" s="69" t="s">
        <v>676</v>
      </c>
      <c r="C146" s="68" t="s">
        <v>677</v>
      </c>
      <c r="D146" s="66" t="s">
        <v>19</v>
      </c>
      <c r="E146" s="117" t="s">
        <v>20</v>
      </c>
      <c r="F146" s="66" t="s">
        <v>21</v>
      </c>
      <c r="G146" s="68"/>
      <c r="H146" s="68"/>
      <c r="I146" s="68" t="s">
        <v>678</v>
      </c>
      <c r="J146" s="118" t="s">
        <v>679</v>
      </c>
      <c r="K146" s="14" t="s">
        <v>40</v>
      </c>
      <c r="L146" s="119"/>
    </row>
    <row r="147" spans="1:12" ht="12.75" customHeight="1">
      <c r="A147" s="25" t="s">
        <v>680</v>
      </c>
      <c r="B147" s="44" t="s">
        <v>682</v>
      </c>
      <c r="C147" s="49" t="s">
        <v>683</v>
      </c>
      <c r="D147" s="46" t="s">
        <v>19</v>
      </c>
      <c r="E147" s="47" t="s">
        <v>31</v>
      </c>
      <c r="F147" s="78" t="s">
        <v>21</v>
      </c>
      <c r="G147" s="49"/>
      <c r="H147" s="49"/>
      <c r="I147" s="49"/>
      <c r="J147" s="79"/>
      <c r="K147" s="51" t="s">
        <v>32</v>
      </c>
      <c r="L147" s="52"/>
    </row>
    <row r="148" spans="1:12" ht="12.75" customHeight="1">
      <c r="A148" s="8" t="s">
        <v>684</v>
      </c>
      <c r="B148" s="9" t="s">
        <v>685</v>
      </c>
      <c r="C148" s="13" t="s">
        <v>686</v>
      </c>
      <c r="D148" s="11" t="s">
        <v>19</v>
      </c>
      <c r="E148" s="12" t="s">
        <v>20</v>
      </c>
      <c r="F148" s="11" t="s">
        <v>21</v>
      </c>
      <c r="G148" s="13"/>
      <c r="H148" s="13"/>
      <c r="I148" s="13" t="s">
        <v>687</v>
      </c>
      <c r="J148" s="15" t="s">
        <v>688</v>
      </c>
      <c r="K148" s="14" t="s">
        <v>40</v>
      </c>
      <c r="L148" s="17"/>
    </row>
    <row r="149" spans="1:12" ht="12.75" customHeight="1">
      <c r="A149" s="8" t="s">
        <v>689</v>
      </c>
      <c r="B149" s="9" t="s">
        <v>690</v>
      </c>
      <c r="C149" s="13" t="s">
        <v>691</v>
      </c>
      <c r="D149" s="11" t="s">
        <v>19</v>
      </c>
      <c r="E149" s="12" t="s">
        <v>26</v>
      </c>
      <c r="F149" s="55" t="s">
        <v>36</v>
      </c>
      <c r="G149" s="13" t="s">
        <v>692</v>
      </c>
      <c r="H149" s="13" t="s">
        <v>681</v>
      </c>
      <c r="I149" s="13" t="s">
        <v>693</v>
      </c>
      <c r="J149" s="15" t="s">
        <v>694</v>
      </c>
      <c r="K149" s="56" t="s">
        <v>92</v>
      </c>
      <c r="L149" s="17"/>
    </row>
    <row r="150" spans="1:12" ht="12.75" customHeight="1">
      <c r="A150" s="8" t="s">
        <v>695</v>
      </c>
      <c r="B150" s="9" t="s">
        <v>696</v>
      </c>
      <c r="C150" s="13" t="s">
        <v>697</v>
      </c>
      <c r="D150" s="11" t="s">
        <v>19</v>
      </c>
      <c r="E150" s="12" t="s">
        <v>26</v>
      </c>
      <c r="F150" s="55" t="s">
        <v>36</v>
      </c>
      <c r="G150" s="13" t="s">
        <v>692</v>
      </c>
      <c r="H150" s="13" t="s">
        <v>681</v>
      </c>
      <c r="I150" s="13" t="s">
        <v>698</v>
      </c>
      <c r="J150" s="15" t="s">
        <v>699</v>
      </c>
      <c r="K150" s="14" t="s">
        <v>40</v>
      </c>
      <c r="L150" s="17"/>
    </row>
    <row r="151" spans="1:12" ht="12.75" customHeight="1">
      <c r="A151" s="8" t="s">
        <v>700</v>
      </c>
      <c r="B151" s="9" t="s">
        <v>701</v>
      </c>
      <c r="C151" s="13" t="s">
        <v>702</v>
      </c>
      <c r="D151" s="11" t="s">
        <v>19</v>
      </c>
      <c r="E151" s="12" t="s">
        <v>26</v>
      </c>
      <c r="F151" s="55" t="s">
        <v>36</v>
      </c>
      <c r="G151" s="13" t="s">
        <v>692</v>
      </c>
      <c r="H151" s="13" t="s">
        <v>681</v>
      </c>
      <c r="I151" s="13" t="s">
        <v>703</v>
      </c>
      <c r="J151" s="88" t="s">
        <v>704</v>
      </c>
      <c r="K151" s="16" t="s">
        <v>24</v>
      </c>
      <c r="L151" s="17" t="s">
        <v>705</v>
      </c>
    </row>
    <row r="152" spans="1:12" ht="12.75" customHeight="1">
      <c r="A152" s="8" t="s">
        <v>706</v>
      </c>
      <c r="B152" s="9" t="s">
        <v>707</v>
      </c>
      <c r="C152" s="13" t="s">
        <v>708</v>
      </c>
      <c r="D152" s="11" t="s">
        <v>19</v>
      </c>
      <c r="E152" s="12" t="s">
        <v>20</v>
      </c>
      <c r="F152" s="86" t="s">
        <v>21</v>
      </c>
      <c r="G152" s="13"/>
      <c r="H152" s="13"/>
      <c r="I152" s="13" t="s">
        <v>709</v>
      </c>
      <c r="J152" s="15" t="s">
        <v>710</v>
      </c>
      <c r="K152" s="56" t="s">
        <v>92</v>
      </c>
      <c r="L152" s="17"/>
    </row>
    <row r="153" spans="1:12" ht="12" customHeight="1">
      <c r="A153" s="25" t="s">
        <v>711</v>
      </c>
      <c r="B153" s="44" t="s">
        <v>712</v>
      </c>
      <c r="C153" s="49" t="s">
        <v>713</v>
      </c>
      <c r="D153" s="46" t="s">
        <v>19</v>
      </c>
      <c r="E153" s="47" t="s">
        <v>20</v>
      </c>
      <c r="F153" s="78" t="s">
        <v>21</v>
      </c>
      <c r="G153" s="49"/>
      <c r="H153" s="49"/>
      <c r="I153" s="49"/>
      <c r="J153" s="79"/>
      <c r="K153" s="51" t="s">
        <v>32</v>
      </c>
      <c r="L153" s="52"/>
    </row>
    <row r="154" spans="1:12" ht="12.75" customHeight="1">
      <c r="A154" s="8" t="s">
        <v>714</v>
      </c>
      <c r="B154" s="9" t="s">
        <v>715</v>
      </c>
      <c r="C154" s="13" t="s">
        <v>716</v>
      </c>
      <c r="D154" s="11" t="s">
        <v>19</v>
      </c>
      <c r="E154" s="12" t="s">
        <v>26</v>
      </c>
      <c r="F154" s="55" t="s">
        <v>36</v>
      </c>
      <c r="G154" s="13" t="s">
        <v>717</v>
      </c>
      <c r="H154" s="13" t="s">
        <v>718</v>
      </c>
      <c r="I154" s="13" t="s">
        <v>719</v>
      </c>
      <c r="J154" s="120" t="s">
        <v>720</v>
      </c>
      <c r="K154" s="16" t="s">
        <v>24</v>
      </c>
      <c r="L154" s="17" t="s">
        <v>721</v>
      </c>
    </row>
    <row r="155" spans="1:12" ht="12.75" customHeight="1">
      <c r="A155" s="8" t="s">
        <v>722</v>
      </c>
      <c r="B155" s="9" t="s">
        <v>723</v>
      </c>
      <c r="C155" s="13" t="s">
        <v>724</v>
      </c>
      <c r="D155" s="11" t="s">
        <v>19</v>
      </c>
      <c r="E155" s="12" t="s">
        <v>20</v>
      </c>
      <c r="F155" s="11" t="s">
        <v>21</v>
      </c>
      <c r="G155" s="13"/>
      <c r="H155" s="13"/>
      <c r="I155" s="13" t="s">
        <v>725</v>
      </c>
      <c r="J155" s="121"/>
      <c r="K155" s="14" t="s">
        <v>40</v>
      </c>
      <c r="L155" s="17"/>
    </row>
    <row r="156" spans="1:12" ht="12.75" customHeight="1">
      <c r="A156" s="25" t="s">
        <v>726</v>
      </c>
      <c r="B156" s="44" t="s">
        <v>727</v>
      </c>
      <c r="C156" s="49" t="s">
        <v>728</v>
      </c>
      <c r="D156" s="46" t="s">
        <v>19</v>
      </c>
      <c r="E156" s="47" t="s">
        <v>31</v>
      </c>
      <c r="F156" s="46" t="s">
        <v>21</v>
      </c>
      <c r="G156" s="49"/>
      <c r="H156" s="49"/>
      <c r="I156" s="49"/>
      <c r="J156" s="50"/>
      <c r="K156" s="51" t="s">
        <v>32</v>
      </c>
      <c r="L156" s="52"/>
    </row>
    <row r="157" spans="1:12" ht="12.75" customHeight="1">
      <c r="A157" s="8" t="s">
        <v>729</v>
      </c>
      <c r="B157" s="9" t="s">
        <v>730</v>
      </c>
      <c r="C157" s="13" t="s">
        <v>731</v>
      </c>
      <c r="D157" s="11" t="s">
        <v>19</v>
      </c>
      <c r="E157" s="12" t="s">
        <v>20</v>
      </c>
      <c r="F157" s="11" t="s">
        <v>21</v>
      </c>
      <c r="G157" s="13"/>
      <c r="H157" s="13"/>
      <c r="I157" s="13" t="s">
        <v>732</v>
      </c>
      <c r="J157" s="121" t="s">
        <v>733</v>
      </c>
      <c r="K157" s="14" t="s">
        <v>40</v>
      </c>
      <c r="L157" s="17"/>
    </row>
    <row r="158" spans="1:12" ht="12.75" customHeight="1">
      <c r="A158" s="8" t="s">
        <v>734</v>
      </c>
      <c r="B158" s="9" t="s">
        <v>735</v>
      </c>
      <c r="C158" s="13" t="s">
        <v>736</v>
      </c>
      <c r="D158" s="11" t="s">
        <v>19</v>
      </c>
      <c r="E158" s="12" t="s">
        <v>26</v>
      </c>
      <c r="F158" s="55" t="s">
        <v>36</v>
      </c>
      <c r="G158" s="13" t="s">
        <v>737</v>
      </c>
      <c r="H158" s="13" t="s">
        <v>727</v>
      </c>
      <c r="I158" s="13" t="s">
        <v>738</v>
      </c>
      <c r="J158" s="88" t="s">
        <v>739</v>
      </c>
      <c r="K158" s="16" t="s">
        <v>24</v>
      </c>
      <c r="L158" s="17" t="s">
        <v>740</v>
      </c>
    </row>
    <row r="159" spans="1:12" ht="12.75" customHeight="1">
      <c r="A159" s="8" t="s">
        <v>742</v>
      </c>
      <c r="B159" s="9" t="s">
        <v>743</v>
      </c>
      <c r="C159" s="13" t="s">
        <v>744</v>
      </c>
      <c r="D159" s="11" t="s">
        <v>19</v>
      </c>
      <c r="E159" s="12" t="s">
        <v>20</v>
      </c>
      <c r="F159" s="11" t="s">
        <v>21</v>
      </c>
      <c r="G159" s="13"/>
      <c r="H159" s="13"/>
      <c r="I159" s="13" t="s">
        <v>745</v>
      </c>
      <c r="J159" s="13" t="s">
        <v>746</v>
      </c>
      <c r="K159" s="95" t="s">
        <v>92</v>
      </c>
      <c r="L159" s="17"/>
    </row>
    <row r="160" spans="1:12" ht="12.75" customHeight="1">
      <c r="A160" s="8" t="s">
        <v>747</v>
      </c>
      <c r="B160" s="9" t="s">
        <v>748</v>
      </c>
      <c r="C160" s="13" t="s">
        <v>749</v>
      </c>
      <c r="D160" s="11" t="s">
        <v>19</v>
      </c>
      <c r="E160" s="12" t="s">
        <v>31</v>
      </c>
      <c r="F160" s="11" t="s">
        <v>21</v>
      </c>
      <c r="G160" s="13"/>
      <c r="H160" s="13"/>
      <c r="I160" s="13" t="s">
        <v>750</v>
      </c>
      <c r="J160" s="13" t="s">
        <v>751</v>
      </c>
      <c r="K160" s="95" t="s">
        <v>92</v>
      </c>
      <c r="L160" s="17"/>
    </row>
    <row r="161" spans="1:12" ht="12.75" customHeight="1">
      <c r="A161" s="8" t="s">
        <v>752</v>
      </c>
      <c r="B161" s="9" t="s">
        <v>753</v>
      </c>
      <c r="C161" s="13" t="s">
        <v>754</v>
      </c>
      <c r="D161" s="11" t="s">
        <v>19</v>
      </c>
      <c r="E161" s="12" t="s">
        <v>20</v>
      </c>
      <c r="F161" s="11" t="s">
        <v>21</v>
      </c>
      <c r="G161" s="13"/>
      <c r="H161" s="13"/>
      <c r="I161" s="13" t="s">
        <v>755</v>
      </c>
      <c r="J161" s="40" t="s">
        <v>756</v>
      </c>
      <c r="K161" s="14" t="s">
        <v>54</v>
      </c>
      <c r="L161" s="17"/>
    </row>
    <row r="162" spans="1:12" ht="12.75" customHeight="1">
      <c r="A162" s="25" t="s">
        <v>757</v>
      </c>
      <c r="B162" s="44" t="s">
        <v>758</v>
      </c>
      <c r="C162" s="49" t="s">
        <v>759</v>
      </c>
      <c r="D162" s="46" t="s">
        <v>19</v>
      </c>
      <c r="E162" s="47" t="s">
        <v>31</v>
      </c>
      <c r="F162" s="78" t="s">
        <v>21</v>
      </c>
      <c r="G162" s="49"/>
      <c r="H162" s="49"/>
      <c r="I162" s="49"/>
      <c r="J162" s="122"/>
      <c r="K162" s="51" t="s">
        <v>32</v>
      </c>
      <c r="L162" s="52"/>
    </row>
    <row r="163" spans="1:12" ht="12.75" customHeight="1">
      <c r="A163" s="8" t="s">
        <v>760</v>
      </c>
      <c r="B163" s="9" t="s">
        <v>761</v>
      </c>
      <c r="C163" s="13" t="s">
        <v>762</v>
      </c>
      <c r="D163" s="11" t="s">
        <v>19</v>
      </c>
      <c r="E163" s="12" t="s">
        <v>26</v>
      </c>
      <c r="F163" s="55" t="s">
        <v>36</v>
      </c>
      <c r="G163" s="13" t="s">
        <v>763</v>
      </c>
      <c r="H163" s="13" t="s">
        <v>758</v>
      </c>
      <c r="I163" s="13" t="s">
        <v>764</v>
      </c>
      <c r="J163" s="13" t="s">
        <v>765</v>
      </c>
      <c r="K163" s="14" t="s">
        <v>40</v>
      </c>
      <c r="L163" s="17"/>
    </row>
    <row r="164" spans="1:12" ht="12.75" customHeight="1">
      <c r="A164" s="8" t="s">
        <v>766</v>
      </c>
      <c r="B164" s="9" t="s">
        <v>767</v>
      </c>
      <c r="C164" s="13" t="s">
        <v>768</v>
      </c>
      <c r="D164" s="11" t="s">
        <v>19</v>
      </c>
      <c r="E164" s="12" t="s">
        <v>26</v>
      </c>
      <c r="F164" s="55" t="s">
        <v>36</v>
      </c>
      <c r="G164" s="13" t="s">
        <v>763</v>
      </c>
      <c r="H164" s="13"/>
      <c r="I164" s="13" t="s">
        <v>769</v>
      </c>
      <c r="J164" s="120" t="s">
        <v>720</v>
      </c>
      <c r="K164" s="16" t="s">
        <v>24</v>
      </c>
      <c r="L164" s="17" t="s">
        <v>721</v>
      </c>
    </row>
    <row r="165" spans="1:12" ht="12.75" customHeight="1">
      <c r="A165" s="8" t="s">
        <v>770</v>
      </c>
      <c r="B165" s="9" t="s">
        <v>771</v>
      </c>
      <c r="C165" s="15" t="s">
        <v>772</v>
      </c>
      <c r="D165" s="11" t="s">
        <v>19</v>
      </c>
      <c r="E165" s="12" t="s">
        <v>20</v>
      </c>
      <c r="F165" s="55" t="s">
        <v>44</v>
      </c>
      <c r="G165" s="13" t="s">
        <v>773</v>
      </c>
      <c r="H165" s="13"/>
      <c r="I165" s="15" t="s">
        <v>774</v>
      </c>
      <c r="J165" s="121" t="s">
        <v>775</v>
      </c>
      <c r="K165" s="96" t="s">
        <v>92</v>
      </c>
      <c r="L165" s="17"/>
    </row>
    <row r="166" spans="1:12" ht="12.75" customHeight="1">
      <c r="A166" s="8" t="s">
        <v>776</v>
      </c>
      <c r="B166" s="9" t="s">
        <v>777</v>
      </c>
      <c r="C166" s="13" t="s">
        <v>778</v>
      </c>
      <c r="D166" s="11" t="s">
        <v>19</v>
      </c>
      <c r="E166" s="12" t="s">
        <v>26</v>
      </c>
      <c r="F166" s="55" t="s">
        <v>36</v>
      </c>
      <c r="G166" s="13" t="s">
        <v>763</v>
      </c>
      <c r="H166" s="13"/>
      <c r="I166" s="13" t="s">
        <v>779</v>
      </c>
      <c r="J166" s="120" t="s">
        <v>720</v>
      </c>
      <c r="K166" s="16" t="s">
        <v>24</v>
      </c>
      <c r="L166" s="17" t="s">
        <v>721</v>
      </c>
    </row>
    <row r="167" spans="1:12" ht="12.75" customHeight="1">
      <c r="A167" s="8" t="s">
        <v>780</v>
      </c>
      <c r="B167" s="9" t="s">
        <v>781</v>
      </c>
      <c r="C167" s="13" t="s">
        <v>782</v>
      </c>
      <c r="D167" s="11" t="s">
        <v>19</v>
      </c>
      <c r="E167" s="12" t="s">
        <v>20</v>
      </c>
      <c r="F167" s="6" t="s">
        <v>21</v>
      </c>
      <c r="G167" s="13"/>
      <c r="H167" s="13"/>
      <c r="I167" s="13" t="s">
        <v>783</v>
      </c>
      <c r="J167" s="121" t="s">
        <v>784</v>
      </c>
      <c r="K167" s="95" t="s">
        <v>785</v>
      </c>
      <c r="L167" s="17"/>
    </row>
    <row r="168" spans="1:12" ht="12.75" customHeight="1">
      <c r="A168" s="8" t="s">
        <v>786</v>
      </c>
      <c r="B168" s="9" t="s">
        <v>787</v>
      </c>
      <c r="C168" s="13" t="s">
        <v>788</v>
      </c>
      <c r="D168" s="11" t="s">
        <v>19</v>
      </c>
      <c r="E168" s="12" t="s">
        <v>31</v>
      </c>
      <c r="F168" s="6" t="s">
        <v>21</v>
      </c>
      <c r="G168" s="13"/>
      <c r="H168" s="13"/>
      <c r="I168" s="13" t="s">
        <v>789</v>
      </c>
      <c r="J168" s="121"/>
      <c r="K168" s="95" t="s">
        <v>92</v>
      </c>
      <c r="L168" s="17"/>
    </row>
    <row r="169" spans="1:12" ht="12.75" customHeight="1">
      <c r="A169" s="8" t="s">
        <v>790</v>
      </c>
      <c r="B169" s="9" t="s">
        <v>791</v>
      </c>
      <c r="C169" s="13" t="s">
        <v>792</v>
      </c>
      <c r="D169" s="11" t="s">
        <v>19</v>
      </c>
      <c r="E169" s="12" t="s">
        <v>31</v>
      </c>
      <c r="F169" s="6" t="s">
        <v>21</v>
      </c>
      <c r="G169" s="13"/>
      <c r="H169" s="13"/>
      <c r="I169" s="13" t="s">
        <v>793</v>
      </c>
      <c r="J169" s="13" t="s">
        <v>794</v>
      </c>
      <c r="K169" s="14" t="s">
        <v>40</v>
      </c>
      <c r="L169" s="17"/>
    </row>
    <row r="170" spans="1:12" ht="12.75" customHeight="1">
      <c r="A170" s="8" t="s">
        <v>795</v>
      </c>
      <c r="B170" s="9" t="s">
        <v>796</v>
      </c>
      <c r="C170" s="13" t="s">
        <v>797</v>
      </c>
      <c r="D170" s="11" t="s">
        <v>19</v>
      </c>
      <c r="E170" s="12" t="s">
        <v>31</v>
      </c>
      <c r="F170" s="6" t="s">
        <v>21</v>
      </c>
      <c r="G170" s="13"/>
      <c r="H170" s="13"/>
      <c r="I170" s="13" t="s">
        <v>798</v>
      </c>
      <c r="J170" s="13" t="s">
        <v>799</v>
      </c>
      <c r="K170" s="14" t="s">
        <v>40</v>
      </c>
      <c r="L170" s="17"/>
    </row>
    <row r="171" spans="1:12" ht="12.75" customHeight="1">
      <c r="A171" s="8" t="s">
        <v>800</v>
      </c>
      <c r="B171" s="9" t="s">
        <v>801</v>
      </c>
      <c r="C171" s="13" t="s">
        <v>802</v>
      </c>
      <c r="D171" s="11" t="s">
        <v>19</v>
      </c>
      <c r="E171" s="12" t="s">
        <v>20</v>
      </c>
      <c r="F171" s="6" t="s">
        <v>21</v>
      </c>
      <c r="G171" s="13"/>
      <c r="H171" s="13"/>
      <c r="I171" s="13" t="s">
        <v>803</v>
      </c>
      <c r="J171" s="13" t="s">
        <v>746</v>
      </c>
      <c r="K171" s="95" t="s">
        <v>92</v>
      </c>
      <c r="L171" s="17"/>
    </row>
    <row r="172" spans="1:12" ht="12.75" customHeight="1">
      <c r="A172" s="8" t="s">
        <v>804</v>
      </c>
      <c r="B172" s="9" t="s">
        <v>805</v>
      </c>
      <c r="C172" s="13" t="s">
        <v>806</v>
      </c>
      <c r="D172" s="11" t="s">
        <v>19</v>
      </c>
      <c r="E172" s="12" t="s">
        <v>31</v>
      </c>
      <c r="F172" s="6" t="s">
        <v>21</v>
      </c>
      <c r="G172" s="13"/>
      <c r="H172" s="13"/>
      <c r="I172" s="13" t="s">
        <v>807</v>
      </c>
      <c r="J172" s="120" t="s">
        <v>808</v>
      </c>
      <c r="K172" s="16" t="s">
        <v>24</v>
      </c>
      <c r="L172" s="17" t="s">
        <v>809</v>
      </c>
    </row>
    <row r="173" spans="1:12" ht="12.75" customHeight="1">
      <c r="A173" s="25" t="s">
        <v>810</v>
      </c>
      <c r="B173" s="44" t="s">
        <v>811</v>
      </c>
      <c r="C173" s="49" t="s">
        <v>812</v>
      </c>
      <c r="D173" s="46" t="s">
        <v>31</v>
      </c>
      <c r="E173" s="47" t="s">
        <v>31</v>
      </c>
      <c r="F173" s="46" t="s">
        <v>21</v>
      </c>
      <c r="G173" s="49"/>
      <c r="H173" s="49"/>
      <c r="I173" s="51"/>
      <c r="J173" s="50"/>
      <c r="K173" s="51" t="s">
        <v>32</v>
      </c>
      <c r="L173" s="94"/>
    </row>
    <row r="174" spans="1:12" ht="12.75" customHeight="1">
      <c r="A174" s="90" t="s">
        <v>813</v>
      </c>
      <c r="B174" s="9" t="s">
        <v>814</v>
      </c>
      <c r="C174" s="13" t="s">
        <v>815</v>
      </c>
      <c r="D174" s="11" t="s">
        <v>20</v>
      </c>
      <c r="E174" s="12" t="s">
        <v>20</v>
      </c>
      <c r="F174" s="6" t="s">
        <v>21</v>
      </c>
      <c r="G174" s="13"/>
      <c r="H174" s="13"/>
      <c r="I174" s="14" t="s">
        <v>816</v>
      </c>
      <c r="J174" s="123" t="s">
        <v>817</v>
      </c>
      <c r="K174" s="14" t="s">
        <v>54</v>
      </c>
      <c r="L174" s="33"/>
    </row>
    <row r="175" spans="1:12" ht="12.75" customHeight="1">
      <c r="A175" s="73" t="s">
        <v>818</v>
      </c>
      <c r="B175" s="9" t="s">
        <v>819</v>
      </c>
      <c r="C175" s="13" t="s">
        <v>820</v>
      </c>
      <c r="D175" s="11" t="s">
        <v>20</v>
      </c>
      <c r="E175" s="12" t="s">
        <v>20</v>
      </c>
      <c r="F175" s="124" t="s">
        <v>21</v>
      </c>
      <c r="G175" s="15"/>
      <c r="H175" s="15"/>
      <c r="I175" s="14" t="s">
        <v>821</v>
      </c>
      <c r="J175" s="18" t="s">
        <v>492</v>
      </c>
      <c r="K175" s="95" t="s">
        <v>92</v>
      </c>
      <c r="L175" s="33"/>
    </row>
    <row r="176" spans="1:12" ht="12.75" customHeight="1">
      <c r="A176" s="90" t="s">
        <v>822</v>
      </c>
      <c r="B176" s="9" t="s">
        <v>823</v>
      </c>
      <c r="C176" s="13" t="s">
        <v>824</v>
      </c>
      <c r="D176" s="11" t="s">
        <v>20</v>
      </c>
      <c r="E176" s="12" t="s">
        <v>20</v>
      </c>
      <c r="F176" s="6" t="s">
        <v>21</v>
      </c>
      <c r="G176" s="13"/>
      <c r="H176" s="13"/>
      <c r="I176" s="14" t="s">
        <v>825</v>
      </c>
      <c r="J176" s="18" t="s">
        <v>826</v>
      </c>
      <c r="K176" s="14" t="s">
        <v>219</v>
      </c>
      <c r="L176" s="33"/>
    </row>
    <row r="177" spans="1:12" ht="12.75" customHeight="1">
      <c r="A177" s="125" t="s">
        <v>827</v>
      </c>
      <c r="B177" s="9" t="s">
        <v>828</v>
      </c>
      <c r="C177" s="13" t="s">
        <v>829</v>
      </c>
      <c r="D177" s="11" t="s">
        <v>19</v>
      </c>
      <c r="E177" s="12" t="s">
        <v>20</v>
      </c>
      <c r="F177" s="6" t="s">
        <v>21</v>
      </c>
      <c r="G177" s="13"/>
      <c r="H177" s="13"/>
      <c r="I177" s="13" t="s">
        <v>830</v>
      </c>
      <c r="J177" s="126" t="s">
        <v>831</v>
      </c>
      <c r="K177" s="16" t="s">
        <v>24</v>
      </c>
      <c r="L177" s="17" t="s">
        <v>832</v>
      </c>
    </row>
    <row r="178" spans="1:12" ht="12.75" customHeight="1">
      <c r="A178" s="125" t="s">
        <v>833</v>
      </c>
      <c r="B178" s="9" t="s">
        <v>834</v>
      </c>
      <c r="C178" s="13" t="s">
        <v>835</v>
      </c>
      <c r="D178" s="11" t="s">
        <v>19</v>
      </c>
      <c r="E178" s="12" t="s">
        <v>20</v>
      </c>
      <c r="F178" s="6" t="s">
        <v>21</v>
      </c>
      <c r="G178" s="13"/>
      <c r="H178" s="13"/>
      <c r="I178" s="13" t="s">
        <v>836</v>
      </c>
      <c r="J178" s="126" t="s">
        <v>837</v>
      </c>
      <c r="K178" s="16" t="s">
        <v>24</v>
      </c>
      <c r="L178" s="17" t="s">
        <v>838</v>
      </c>
    </row>
    <row r="179" spans="1:12" ht="12.75" customHeight="1">
      <c r="A179" s="125" t="s">
        <v>839</v>
      </c>
      <c r="B179" s="9" t="s">
        <v>840</v>
      </c>
      <c r="C179" s="13" t="s">
        <v>841</v>
      </c>
      <c r="D179" s="11" t="s">
        <v>19</v>
      </c>
      <c r="E179" s="12" t="s">
        <v>20</v>
      </c>
      <c r="F179" s="6" t="s">
        <v>21</v>
      </c>
      <c r="G179" s="13"/>
      <c r="H179" s="13"/>
      <c r="I179" s="13" t="s">
        <v>842</v>
      </c>
      <c r="J179" s="126" t="s">
        <v>843</v>
      </c>
      <c r="K179" s="16" t="s">
        <v>24</v>
      </c>
      <c r="L179" s="17" t="s">
        <v>838</v>
      </c>
    </row>
    <row r="180" spans="1:12" ht="12.75" customHeight="1">
      <c r="A180" s="25" t="s">
        <v>844</v>
      </c>
      <c r="B180" s="44" t="s">
        <v>845</v>
      </c>
      <c r="C180" s="49" t="s">
        <v>846</v>
      </c>
      <c r="D180" s="46" t="s">
        <v>19</v>
      </c>
      <c r="E180" s="47" t="s">
        <v>20</v>
      </c>
      <c r="F180" s="46" t="s">
        <v>21</v>
      </c>
      <c r="G180" s="49"/>
      <c r="H180" s="49"/>
      <c r="I180" s="51"/>
      <c r="J180" s="50"/>
      <c r="K180" s="45" t="s">
        <v>32</v>
      </c>
      <c r="L180" s="94"/>
    </row>
    <row r="181" spans="1:12" ht="12.75" customHeight="1">
      <c r="A181" s="8" t="s">
        <v>847</v>
      </c>
      <c r="B181" s="9" t="s">
        <v>848</v>
      </c>
      <c r="C181" s="13" t="s">
        <v>849</v>
      </c>
      <c r="D181" s="11" t="s">
        <v>19</v>
      </c>
      <c r="E181" s="12" t="s">
        <v>20</v>
      </c>
      <c r="F181" s="124" t="s">
        <v>21</v>
      </c>
      <c r="G181" s="13"/>
      <c r="H181" s="13"/>
      <c r="I181" s="18" t="s">
        <v>850</v>
      </c>
      <c r="J181" s="60"/>
      <c r="K181" s="127" t="s">
        <v>40</v>
      </c>
      <c r="L181" s="33"/>
    </row>
    <row r="182" spans="1:12" ht="12.75" customHeight="1">
      <c r="A182" s="8" t="s">
        <v>851</v>
      </c>
      <c r="B182" s="9" t="s">
        <v>852</v>
      </c>
      <c r="C182" s="13" t="s">
        <v>853</v>
      </c>
      <c r="D182" s="11" t="s">
        <v>19</v>
      </c>
      <c r="E182" s="12" t="s">
        <v>20</v>
      </c>
      <c r="F182" s="124" t="s">
        <v>21</v>
      </c>
      <c r="G182" s="13"/>
      <c r="H182" s="13"/>
      <c r="I182" s="18" t="s">
        <v>854</v>
      </c>
      <c r="J182" s="60"/>
      <c r="K182" s="128" t="s">
        <v>54</v>
      </c>
      <c r="L182" s="33"/>
    </row>
    <row r="183" spans="1:12" ht="12.75" customHeight="1">
      <c r="A183" s="8" t="s">
        <v>855</v>
      </c>
      <c r="B183" s="9" t="s">
        <v>856</v>
      </c>
      <c r="C183" s="13" t="s">
        <v>857</v>
      </c>
      <c r="D183" s="11" t="s">
        <v>19</v>
      </c>
      <c r="E183" s="12" t="s">
        <v>20</v>
      </c>
      <c r="F183" s="124" t="s">
        <v>21</v>
      </c>
      <c r="G183" s="13"/>
      <c r="H183" s="13"/>
      <c r="I183" s="18" t="s">
        <v>858</v>
      </c>
      <c r="J183" s="60"/>
      <c r="K183" s="128" t="s">
        <v>40</v>
      </c>
      <c r="L183" s="33"/>
    </row>
    <row r="184" spans="1:12" ht="12.75" customHeight="1">
      <c r="A184" s="8" t="s">
        <v>859</v>
      </c>
      <c r="B184" s="9" t="s">
        <v>860</v>
      </c>
      <c r="C184" s="13" t="s">
        <v>861</v>
      </c>
      <c r="D184" s="11" t="s">
        <v>19</v>
      </c>
      <c r="E184" s="12" t="s">
        <v>31</v>
      </c>
      <c r="F184" s="124" t="s">
        <v>21</v>
      </c>
      <c r="G184" s="13"/>
      <c r="H184" s="13"/>
      <c r="I184" s="18" t="s">
        <v>862</v>
      </c>
      <c r="J184" s="60"/>
      <c r="K184" s="129" t="s">
        <v>92</v>
      </c>
      <c r="L184" s="33"/>
    </row>
    <row r="185" spans="1:12" ht="12.75" customHeight="1">
      <c r="A185" s="8" t="s">
        <v>863</v>
      </c>
      <c r="B185" s="9" t="s">
        <v>864</v>
      </c>
      <c r="C185" s="13" t="s">
        <v>865</v>
      </c>
      <c r="D185" s="11" t="s">
        <v>19</v>
      </c>
      <c r="E185" s="12" t="s">
        <v>20</v>
      </c>
      <c r="F185" s="124" t="s">
        <v>21</v>
      </c>
      <c r="G185" s="13"/>
      <c r="H185" s="13"/>
      <c r="I185" s="128" t="s">
        <v>866</v>
      </c>
      <c r="J185" s="60"/>
      <c r="K185" s="128" t="s">
        <v>40</v>
      </c>
      <c r="L185" s="33"/>
    </row>
    <row r="186" spans="1:12" ht="12.75" customHeight="1">
      <c r="A186" s="130" t="s">
        <v>867</v>
      </c>
      <c r="B186" s="69" t="s">
        <v>868</v>
      </c>
      <c r="C186" s="68" t="s">
        <v>869</v>
      </c>
      <c r="D186" s="66" t="s">
        <v>19</v>
      </c>
      <c r="E186" s="67" t="s">
        <v>20</v>
      </c>
      <c r="F186" s="66" t="s">
        <v>21</v>
      </c>
      <c r="G186" s="68"/>
      <c r="H186" s="68"/>
      <c r="I186" s="65" t="s">
        <v>870</v>
      </c>
      <c r="J186" s="70" t="s">
        <v>871</v>
      </c>
      <c r="K186" s="95" t="s">
        <v>92</v>
      </c>
      <c r="L186" s="119"/>
    </row>
    <row r="187" spans="1:12" ht="12.75" customHeight="1">
      <c r="A187" s="90" t="s">
        <v>872</v>
      </c>
      <c r="B187" s="9" t="s">
        <v>873</v>
      </c>
      <c r="C187" s="13" t="s">
        <v>874</v>
      </c>
      <c r="D187" s="11" t="s">
        <v>26</v>
      </c>
      <c r="E187" s="12" t="s">
        <v>26</v>
      </c>
      <c r="F187" s="55" t="s">
        <v>36</v>
      </c>
      <c r="G187" s="13" t="s">
        <v>875</v>
      </c>
      <c r="H187" s="13" t="s">
        <v>811</v>
      </c>
      <c r="I187" s="14" t="s">
        <v>876</v>
      </c>
      <c r="J187" s="88" t="s">
        <v>23</v>
      </c>
      <c r="K187" s="16" t="s">
        <v>24</v>
      </c>
      <c r="L187" s="33" t="s">
        <v>25</v>
      </c>
    </row>
    <row r="188" spans="1:12" ht="12.75" customHeight="1">
      <c r="A188" s="8" t="s">
        <v>877</v>
      </c>
      <c r="B188" s="9" t="s">
        <v>878</v>
      </c>
      <c r="C188" s="115" t="s">
        <v>879</v>
      </c>
      <c r="D188" s="11" t="s">
        <v>19</v>
      </c>
      <c r="E188" s="12" t="s">
        <v>31</v>
      </c>
      <c r="F188" s="6" t="s">
        <v>21</v>
      </c>
      <c r="G188" s="13"/>
      <c r="H188" s="13"/>
      <c r="I188" s="115" t="s">
        <v>880</v>
      </c>
      <c r="J188" s="15" t="s">
        <v>881</v>
      </c>
      <c r="K188" s="14" t="s">
        <v>40</v>
      </c>
      <c r="L188" s="17"/>
    </row>
    <row r="189" spans="1:12" ht="12.75" customHeight="1">
      <c r="A189" s="8" t="s">
        <v>882</v>
      </c>
      <c r="B189" s="9" t="s">
        <v>883</v>
      </c>
      <c r="C189" s="13" t="s">
        <v>884</v>
      </c>
      <c r="D189" s="11" t="s">
        <v>19</v>
      </c>
      <c r="E189" s="12" t="s">
        <v>20</v>
      </c>
      <c r="F189" s="6" t="s">
        <v>21</v>
      </c>
      <c r="G189" s="13"/>
      <c r="H189" s="13"/>
      <c r="I189" s="132" t="s">
        <v>885</v>
      </c>
      <c r="J189" s="13" t="s">
        <v>74</v>
      </c>
      <c r="K189" s="14" t="s">
        <v>219</v>
      </c>
      <c r="L189" s="33"/>
    </row>
    <row r="190" spans="1:12" ht="12.75" customHeight="1">
      <c r="A190" s="8" t="s">
        <v>886</v>
      </c>
      <c r="B190" s="9" t="s">
        <v>887</v>
      </c>
      <c r="C190" s="13" t="s">
        <v>884</v>
      </c>
      <c r="D190" s="11" t="s">
        <v>19</v>
      </c>
      <c r="E190" s="12" t="s">
        <v>20</v>
      </c>
      <c r="F190" s="6" t="s">
        <v>21</v>
      </c>
      <c r="G190" s="13"/>
      <c r="H190" s="13"/>
      <c r="I190" s="132" t="s">
        <v>888</v>
      </c>
      <c r="J190" s="133" t="s">
        <v>889</v>
      </c>
      <c r="K190" s="16" t="s">
        <v>24</v>
      </c>
      <c r="L190" s="33" t="s">
        <v>502</v>
      </c>
    </row>
    <row r="191" spans="1:12" ht="12.75" customHeight="1">
      <c r="A191" s="90" t="s">
        <v>890</v>
      </c>
      <c r="B191" s="9" t="s">
        <v>891</v>
      </c>
      <c r="C191" s="13" t="s">
        <v>892</v>
      </c>
      <c r="D191" s="11" t="s">
        <v>20</v>
      </c>
      <c r="E191" s="12" t="s">
        <v>20</v>
      </c>
      <c r="F191" s="6" t="s">
        <v>21</v>
      </c>
      <c r="G191" s="13"/>
      <c r="H191" s="13"/>
      <c r="I191" s="14" t="s">
        <v>893</v>
      </c>
      <c r="J191" s="18" t="s">
        <v>894</v>
      </c>
      <c r="K191" s="14" t="s">
        <v>40</v>
      </c>
      <c r="L191" s="33"/>
    </row>
    <row r="192" spans="1:12" ht="12.75" customHeight="1">
      <c r="A192" s="8" t="s">
        <v>895</v>
      </c>
      <c r="B192" s="9" t="s">
        <v>896</v>
      </c>
      <c r="C192" s="13" t="s">
        <v>897</v>
      </c>
      <c r="D192" s="11" t="s">
        <v>19</v>
      </c>
      <c r="E192" s="12" t="s">
        <v>20</v>
      </c>
      <c r="F192" s="6" t="s">
        <v>21</v>
      </c>
      <c r="G192" s="13"/>
      <c r="H192" s="13"/>
      <c r="I192" s="13" t="s">
        <v>898</v>
      </c>
      <c r="J192" s="15" t="s">
        <v>899</v>
      </c>
      <c r="K192" s="95" t="s">
        <v>92</v>
      </c>
      <c r="L192" s="17"/>
    </row>
    <row r="193" spans="1:12" ht="12.75" customHeight="1">
      <c r="A193" s="25" t="s">
        <v>900</v>
      </c>
      <c r="B193" s="44" t="s">
        <v>901</v>
      </c>
      <c r="C193" s="49" t="s">
        <v>902</v>
      </c>
      <c r="D193" s="46" t="s">
        <v>19</v>
      </c>
      <c r="E193" s="47" t="s">
        <v>26</v>
      </c>
      <c r="F193" s="80" t="s">
        <v>36</v>
      </c>
      <c r="G193" s="49" t="s">
        <v>875</v>
      </c>
      <c r="H193" s="49" t="s">
        <v>811</v>
      </c>
      <c r="I193" s="51"/>
      <c r="J193" s="50"/>
      <c r="K193" s="51" t="s">
        <v>32</v>
      </c>
      <c r="L193" s="52"/>
    </row>
    <row r="194" spans="1:12" ht="12.75" customHeight="1">
      <c r="A194" s="91" t="s">
        <v>903</v>
      </c>
      <c r="B194" s="69" t="s">
        <v>904</v>
      </c>
      <c r="C194" s="68" t="s">
        <v>905</v>
      </c>
      <c r="D194" s="66" t="s">
        <v>19</v>
      </c>
      <c r="E194" s="67" t="s">
        <v>26</v>
      </c>
      <c r="F194" s="55" t="s">
        <v>36</v>
      </c>
      <c r="G194" s="13" t="s">
        <v>875</v>
      </c>
      <c r="H194" s="13" t="s">
        <v>811</v>
      </c>
      <c r="I194" s="65" t="s">
        <v>906</v>
      </c>
      <c r="J194" s="70"/>
      <c r="K194" s="14" t="s">
        <v>40</v>
      </c>
      <c r="L194" s="71"/>
    </row>
    <row r="195" spans="1:12" ht="12.75" customHeight="1">
      <c r="A195" s="8" t="s">
        <v>907</v>
      </c>
      <c r="B195" s="7" t="s">
        <v>908</v>
      </c>
      <c r="C195" s="15" t="s">
        <v>909</v>
      </c>
      <c r="D195" s="11" t="s">
        <v>19</v>
      </c>
      <c r="E195" s="12" t="s">
        <v>20</v>
      </c>
      <c r="F195" s="55" t="s">
        <v>44</v>
      </c>
      <c r="G195" s="13" t="s">
        <v>910</v>
      </c>
      <c r="H195" s="13"/>
      <c r="I195" s="18" t="s">
        <v>912</v>
      </c>
      <c r="J195" s="18" t="s">
        <v>913</v>
      </c>
      <c r="K195" s="14" t="s">
        <v>40</v>
      </c>
      <c r="L195" s="17"/>
    </row>
    <row r="196" spans="1:12" ht="12" customHeight="1">
      <c r="A196" s="8" t="s">
        <v>914</v>
      </c>
      <c r="B196" s="7" t="s">
        <v>915</v>
      </c>
      <c r="C196" s="15" t="s">
        <v>916</v>
      </c>
      <c r="D196" s="11" t="s">
        <v>19</v>
      </c>
      <c r="E196" s="12" t="s">
        <v>20</v>
      </c>
      <c r="F196" s="6" t="s">
        <v>21</v>
      </c>
      <c r="G196" s="13"/>
      <c r="H196" s="13"/>
      <c r="I196" s="18" t="s">
        <v>52</v>
      </c>
      <c r="J196" s="74" t="s">
        <v>917</v>
      </c>
      <c r="K196" s="13" t="s">
        <v>54</v>
      </c>
      <c r="L196" s="17"/>
    </row>
    <row r="197" spans="1:12" ht="12" customHeight="1">
      <c r="A197" s="8" t="s">
        <v>918</v>
      </c>
      <c r="B197" s="7" t="s">
        <v>919</v>
      </c>
      <c r="C197" s="15" t="s">
        <v>57</v>
      </c>
      <c r="D197" s="11" t="s">
        <v>19</v>
      </c>
      <c r="E197" s="12" t="s">
        <v>20</v>
      </c>
      <c r="F197" s="6" t="s">
        <v>21</v>
      </c>
      <c r="G197" s="13"/>
      <c r="H197" s="13"/>
      <c r="I197" s="18" t="s">
        <v>920</v>
      </c>
      <c r="J197" s="18" t="s">
        <v>203</v>
      </c>
      <c r="K197" s="14" t="s">
        <v>40</v>
      </c>
      <c r="L197" s="17"/>
    </row>
    <row r="198" spans="1:12" ht="12" customHeight="1">
      <c r="A198" s="91" t="s">
        <v>911</v>
      </c>
      <c r="B198" s="69" t="s">
        <v>921</v>
      </c>
      <c r="C198" s="68" t="s">
        <v>61</v>
      </c>
      <c r="D198" s="66" t="s">
        <v>19</v>
      </c>
      <c r="E198" s="67" t="s">
        <v>26</v>
      </c>
      <c r="F198" s="131" t="s">
        <v>36</v>
      </c>
      <c r="G198" s="13" t="s">
        <v>875</v>
      </c>
      <c r="H198" s="13" t="s">
        <v>811</v>
      </c>
      <c r="I198" s="65" t="s">
        <v>922</v>
      </c>
      <c r="J198" s="70" t="s">
        <v>923</v>
      </c>
      <c r="K198" s="14" t="s">
        <v>40</v>
      </c>
      <c r="L198" s="71"/>
    </row>
    <row r="199" spans="1:12" ht="13.5" customHeight="1">
      <c r="A199" s="90" t="s">
        <v>924</v>
      </c>
      <c r="B199" s="9" t="s">
        <v>925</v>
      </c>
      <c r="C199" s="13" t="s">
        <v>926</v>
      </c>
      <c r="D199" s="11" t="s">
        <v>20</v>
      </c>
      <c r="E199" s="12" t="s">
        <v>20</v>
      </c>
      <c r="F199" s="6" t="s">
        <v>21</v>
      </c>
      <c r="G199" s="13"/>
      <c r="H199" s="13"/>
      <c r="I199" s="13" t="s">
        <v>927</v>
      </c>
      <c r="J199" s="59" t="s">
        <v>928</v>
      </c>
      <c r="K199" s="14" t="s">
        <v>54</v>
      </c>
      <c r="L199" s="33"/>
    </row>
    <row r="200" spans="1:12" ht="12.75" customHeight="1">
      <c r="A200" s="91" t="s">
        <v>929</v>
      </c>
      <c r="B200" s="83" t="s">
        <v>930</v>
      </c>
      <c r="C200" s="118" t="s">
        <v>931</v>
      </c>
      <c r="D200" s="66" t="s">
        <v>19</v>
      </c>
      <c r="E200" s="67" t="s">
        <v>20</v>
      </c>
      <c r="F200" s="66" t="s">
        <v>21</v>
      </c>
      <c r="G200" s="68"/>
      <c r="H200" s="68"/>
      <c r="I200" s="118" t="s">
        <v>932</v>
      </c>
      <c r="J200" s="118"/>
      <c r="K200" s="95" t="s">
        <v>92</v>
      </c>
      <c r="L200" s="119"/>
    </row>
    <row r="201" spans="1:12" ht="12.75" customHeight="1">
      <c r="A201" s="8" t="s">
        <v>933</v>
      </c>
      <c r="B201" s="7" t="s">
        <v>934</v>
      </c>
      <c r="C201" s="15" t="s">
        <v>935</v>
      </c>
      <c r="D201" s="11" t="s">
        <v>19</v>
      </c>
      <c r="E201" s="12" t="s">
        <v>20</v>
      </c>
      <c r="F201" s="6" t="s">
        <v>21</v>
      </c>
      <c r="G201" s="13"/>
      <c r="H201" s="13"/>
      <c r="I201" s="15" t="s">
        <v>936</v>
      </c>
      <c r="J201" s="15"/>
      <c r="K201" s="14" t="s">
        <v>54</v>
      </c>
      <c r="L201" s="33"/>
    </row>
    <row r="202" spans="1:12" ht="12.75" customHeight="1">
      <c r="A202" s="90" t="s">
        <v>937</v>
      </c>
      <c r="B202" s="9" t="s">
        <v>938</v>
      </c>
      <c r="C202" s="13" t="s">
        <v>939</v>
      </c>
      <c r="D202" s="11" t="s">
        <v>31</v>
      </c>
      <c r="E202" s="12" t="s">
        <v>31</v>
      </c>
      <c r="F202" s="6" t="s">
        <v>21</v>
      </c>
      <c r="G202" s="13"/>
      <c r="H202" s="13"/>
      <c r="I202" s="13" t="s">
        <v>940</v>
      </c>
      <c r="J202" s="18" t="s">
        <v>941</v>
      </c>
      <c r="K202" s="14" t="s">
        <v>40</v>
      </c>
      <c r="L202" s="33"/>
    </row>
    <row r="203" spans="1:12" ht="12.75" customHeight="1">
      <c r="A203" s="91" t="s">
        <v>942</v>
      </c>
      <c r="B203" s="83" t="s">
        <v>943</v>
      </c>
      <c r="C203" s="118" t="s">
        <v>944</v>
      </c>
      <c r="D203" s="66" t="s">
        <v>19</v>
      </c>
      <c r="E203" s="67" t="s">
        <v>20</v>
      </c>
      <c r="F203" s="62" t="s">
        <v>21</v>
      </c>
      <c r="G203" s="68"/>
      <c r="H203" s="68"/>
      <c r="I203" s="70"/>
      <c r="J203" s="134"/>
      <c r="K203" s="65" t="s">
        <v>32</v>
      </c>
      <c r="L203" s="71"/>
    </row>
    <row r="204" spans="1:12" ht="12.75" customHeight="1">
      <c r="A204" s="91" t="s">
        <v>945</v>
      </c>
      <c r="B204" s="83" t="s">
        <v>946</v>
      </c>
      <c r="C204" s="118" t="s">
        <v>947</v>
      </c>
      <c r="D204" s="66" t="s">
        <v>19</v>
      </c>
      <c r="E204" s="67" t="s">
        <v>26</v>
      </c>
      <c r="F204" s="131" t="s">
        <v>36</v>
      </c>
      <c r="G204" s="68" t="s">
        <v>948</v>
      </c>
      <c r="H204" s="68" t="s">
        <v>949</v>
      </c>
      <c r="I204" s="70" t="s">
        <v>950</v>
      </c>
      <c r="J204" s="134"/>
      <c r="K204" s="14" t="s">
        <v>40</v>
      </c>
      <c r="L204" s="71"/>
    </row>
    <row r="205" spans="1:12" ht="12.75" customHeight="1">
      <c r="A205" s="91" t="s">
        <v>951</v>
      </c>
      <c r="B205" s="83" t="s">
        <v>952</v>
      </c>
      <c r="C205" s="118" t="s">
        <v>953</v>
      </c>
      <c r="D205" s="66" t="s">
        <v>19</v>
      </c>
      <c r="E205" s="67" t="s">
        <v>26</v>
      </c>
      <c r="F205" s="131" t="s">
        <v>36</v>
      </c>
      <c r="G205" s="68" t="s">
        <v>948</v>
      </c>
      <c r="H205" s="68" t="s">
        <v>949</v>
      </c>
      <c r="I205" s="70" t="s">
        <v>954</v>
      </c>
      <c r="J205" s="134"/>
      <c r="K205" s="14" t="s">
        <v>40</v>
      </c>
      <c r="L205" s="71"/>
    </row>
    <row r="206" spans="1:12" ht="12.75" customHeight="1">
      <c r="A206" s="91" t="s">
        <v>955</v>
      </c>
      <c r="B206" s="83" t="s">
        <v>956</v>
      </c>
      <c r="C206" s="118" t="s">
        <v>957</v>
      </c>
      <c r="D206" s="66" t="s">
        <v>19</v>
      </c>
      <c r="E206" s="67" t="s">
        <v>26</v>
      </c>
      <c r="F206" s="131" t="s">
        <v>36</v>
      </c>
      <c r="G206" s="68" t="s">
        <v>948</v>
      </c>
      <c r="H206" s="68" t="s">
        <v>949</v>
      </c>
      <c r="I206" s="70" t="s">
        <v>958</v>
      </c>
      <c r="J206" s="134"/>
      <c r="K206" s="14" t="s">
        <v>40</v>
      </c>
      <c r="L206" s="71"/>
    </row>
    <row r="207" spans="1:12" ht="12.75" customHeight="1">
      <c r="A207" s="91" t="s">
        <v>959</v>
      </c>
      <c r="B207" s="83" t="s">
        <v>960</v>
      </c>
      <c r="C207" s="118" t="s">
        <v>961</v>
      </c>
      <c r="D207" s="66" t="s">
        <v>19</v>
      </c>
      <c r="E207" s="67" t="s">
        <v>26</v>
      </c>
      <c r="F207" s="131" t="s">
        <v>36</v>
      </c>
      <c r="G207" s="68" t="s">
        <v>948</v>
      </c>
      <c r="H207" s="68" t="s">
        <v>949</v>
      </c>
      <c r="I207" s="70" t="s">
        <v>962</v>
      </c>
      <c r="J207" s="134"/>
      <c r="K207" s="14" t="s">
        <v>40</v>
      </c>
      <c r="L207" s="71"/>
    </row>
    <row r="208" spans="1:12" ht="12.75" customHeight="1">
      <c r="A208" s="137" t="s">
        <v>963</v>
      </c>
      <c r="B208" s="138" t="s">
        <v>964</v>
      </c>
      <c r="C208" s="137" t="s">
        <v>965</v>
      </c>
      <c r="D208" s="139" t="s">
        <v>20</v>
      </c>
      <c r="E208" s="108" t="s">
        <v>20</v>
      </c>
      <c r="F208" s="139" t="s">
        <v>21</v>
      </c>
      <c r="G208" s="140"/>
      <c r="H208" s="140"/>
      <c r="I208" s="140"/>
      <c r="J208" s="140"/>
      <c r="K208" s="137" t="s">
        <v>32</v>
      </c>
      <c r="L208" s="140"/>
    </row>
    <row r="209" spans="1:12" ht="12.75" customHeight="1">
      <c r="A209" s="141" t="s">
        <v>966</v>
      </c>
      <c r="B209" s="81" t="s">
        <v>967</v>
      </c>
      <c r="C209" s="10" t="s">
        <v>968</v>
      </c>
      <c r="D209" s="98" t="s">
        <v>20</v>
      </c>
      <c r="E209" s="19" t="s">
        <v>20</v>
      </c>
      <c r="F209" s="98" t="s">
        <v>21</v>
      </c>
      <c r="G209" s="99"/>
      <c r="H209" s="99"/>
      <c r="I209" s="10" t="s">
        <v>969</v>
      </c>
      <c r="J209" s="10" t="s">
        <v>970</v>
      </c>
      <c r="K209" s="10" t="s">
        <v>40</v>
      </c>
      <c r="L209" s="99"/>
    </row>
    <row r="210" spans="1:12" ht="12.75" customHeight="1">
      <c r="A210" s="141" t="s">
        <v>971</v>
      </c>
      <c r="B210" s="81" t="s">
        <v>972</v>
      </c>
      <c r="C210" s="10" t="s">
        <v>973</v>
      </c>
      <c r="D210" s="98" t="s">
        <v>20</v>
      </c>
      <c r="E210" s="19" t="s">
        <v>20</v>
      </c>
      <c r="F210" s="98" t="s">
        <v>21</v>
      </c>
      <c r="G210" s="99"/>
      <c r="H210" s="99"/>
      <c r="I210" s="10" t="s">
        <v>974</v>
      </c>
      <c r="J210" s="10" t="s">
        <v>975</v>
      </c>
      <c r="K210" s="10" t="s">
        <v>40</v>
      </c>
      <c r="L210" s="99"/>
    </row>
    <row r="211" spans="1:12" ht="12.75" customHeight="1">
      <c r="A211" s="141" t="s">
        <v>976</v>
      </c>
      <c r="B211" s="81" t="s">
        <v>977</v>
      </c>
      <c r="C211" s="10" t="s">
        <v>978</v>
      </c>
      <c r="D211" s="98" t="s">
        <v>20</v>
      </c>
      <c r="E211" s="19" t="s">
        <v>20</v>
      </c>
      <c r="F211" s="98" t="s">
        <v>21</v>
      </c>
      <c r="G211" s="99"/>
      <c r="H211" s="99"/>
      <c r="I211" s="10" t="s">
        <v>979</v>
      </c>
      <c r="J211" s="99"/>
      <c r="K211" s="10" t="s">
        <v>40</v>
      </c>
      <c r="L211" s="10"/>
    </row>
    <row r="212" spans="1:12" ht="12.75" customHeight="1">
      <c r="A212" s="141" t="s">
        <v>980</v>
      </c>
      <c r="B212" s="81" t="s">
        <v>981</v>
      </c>
      <c r="C212" s="10" t="s">
        <v>982</v>
      </c>
      <c r="D212" s="98" t="s">
        <v>20</v>
      </c>
      <c r="E212" s="19" t="s">
        <v>20</v>
      </c>
      <c r="F212" s="98" t="s">
        <v>21</v>
      </c>
      <c r="G212" s="99"/>
      <c r="H212" s="99"/>
      <c r="I212" s="10" t="s">
        <v>983</v>
      </c>
      <c r="J212" s="10" t="s">
        <v>984</v>
      </c>
      <c r="K212" s="10" t="s">
        <v>40</v>
      </c>
      <c r="L212" s="99"/>
    </row>
    <row r="213" spans="1:12" ht="12.75" customHeight="1">
      <c r="A213" s="142" t="s">
        <v>985</v>
      </c>
      <c r="B213" s="81" t="s">
        <v>986</v>
      </c>
      <c r="C213" s="10" t="s">
        <v>987</v>
      </c>
      <c r="D213" s="98" t="s">
        <v>19</v>
      </c>
      <c r="E213" s="19" t="s">
        <v>20</v>
      </c>
      <c r="F213" s="98" t="s">
        <v>21</v>
      </c>
      <c r="G213" s="99"/>
      <c r="H213" s="99"/>
      <c r="I213" s="10" t="s">
        <v>988</v>
      </c>
      <c r="J213" s="10" t="s">
        <v>989</v>
      </c>
      <c r="K213" s="10" t="s">
        <v>40</v>
      </c>
      <c r="L213" s="99"/>
    </row>
    <row r="214" spans="1:12" ht="12.75" customHeight="1">
      <c r="A214" s="8" t="s">
        <v>990</v>
      </c>
      <c r="B214" s="81" t="s">
        <v>991</v>
      </c>
      <c r="C214" s="10" t="s">
        <v>992</v>
      </c>
      <c r="D214" s="98" t="s">
        <v>19</v>
      </c>
      <c r="E214" s="19" t="s">
        <v>20</v>
      </c>
      <c r="F214" s="98" t="s">
        <v>21</v>
      </c>
      <c r="G214" s="99"/>
      <c r="H214" s="99"/>
      <c r="I214" s="10" t="s">
        <v>993</v>
      </c>
      <c r="J214" s="10" t="s">
        <v>994</v>
      </c>
      <c r="K214" s="10" t="s">
        <v>40</v>
      </c>
      <c r="L214" s="99"/>
    </row>
    <row r="215" spans="1:12" ht="12.75" customHeight="1">
      <c r="A215" s="8" t="s">
        <v>995</v>
      </c>
      <c r="B215" s="81" t="s">
        <v>996</v>
      </c>
      <c r="C215" s="10" t="s">
        <v>997</v>
      </c>
      <c r="D215" s="98" t="s">
        <v>19</v>
      </c>
      <c r="E215" s="19" t="s">
        <v>20</v>
      </c>
      <c r="F215" s="98" t="s">
        <v>21</v>
      </c>
      <c r="G215" s="99"/>
      <c r="H215" s="99"/>
      <c r="I215" s="10" t="s">
        <v>998</v>
      </c>
      <c r="J215" s="10" t="s">
        <v>265</v>
      </c>
      <c r="K215" s="10" t="s">
        <v>219</v>
      </c>
      <c r="L215" s="99"/>
    </row>
    <row r="216" spans="1:12" ht="12.75" customHeight="1">
      <c r="A216" s="8" t="s">
        <v>999</v>
      </c>
      <c r="B216" s="81" t="s">
        <v>1000</v>
      </c>
      <c r="C216" s="10" t="s">
        <v>1001</v>
      </c>
      <c r="D216" s="98" t="s">
        <v>19</v>
      </c>
      <c r="E216" s="19" t="s">
        <v>20</v>
      </c>
      <c r="F216" s="98" t="s">
        <v>21</v>
      </c>
      <c r="G216" s="99"/>
      <c r="H216" s="99"/>
      <c r="I216" s="10" t="s">
        <v>1002</v>
      </c>
      <c r="J216" s="10" t="s">
        <v>106</v>
      </c>
      <c r="K216" s="10" t="s">
        <v>219</v>
      </c>
      <c r="L216" s="99"/>
    </row>
    <row r="217" spans="1:12" ht="12.75" customHeight="1">
      <c r="A217" s="141" t="s">
        <v>1003</v>
      </c>
      <c r="B217" s="81" t="s">
        <v>1004</v>
      </c>
      <c r="C217" s="10" t="s">
        <v>1005</v>
      </c>
      <c r="D217" s="98" t="s">
        <v>20</v>
      </c>
      <c r="E217" s="19" t="s">
        <v>20</v>
      </c>
      <c r="F217" s="98" t="s">
        <v>21</v>
      </c>
      <c r="G217" s="99"/>
      <c r="H217" s="99"/>
      <c r="I217" s="10" t="s">
        <v>1006</v>
      </c>
      <c r="J217" s="128" t="s">
        <v>1007</v>
      </c>
      <c r="K217" s="10" t="s">
        <v>40</v>
      </c>
      <c r="L217" s="99"/>
    </row>
    <row r="218" spans="1:12" ht="12.75" customHeight="1">
      <c r="A218" s="142" t="s">
        <v>1008</v>
      </c>
      <c r="B218" s="81" t="s">
        <v>1009</v>
      </c>
      <c r="C218" s="10"/>
      <c r="D218" s="98" t="s">
        <v>19</v>
      </c>
      <c r="E218" s="19" t="s">
        <v>20</v>
      </c>
      <c r="F218" s="98" t="s">
        <v>21</v>
      </c>
      <c r="G218" s="99"/>
      <c r="H218" s="99"/>
      <c r="I218" s="10" t="s">
        <v>1010</v>
      </c>
      <c r="J218" s="10" t="s">
        <v>1011</v>
      </c>
      <c r="K218" s="42" t="s">
        <v>24</v>
      </c>
      <c r="L218" s="10" t="s">
        <v>1012</v>
      </c>
    </row>
    <row r="219" spans="1:12" ht="12.75" customHeight="1">
      <c r="A219" s="141" t="s">
        <v>1013</v>
      </c>
      <c r="B219" s="143" t="s">
        <v>1014</v>
      </c>
      <c r="C219" s="143" t="s">
        <v>1015</v>
      </c>
      <c r="D219" s="144" t="s">
        <v>20</v>
      </c>
      <c r="E219" s="144" t="s">
        <v>20</v>
      </c>
      <c r="F219" s="144" t="s">
        <v>21</v>
      </c>
      <c r="G219" s="145"/>
      <c r="H219" s="146"/>
      <c r="I219" s="147" t="s">
        <v>1016</v>
      </c>
      <c r="J219" s="147" t="s">
        <v>1017</v>
      </c>
      <c r="K219" s="148" t="s">
        <v>24</v>
      </c>
      <c r="L219" s="10" t="s">
        <v>155</v>
      </c>
    </row>
    <row r="220" spans="1:12" ht="12.75" customHeight="1">
      <c r="A220" s="142" t="s">
        <v>1018</v>
      </c>
      <c r="B220" s="81" t="s">
        <v>1019</v>
      </c>
      <c r="C220" s="10" t="s">
        <v>1020</v>
      </c>
      <c r="D220" s="98" t="s">
        <v>19</v>
      </c>
      <c r="E220" s="19" t="s">
        <v>31</v>
      </c>
      <c r="F220" s="98" t="s">
        <v>21</v>
      </c>
      <c r="G220" s="10"/>
      <c r="H220" s="99"/>
      <c r="I220" s="10" t="s">
        <v>1021</v>
      </c>
      <c r="J220" s="10" t="s">
        <v>1022</v>
      </c>
      <c r="K220" s="10" t="s">
        <v>40</v>
      </c>
      <c r="L220" s="99"/>
    </row>
    <row r="221" spans="1:12" ht="12.75" customHeight="1">
      <c r="A221" s="141" t="s">
        <v>1023</v>
      </c>
      <c r="B221" s="81" t="s">
        <v>1024</v>
      </c>
      <c r="C221" s="10" t="s">
        <v>1025</v>
      </c>
      <c r="D221" s="98" t="s">
        <v>31</v>
      </c>
      <c r="E221" s="19" t="s">
        <v>31</v>
      </c>
      <c r="F221" s="98" t="s">
        <v>21</v>
      </c>
      <c r="G221" s="99"/>
      <c r="H221" s="99"/>
      <c r="I221" s="10" t="s">
        <v>1026</v>
      </c>
      <c r="J221" s="10" t="s">
        <v>1027</v>
      </c>
      <c r="K221" s="42" t="s">
        <v>24</v>
      </c>
      <c r="L221" s="10" t="s">
        <v>1028</v>
      </c>
    </row>
    <row r="222" spans="1:12" ht="12" customHeight="1">
      <c r="A222" s="142" t="s">
        <v>1029</v>
      </c>
      <c r="B222" s="81" t="s">
        <v>1030</v>
      </c>
      <c r="C222" s="10" t="s">
        <v>1031</v>
      </c>
      <c r="D222" s="98" t="s">
        <v>19</v>
      </c>
      <c r="E222" s="19" t="s">
        <v>20</v>
      </c>
      <c r="F222" s="98" t="s">
        <v>21</v>
      </c>
      <c r="G222" s="99"/>
      <c r="H222" s="99"/>
      <c r="I222" s="10" t="s">
        <v>1032</v>
      </c>
      <c r="J222" s="99"/>
      <c r="K222" s="42" t="s">
        <v>24</v>
      </c>
      <c r="L222" s="10" t="s">
        <v>1033</v>
      </c>
    </row>
    <row r="223" spans="1:12" ht="12" customHeight="1">
      <c r="A223" s="141" t="s">
        <v>1034</v>
      </c>
      <c r="B223" s="81" t="s">
        <v>1035</v>
      </c>
      <c r="C223" s="10" t="s">
        <v>1036</v>
      </c>
      <c r="D223" s="98" t="s">
        <v>20</v>
      </c>
      <c r="E223" s="19" t="s">
        <v>20</v>
      </c>
      <c r="F223" s="98" t="s">
        <v>21</v>
      </c>
      <c r="G223" s="99"/>
      <c r="H223" s="99"/>
      <c r="I223" s="10" t="s">
        <v>1037</v>
      </c>
      <c r="J223" s="10" t="s">
        <v>1038</v>
      </c>
      <c r="K223" s="10" t="s">
        <v>40</v>
      </c>
      <c r="L223" s="10"/>
    </row>
    <row r="224" spans="1:12" ht="12" customHeight="1">
      <c r="A224" s="8" t="s">
        <v>1039</v>
      </c>
      <c r="B224" s="81" t="s">
        <v>1040</v>
      </c>
      <c r="C224" s="10" t="s">
        <v>1041</v>
      </c>
      <c r="D224" s="98" t="s">
        <v>19</v>
      </c>
      <c r="E224" s="19" t="s">
        <v>20</v>
      </c>
      <c r="F224" s="98" t="s">
        <v>21</v>
      </c>
      <c r="G224" s="99"/>
      <c r="H224" s="99"/>
      <c r="I224" s="10" t="s">
        <v>1042</v>
      </c>
      <c r="J224" s="10" t="s">
        <v>374</v>
      </c>
      <c r="K224" s="42" t="s">
        <v>24</v>
      </c>
      <c r="L224" s="149" t="s">
        <v>1043</v>
      </c>
    </row>
    <row r="225" spans="1:12" ht="12.75" customHeight="1">
      <c r="A225" s="141" t="s">
        <v>1044</v>
      </c>
      <c r="B225" s="81" t="s">
        <v>1045</v>
      </c>
      <c r="C225" s="10" t="s">
        <v>1046</v>
      </c>
      <c r="D225" s="98" t="s">
        <v>26</v>
      </c>
      <c r="E225" s="19" t="s">
        <v>26</v>
      </c>
      <c r="F225" s="87" t="s">
        <v>36</v>
      </c>
      <c r="G225" s="10" t="s">
        <v>1047</v>
      </c>
      <c r="H225" s="10" t="s">
        <v>964</v>
      </c>
      <c r="I225" s="10" t="s">
        <v>1048</v>
      </c>
      <c r="J225" s="10" t="s">
        <v>1049</v>
      </c>
      <c r="K225" s="10" t="s">
        <v>40</v>
      </c>
      <c r="L225" s="99"/>
    </row>
    <row r="226" spans="1:12" ht="12.75" customHeight="1">
      <c r="A226" s="150" t="s">
        <v>1050</v>
      </c>
      <c r="B226" s="151" t="s">
        <v>1051</v>
      </c>
      <c r="C226" s="149" t="s">
        <v>1052</v>
      </c>
      <c r="D226" s="152" t="s">
        <v>19</v>
      </c>
      <c r="E226" s="153" t="s">
        <v>26</v>
      </c>
      <c r="F226" s="154" t="s">
        <v>36</v>
      </c>
      <c r="G226" s="149" t="s">
        <v>1047</v>
      </c>
      <c r="H226" s="149" t="s">
        <v>964</v>
      </c>
      <c r="I226" s="149" t="s">
        <v>1053</v>
      </c>
      <c r="J226" s="149" t="s">
        <v>1054</v>
      </c>
      <c r="K226" s="42" t="s">
        <v>24</v>
      </c>
      <c r="L226" s="149" t="s">
        <v>1055</v>
      </c>
    </row>
    <row r="227" spans="1:12" ht="12" customHeight="1">
      <c r="A227" s="141" t="s">
        <v>1056</v>
      </c>
      <c r="B227" s="81" t="s">
        <v>1057</v>
      </c>
      <c r="C227" s="10" t="s">
        <v>1058</v>
      </c>
      <c r="D227" s="98" t="s">
        <v>26</v>
      </c>
      <c r="E227" s="19" t="s">
        <v>26</v>
      </c>
      <c r="F227" s="87" t="s">
        <v>36</v>
      </c>
      <c r="G227" s="10" t="s">
        <v>1047</v>
      </c>
      <c r="H227" s="10" t="s">
        <v>964</v>
      </c>
      <c r="I227" s="10" t="s">
        <v>1059</v>
      </c>
      <c r="J227" s="156" t="s">
        <v>1060</v>
      </c>
      <c r="K227" s="10" t="s">
        <v>54</v>
      </c>
      <c r="L227" s="99"/>
    </row>
    <row r="228" spans="1:12" ht="12.75" customHeight="1">
      <c r="A228" s="150" t="s">
        <v>1061</v>
      </c>
      <c r="B228" s="151" t="s">
        <v>1062</v>
      </c>
      <c r="C228" s="149" t="s">
        <v>1063</v>
      </c>
      <c r="D228" s="152" t="s">
        <v>19</v>
      </c>
      <c r="E228" s="153" t="s">
        <v>20</v>
      </c>
      <c r="F228" s="152" t="s">
        <v>21</v>
      </c>
      <c r="G228" s="155"/>
      <c r="H228" s="155"/>
      <c r="I228" s="155" t="s">
        <v>1064</v>
      </c>
      <c r="J228" s="155"/>
      <c r="K228" s="155" t="s">
        <v>40</v>
      </c>
      <c r="L228" s="155"/>
    </row>
    <row r="229" spans="1:12" ht="12.75" customHeight="1">
      <c r="A229" s="8" t="s">
        <v>1065</v>
      </c>
      <c r="B229" s="9" t="s">
        <v>1066</v>
      </c>
      <c r="C229" s="68" t="s">
        <v>1067</v>
      </c>
      <c r="D229" s="66" t="s">
        <v>19</v>
      </c>
      <c r="E229" s="67" t="s">
        <v>20</v>
      </c>
      <c r="F229" s="6" t="s">
        <v>21</v>
      </c>
      <c r="G229" s="13"/>
      <c r="H229" s="13"/>
      <c r="I229" s="68" t="s">
        <v>1068</v>
      </c>
      <c r="J229" s="118"/>
      <c r="K229" s="95" t="s">
        <v>92</v>
      </c>
      <c r="L229" s="119"/>
    </row>
    <row r="230" spans="1:12" ht="12.75" customHeight="1">
      <c r="A230" s="25" t="s">
        <v>1069</v>
      </c>
      <c r="B230" s="44" t="s">
        <v>1070</v>
      </c>
      <c r="C230" s="49" t="s">
        <v>1071</v>
      </c>
      <c r="D230" s="46" t="s">
        <v>31</v>
      </c>
      <c r="E230" s="47" t="s">
        <v>31</v>
      </c>
      <c r="F230" s="80" t="s">
        <v>44</v>
      </c>
      <c r="G230" s="49" t="s">
        <v>1072</v>
      </c>
      <c r="H230" s="49"/>
      <c r="I230" s="51"/>
      <c r="J230" s="50"/>
      <c r="K230" s="51" t="s">
        <v>32</v>
      </c>
      <c r="L230" s="52"/>
    </row>
    <row r="231" spans="1:12" ht="12.75" customHeight="1">
      <c r="A231" s="90" t="s">
        <v>1073</v>
      </c>
      <c r="B231" s="9" t="s">
        <v>1074</v>
      </c>
      <c r="C231" s="13" t="s">
        <v>1075</v>
      </c>
      <c r="D231" s="11" t="s">
        <v>26</v>
      </c>
      <c r="E231" s="12" t="s">
        <v>26</v>
      </c>
      <c r="F231" s="55" t="s">
        <v>36</v>
      </c>
      <c r="G231" s="13" t="s">
        <v>1076</v>
      </c>
      <c r="H231" s="13" t="s">
        <v>811</v>
      </c>
      <c r="I231" s="13" t="s">
        <v>1077</v>
      </c>
      <c r="J231" s="157" t="s">
        <v>1078</v>
      </c>
      <c r="K231" s="14" t="s">
        <v>54</v>
      </c>
      <c r="L231" s="157"/>
    </row>
    <row r="232" spans="1:12" ht="12.75" customHeight="1">
      <c r="A232" s="73" t="s">
        <v>1079</v>
      </c>
      <c r="B232" s="9" t="s">
        <v>1080</v>
      </c>
      <c r="C232" s="13" t="s">
        <v>1081</v>
      </c>
      <c r="D232" s="11" t="s">
        <v>26</v>
      </c>
      <c r="E232" s="12" t="s">
        <v>26</v>
      </c>
      <c r="F232" s="55" t="s">
        <v>36</v>
      </c>
      <c r="G232" s="158" t="s">
        <v>1076</v>
      </c>
      <c r="H232" s="158" t="s">
        <v>811</v>
      </c>
      <c r="I232" s="13" t="s">
        <v>1082</v>
      </c>
      <c r="J232" s="18" t="s">
        <v>492</v>
      </c>
      <c r="K232" s="95" t="s">
        <v>92</v>
      </c>
      <c r="L232" s="17"/>
    </row>
    <row r="233" spans="1:12" ht="12.75" customHeight="1">
      <c r="A233" s="73" t="s">
        <v>1083</v>
      </c>
      <c r="B233" s="114" t="s">
        <v>1084</v>
      </c>
      <c r="C233" s="115" t="s">
        <v>1085</v>
      </c>
      <c r="D233" s="11" t="s">
        <v>19</v>
      </c>
      <c r="E233" s="12" t="s">
        <v>20</v>
      </c>
      <c r="F233" s="6" t="s">
        <v>21</v>
      </c>
      <c r="G233" s="13"/>
      <c r="H233" s="13"/>
      <c r="I233" s="115" t="s">
        <v>1086</v>
      </c>
      <c r="J233" s="88" t="s">
        <v>1087</v>
      </c>
      <c r="K233" s="16" t="s">
        <v>24</v>
      </c>
      <c r="L233" s="33" t="s">
        <v>1088</v>
      </c>
    </row>
    <row r="234" spans="1:12" ht="12.75" customHeight="1">
      <c r="A234" s="25" t="s">
        <v>1089</v>
      </c>
      <c r="B234" s="31" t="s">
        <v>1090</v>
      </c>
      <c r="C234" s="25" t="s">
        <v>1091</v>
      </c>
      <c r="D234" s="46" t="s">
        <v>19</v>
      </c>
      <c r="E234" s="53" t="s">
        <v>31</v>
      </c>
      <c r="F234" s="135" t="s">
        <v>21</v>
      </c>
      <c r="G234" s="159"/>
      <c r="H234" s="159"/>
      <c r="I234" s="45"/>
      <c r="J234" s="45"/>
      <c r="K234" s="51" t="s">
        <v>32</v>
      </c>
      <c r="L234" s="159"/>
    </row>
    <row r="235" spans="1:12" ht="12.75" customHeight="1">
      <c r="A235" s="91" t="s">
        <v>1092</v>
      </c>
      <c r="B235" s="75" t="s">
        <v>1093</v>
      </c>
      <c r="C235" s="91" t="s">
        <v>1094</v>
      </c>
      <c r="D235" s="66" t="s">
        <v>19</v>
      </c>
      <c r="E235" s="72" t="s">
        <v>20</v>
      </c>
      <c r="F235" s="160" t="s">
        <v>21</v>
      </c>
      <c r="G235" s="161"/>
      <c r="H235" s="161"/>
      <c r="I235" s="162" t="s">
        <v>988</v>
      </c>
      <c r="J235" s="162" t="s">
        <v>989</v>
      </c>
      <c r="K235" s="14" t="s">
        <v>40</v>
      </c>
      <c r="L235" s="161"/>
    </row>
    <row r="236" spans="1:12" ht="12.75" customHeight="1">
      <c r="A236" s="91" t="s">
        <v>1095</v>
      </c>
      <c r="B236" s="75" t="s">
        <v>1096</v>
      </c>
      <c r="C236" s="91" t="s">
        <v>1097</v>
      </c>
      <c r="D236" s="66" t="s">
        <v>19</v>
      </c>
      <c r="E236" s="72" t="s">
        <v>20</v>
      </c>
      <c r="F236" s="160" t="s">
        <v>21</v>
      </c>
      <c r="G236" s="161"/>
      <c r="H236" s="161"/>
      <c r="I236" s="68" t="s">
        <v>1010</v>
      </c>
      <c r="J236" s="70" t="s">
        <v>1011</v>
      </c>
      <c r="K236" s="68" t="s">
        <v>40</v>
      </c>
      <c r="L236" s="70"/>
    </row>
    <row r="237" spans="1:12" ht="12.75" customHeight="1">
      <c r="A237" s="91" t="s">
        <v>1098</v>
      </c>
      <c r="B237" s="75" t="s">
        <v>1099</v>
      </c>
      <c r="C237" s="68" t="s">
        <v>1100</v>
      </c>
      <c r="D237" s="66" t="s">
        <v>19</v>
      </c>
      <c r="E237" s="67" t="s">
        <v>383</v>
      </c>
      <c r="F237" s="163" t="s">
        <v>36</v>
      </c>
      <c r="G237" s="162" t="s">
        <v>1101</v>
      </c>
      <c r="H237" s="68"/>
      <c r="I237" s="68" t="s">
        <v>1021</v>
      </c>
      <c r="J237" s="70" t="s">
        <v>1022</v>
      </c>
      <c r="K237" s="14" t="s">
        <v>40</v>
      </c>
      <c r="L237" s="119"/>
    </row>
    <row r="238" spans="1:12" ht="12.75" customHeight="1">
      <c r="A238" s="91" t="s">
        <v>1102</v>
      </c>
      <c r="B238" s="75" t="s">
        <v>1103</v>
      </c>
      <c r="C238" s="91" t="s">
        <v>1104</v>
      </c>
      <c r="D238" s="66" t="s">
        <v>19</v>
      </c>
      <c r="E238" s="72" t="s">
        <v>26</v>
      </c>
      <c r="F238" s="163" t="s">
        <v>36</v>
      </c>
      <c r="G238" s="162" t="s">
        <v>1101</v>
      </c>
      <c r="H238" s="161"/>
      <c r="I238" s="162" t="s">
        <v>1105</v>
      </c>
      <c r="J238" s="162" t="s">
        <v>1106</v>
      </c>
      <c r="K238" s="14" t="s">
        <v>40</v>
      </c>
      <c r="L238" s="161"/>
    </row>
    <row r="239" spans="1:12" ht="12.75" customHeight="1">
      <c r="A239" s="91" t="s">
        <v>1107</v>
      </c>
      <c r="B239" s="75" t="s">
        <v>1108</v>
      </c>
      <c r="C239" s="91" t="s">
        <v>1109</v>
      </c>
      <c r="D239" s="66" t="s">
        <v>19</v>
      </c>
      <c r="E239" s="72" t="s">
        <v>20</v>
      </c>
      <c r="F239" s="160" t="s">
        <v>21</v>
      </c>
      <c r="G239" s="161"/>
      <c r="H239" s="161"/>
      <c r="I239" s="162" t="s">
        <v>1110</v>
      </c>
      <c r="J239" s="162" t="s">
        <v>1111</v>
      </c>
      <c r="K239" s="16" t="s">
        <v>24</v>
      </c>
      <c r="L239" s="161" t="s">
        <v>1033</v>
      </c>
    </row>
    <row r="240" spans="1:12" ht="12.75" customHeight="1">
      <c r="A240" s="91" t="s">
        <v>1112</v>
      </c>
      <c r="B240" s="75" t="s">
        <v>1113</v>
      </c>
      <c r="C240" s="91" t="s">
        <v>1114</v>
      </c>
      <c r="D240" s="66" t="s">
        <v>19</v>
      </c>
      <c r="E240" s="72" t="s">
        <v>20</v>
      </c>
      <c r="F240" s="160" t="s">
        <v>21</v>
      </c>
      <c r="G240" s="161"/>
      <c r="H240" s="161"/>
      <c r="I240" s="162" t="s">
        <v>1115</v>
      </c>
      <c r="J240" s="162"/>
      <c r="K240" s="14" t="s">
        <v>40</v>
      </c>
      <c r="L240" s="161"/>
    </row>
    <row r="241" spans="1:12" ht="12.75" customHeight="1">
      <c r="A241" s="91" t="s">
        <v>1116</v>
      </c>
      <c r="B241" s="75" t="s">
        <v>1117</v>
      </c>
      <c r="C241" s="91" t="s">
        <v>1118</v>
      </c>
      <c r="D241" s="66" t="s">
        <v>19</v>
      </c>
      <c r="E241" s="72" t="s">
        <v>26</v>
      </c>
      <c r="F241" s="163" t="s">
        <v>36</v>
      </c>
      <c r="G241" s="162" t="s">
        <v>1101</v>
      </c>
      <c r="H241" s="161"/>
      <c r="I241" s="162" t="s">
        <v>1119</v>
      </c>
      <c r="J241" s="161"/>
      <c r="K241" s="162" t="s">
        <v>54</v>
      </c>
      <c r="L241" s="161"/>
    </row>
    <row r="242" spans="1:12" ht="12.75" customHeight="1">
      <c r="A242" s="8" t="s">
        <v>1120</v>
      </c>
      <c r="B242" s="9" t="s">
        <v>1121</v>
      </c>
      <c r="C242" s="13" t="s">
        <v>1122</v>
      </c>
      <c r="D242" s="11" t="s">
        <v>19</v>
      </c>
      <c r="E242" s="12" t="s">
        <v>20</v>
      </c>
      <c r="F242" s="6" t="s">
        <v>21</v>
      </c>
      <c r="G242" s="13"/>
      <c r="H242" s="13"/>
      <c r="I242" s="14" t="s">
        <v>1123</v>
      </c>
      <c r="J242" s="18"/>
      <c r="K242" s="14" t="s">
        <v>40</v>
      </c>
      <c r="L242" s="17"/>
    </row>
    <row r="243" spans="1:12" ht="12.75" customHeight="1">
      <c r="A243" s="8" t="s">
        <v>1124</v>
      </c>
      <c r="B243" s="9" t="s">
        <v>1125</v>
      </c>
      <c r="C243" s="13" t="s">
        <v>1126</v>
      </c>
      <c r="D243" s="11" t="s">
        <v>19</v>
      </c>
      <c r="E243" s="12" t="s">
        <v>20</v>
      </c>
      <c r="F243" s="164" t="s">
        <v>44</v>
      </c>
      <c r="G243" s="13" t="s">
        <v>1127</v>
      </c>
      <c r="H243" s="13"/>
      <c r="I243" s="14" t="s">
        <v>1128</v>
      </c>
      <c r="J243" s="18"/>
      <c r="K243" s="14" t="s">
        <v>40</v>
      </c>
      <c r="L243" s="17"/>
    </row>
    <row r="244" spans="1:12" ht="12.75" customHeight="1">
      <c r="A244" s="25" t="s">
        <v>1129</v>
      </c>
      <c r="B244" s="44" t="s">
        <v>1130</v>
      </c>
      <c r="C244" s="49" t="s">
        <v>1131</v>
      </c>
      <c r="D244" s="46" t="s">
        <v>19</v>
      </c>
      <c r="E244" s="47" t="s">
        <v>31</v>
      </c>
      <c r="F244" s="43" t="s">
        <v>21</v>
      </c>
      <c r="G244" s="49"/>
      <c r="H244" s="49"/>
      <c r="I244" s="49" t="s">
        <v>1132</v>
      </c>
      <c r="J244" s="50"/>
      <c r="K244" s="51" t="s">
        <v>32</v>
      </c>
      <c r="L244" s="94"/>
    </row>
    <row r="245" spans="1:12" ht="12.75" customHeight="1">
      <c r="A245" s="8" t="s">
        <v>1133</v>
      </c>
      <c r="B245" s="7" t="s">
        <v>1134</v>
      </c>
      <c r="C245" s="15" t="s">
        <v>1135</v>
      </c>
      <c r="D245" s="11" t="s">
        <v>19</v>
      </c>
      <c r="E245" s="12" t="s">
        <v>20</v>
      </c>
      <c r="F245" s="6" t="s">
        <v>21</v>
      </c>
      <c r="G245" s="13"/>
      <c r="H245" s="13"/>
      <c r="I245" s="15" t="s">
        <v>1136</v>
      </c>
      <c r="J245" s="15"/>
      <c r="K245" s="14" t="s">
        <v>40</v>
      </c>
      <c r="L245" s="33"/>
    </row>
    <row r="246" spans="1:12" ht="12.75" customHeight="1">
      <c r="A246" s="8" t="s">
        <v>1137</v>
      </c>
      <c r="B246" s="7" t="s">
        <v>1138</v>
      </c>
      <c r="C246" s="15" t="s">
        <v>1139</v>
      </c>
      <c r="D246" s="11" t="s">
        <v>19</v>
      </c>
      <c r="E246" s="12" t="s">
        <v>20</v>
      </c>
      <c r="F246" s="6" t="s">
        <v>21</v>
      </c>
      <c r="G246" s="13"/>
      <c r="H246" s="13"/>
      <c r="I246" s="15" t="s">
        <v>1140</v>
      </c>
      <c r="J246" s="15"/>
      <c r="K246" s="14" t="s">
        <v>40</v>
      </c>
      <c r="L246" s="33"/>
    </row>
    <row r="247" spans="1:12" ht="12.75" customHeight="1">
      <c r="A247" s="8" t="s">
        <v>1141</v>
      </c>
      <c r="B247" s="7" t="s">
        <v>1142</v>
      </c>
      <c r="C247" s="15" t="s">
        <v>1143</v>
      </c>
      <c r="D247" s="11" t="s">
        <v>19</v>
      </c>
      <c r="E247" s="12" t="s">
        <v>20</v>
      </c>
      <c r="F247" s="6" t="s">
        <v>21</v>
      </c>
      <c r="G247" s="13"/>
      <c r="H247" s="13"/>
      <c r="I247" s="15" t="s">
        <v>1144</v>
      </c>
      <c r="J247" s="15"/>
      <c r="K247" s="14" t="s">
        <v>40</v>
      </c>
      <c r="L247" s="33"/>
    </row>
    <row r="248" spans="1:12" ht="12.75" customHeight="1">
      <c r="A248" s="8" t="s">
        <v>1145</v>
      </c>
      <c r="B248" s="7" t="s">
        <v>1146</v>
      </c>
      <c r="C248" s="15" t="s">
        <v>1147</v>
      </c>
      <c r="D248" s="11" t="s">
        <v>19</v>
      </c>
      <c r="E248" s="12" t="s">
        <v>26</v>
      </c>
      <c r="F248" s="55" t="s">
        <v>36</v>
      </c>
      <c r="G248" s="13" t="s">
        <v>1148</v>
      </c>
      <c r="H248" s="13" t="s">
        <v>1149</v>
      </c>
      <c r="I248" s="15" t="s">
        <v>1150</v>
      </c>
      <c r="J248" s="15"/>
      <c r="K248" s="14" t="s">
        <v>40</v>
      </c>
      <c r="L248" s="33"/>
    </row>
    <row r="249" spans="1:12" ht="12.75" customHeight="1">
      <c r="A249" s="8" t="s">
        <v>1151</v>
      </c>
      <c r="B249" s="7" t="s">
        <v>1152</v>
      </c>
      <c r="C249" s="15" t="s">
        <v>1153</v>
      </c>
      <c r="D249" s="11" t="s">
        <v>19</v>
      </c>
      <c r="E249" s="12" t="s">
        <v>20</v>
      </c>
      <c r="F249" s="6" t="s">
        <v>21</v>
      </c>
      <c r="G249" s="13"/>
      <c r="H249" s="13"/>
      <c r="I249" s="15" t="s">
        <v>1154</v>
      </c>
      <c r="J249" s="15"/>
      <c r="K249" s="14" t="s">
        <v>40</v>
      </c>
      <c r="L249" s="33"/>
    </row>
    <row r="250" spans="1:12" ht="12.75" customHeight="1">
      <c r="A250" s="8" t="s">
        <v>1155</v>
      </c>
      <c r="B250" s="7" t="s">
        <v>1156</v>
      </c>
      <c r="C250" s="15" t="s">
        <v>1157</v>
      </c>
      <c r="D250" s="11" t="s">
        <v>19</v>
      </c>
      <c r="E250" s="12" t="s">
        <v>26</v>
      </c>
      <c r="F250" s="55" t="s">
        <v>36</v>
      </c>
      <c r="G250" s="13" t="s">
        <v>1148</v>
      </c>
      <c r="H250" s="13" t="s">
        <v>1149</v>
      </c>
      <c r="I250" s="15" t="s">
        <v>1158</v>
      </c>
      <c r="J250" s="15" t="s">
        <v>1159</v>
      </c>
      <c r="K250" s="14" t="s">
        <v>40</v>
      </c>
      <c r="L250" s="33"/>
    </row>
    <row r="251" spans="1:12" ht="12.75" customHeight="1">
      <c r="A251" s="10" t="s">
        <v>1160</v>
      </c>
      <c r="B251" s="9" t="s">
        <v>1161</v>
      </c>
      <c r="C251" s="13" t="s">
        <v>1162</v>
      </c>
      <c r="D251" s="11" t="s">
        <v>19</v>
      </c>
      <c r="E251" s="12" t="s">
        <v>31</v>
      </c>
      <c r="F251" s="6" t="s">
        <v>21</v>
      </c>
      <c r="G251" s="13"/>
      <c r="H251" s="13"/>
      <c r="I251" s="13" t="s">
        <v>1163</v>
      </c>
      <c r="J251" s="120" t="s">
        <v>1164</v>
      </c>
      <c r="K251" s="16" t="s">
        <v>24</v>
      </c>
      <c r="L251" s="17" t="s">
        <v>1165</v>
      </c>
    </row>
    <row r="252" spans="1:12" ht="12.75" customHeight="1">
      <c r="A252" s="8" t="s">
        <v>1166</v>
      </c>
      <c r="B252" s="114" t="s">
        <v>1167</v>
      </c>
      <c r="C252" s="115" t="s">
        <v>1168</v>
      </c>
      <c r="D252" s="11" t="s">
        <v>19</v>
      </c>
      <c r="E252" s="12" t="s">
        <v>20</v>
      </c>
      <c r="F252" s="6" t="s">
        <v>21</v>
      </c>
      <c r="G252" s="13"/>
      <c r="H252" s="13"/>
      <c r="I252" s="13" t="s">
        <v>1169</v>
      </c>
      <c r="J252" s="126" t="s">
        <v>1170</v>
      </c>
      <c r="K252" s="16" t="s">
        <v>24</v>
      </c>
      <c r="L252" s="17" t="s">
        <v>1171</v>
      </c>
    </row>
    <row r="253" spans="1:12" ht="12.75" customHeight="1">
      <c r="A253" s="8" t="s">
        <v>1172</v>
      </c>
      <c r="B253" s="9" t="s">
        <v>1173</v>
      </c>
      <c r="C253" s="13" t="s">
        <v>1174</v>
      </c>
      <c r="D253" s="11" t="s">
        <v>19</v>
      </c>
      <c r="E253" s="12" t="s">
        <v>20</v>
      </c>
      <c r="F253" s="55" t="s">
        <v>44</v>
      </c>
      <c r="G253" s="13" t="s">
        <v>1175</v>
      </c>
      <c r="H253" s="13"/>
      <c r="I253" s="13" t="s">
        <v>1176</v>
      </c>
      <c r="J253" s="15"/>
      <c r="K253" s="14" t="s">
        <v>40</v>
      </c>
      <c r="L253" s="33"/>
    </row>
    <row r="254" spans="1:12" ht="12.75" customHeight="1">
      <c r="A254" s="8" t="s">
        <v>1177</v>
      </c>
      <c r="B254" s="8" t="s">
        <v>1178</v>
      </c>
      <c r="C254" s="34" t="s">
        <v>1179</v>
      </c>
      <c r="D254" s="35" t="s">
        <v>19</v>
      </c>
      <c r="E254" s="35" t="s">
        <v>20</v>
      </c>
      <c r="F254" s="36" t="s">
        <v>44</v>
      </c>
      <c r="G254" s="34" t="s">
        <v>1175</v>
      </c>
      <c r="H254" s="38"/>
      <c r="I254" s="8" t="s">
        <v>1180</v>
      </c>
      <c r="J254" s="38"/>
      <c r="K254" s="8" t="s">
        <v>40</v>
      </c>
      <c r="L254" s="38"/>
    </row>
    <row r="255" spans="1:12" ht="12.75" customHeight="1">
      <c r="A255" s="8" t="s">
        <v>1181</v>
      </c>
      <c r="B255" s="9" t="s">
        <v>1182</v>
      </c>
      <c r="C255" s="13" t="s">
        <v>1183</v>
      </c>
      <c r="D255" s="11" t="s">
        <v>19</v>
      </c>
      <c r="E255" s="12" t="s">
        <v>20</v>
      </c>
      <c r="F255" s="6" t="s">
        <v>21</v>
      </c>
      <c r="G255" s="13"/>
      <c r="H255" s="13"/>
      <c r="I255" s="13" t="s">
        <v>1184</v>
      </c>
      <c r="J255" s="88" t="s">
        <v>1185</v>
      </c>
      <c r="K255" s="16" t="s">
        <v>24</v>
      </c>
      <c r="L255" s="33" t="s">
        <v>1186</v>
      </c>
    </row>
    <row r="256" spans="1:12" ht="12.75" customHeight="1">
      <c r="A256" s="8" t="s">
        <v>1187</v>
      </c>
      <c r="B256" s="114" t="s">
        <v>1188</v>
      </c>
      <c r="C256" s="115" t="s">
        <v>1189</v>
      </c>
      <c r="D256" s="11" t="s">
        <v>19</v>
      </c>
      <c r="E256" s="12" t="s">
        <v>20</v>
      </c>
      <c r="F256" s="6" t="s">
        <v>21</v>
      </c>
      <c r="G256" s="13"/>
      <c r="H256" s="13"/>
      <c r="I256" s="13" t="s">
        <v>1190</v>
      </c>
      <c r="J256" s="126" t="s">
        <v>1191</v>
      </c>
      <c r="K256" s="16" t="s">
        <v>24</v>
      </c>
      <c r="L256" s="17" t="s">
        <v>1192</v>
      </c>
    </row>
    <row r="257" spans="1:12" ht="12.75" customHeight="1">
      <c r="A257" s="8" t="s">
        <v>1194</v>
      </c>
      <c r="B257" s="9" t="s">
        <v>1195</v>
      </c>
      <c r="C257" s="13" t="s">
        <v>1196</v>
      </c>
      <c r="D257" s="11" t="s">
        <v>19</v>
      </c>
      <c r="E257" s="12" t="s">
        <v>20</v>
      </c>
      <c r="F257" s="55" t="s">
        <v>44</v>
      </c>
      <c r="G257" s="13" t="s">
        <v>1197</v>
      </c>
      <c r="H257" s="13"/>
      <c r="I257" s="13" t="s">
        <v>1198</v>
      </c>
      <c r="J257" s="15"/>
      <c r="K257" s="14" t="s">
        <v>40</v>
      </c>
      <c r="L257" s="33"/>
    </row>
    <row r="258" spans="1:12" ht="12.75" customHeight="1">
      <c r="A258" s="8" t="s">
        <v>1199</v>
      </c>
      <c r="B258" s="9" t="s">
        <v>1200</v>
      </c>
      <c r="C258" s="13" t="s">
        <v>1201</v>
      </c>
      <c r="D258" s="11" t="s">
        <v>19</v>
      </c>
      <c r="E258" s="12" t="s">
        <v>20</v>
      </c>
      <c r="F258" s="55" t="s">
        <v>44</v>
      </c>
      <c r="G258" s="13" t="s">
        <v>1197</v>
      </c>
      <c r="H258" s="13"/>
      <c r="I258" s="13" t="s">
        <v>1202</v>
      </c>
      <c r="J258" s="15"/>
      <c r="K258" s="14" t="s">
        <v>40</v>
      </c>
      <c r="L258" s="33"/>
    </row>
    <row r="259" spans="1:12" ht="12.75" customHeight="1">
      <c r="A259" s="91" t="s">
        <v>1203</v>
      </c>
      <c r="B259" s="69" t="s">
        <v>1204</v>
      </c>
      <c r="C259" s="68" t="s">
        <v>1205</v>
      </c>
      <c r="D259" s="66" t="s">
        <v>19</v>
      </c>
      <c r="E259" s="67" t="s">
        <v>20</v>
      </c>
      <c r="F259" s="62" t="s">
        <v>21</v>
      </c>
      <c r="G259" s="68"/>
      <c r="H259" s="68"/>
      <c r="I259" s="68" t="s">
        <v>1206</v>
      </c>
      <c r="J259" s="118"/>
      <c r="K259" s="16" t="s">
        <v>24</v>
      </c>
      <c r="L259" s="119" t="s">
        <v>1207</v>
      </c>
    </row>
    <row r="260" spans="1:12" ht="12.75" customHeight="1">
      <c r="A260" s="91" t="s">
        <v>1208</v>
      </c>
      <c r="B260" s="83" t="s">
        <v>1209</v>
      </c>
      <c r="C260" s="118" t="s">
        <v>1210</v>
      </c>
      <c r="D260" s="66" t="s">
        <v>19</v>
      </c>
      <c r="E260" s="67" t="s">
        <v>20</v>
      </c>
      <c r="F260" s="6" t="s">
        <v>21</v>
      </c>
      <c r="G260" s="13"/>
      <c r="H260" s="13"/>
      <c r="I260" s="118" t="s">
        <v>1211</v>
      </c>
      <c r="J260" s="118"/>
      <c r="K260" s="95" t="s">
        <v>92</v>
      </c>
      <c r="L260" s="71"/>
    </row>
    <row r="261" spans="1:12" ht="12" customHeight="1">
      <c r="A261" s="91" t="s">
        <v>1212</v>
      </c>
      <c r="B261" s="83" t="s">
        <v>1213</v>
      </c>
      <c r="C261" s="118" t="s">
        <v>1214</v>
      </c>
      <c r="D261" s="66" t="s">
        <v>19</v>
      </c>
      <c r="E261" s="67" t="s">
        <v>20</v>
      </c>
      <c r="F261" s="62" t="s">
        <v>21</v>
      </c>
      <c r="G261" s="68"/>
      <c r="H261" s="68"/>
      <c r="I261" s="118" t="s">
        <v>1215</v>
      </c>
      <c r="J261" s="118" t="s">
        <v>1216</v>
      </c>
      <c r="K261" s="16" t="s">
        <v>24</v>
      </c>
      <c r="L261" s="71" t="s">
        <v>1217</v>
      </c>
    </row>
    <row r="262" spans="1:12" ht="12" customHeight="1">
      <c r="A262" s="8" t="s">
        <v>1219</v>
      </c>
      <c r="B262" s="7" t="s">
        <v>1220</v>
      </c>
      <c r="C262" s="15" t="s">
        <v>1221</v>
      </c>
      <c r="D262" s="11" t="s">
        <v>19</v>
      </c>
      <c r="E262" s="12" t="s">
        <v>20</v>
      </c>
      <c r="F262" s="6" t="s">
        <v>21</v>
      </c>
      <c r="G262" s="13"/>
      <c r="H262" s="13"/>
      <c r="I262" s="15" t="s">
        <v>1222</v>
      </c>
      <c r="J262" s="15"/>
      <c r="K262" s="14" t="s">
        <v>40</v>
      </c>
      <c r="L262" s="17"/>
    </row>
    <row r="263" spans="1:12" ht="12.75" customHeight="1">
      <c r="A263" s="90" t="s">
        <v>1223</v>
      </c>
      <c r="B263" s="9" t="s">
        <v>1224</v>
      </c>
      <c r="C263" s="13" t="s">
        <v>1225</v>
      </c>
      <c r="D263" s="11" t="s">
        <v>26</v>
      </c>
      <c r="E263" s="12" t="s">
        <v>26</v>
      </c>
      <c r="F263" s="55" t="s">
        <v>36</v>
      </c>
      <c r="G263" s="13" t="s">
        <v>1226</v>
      </c>
      <c r="H263" s="13" t="s">
        <v>811</v>
      </c>
      <c r="I263" s="13" t="s">
        <v>1227</v>
      </c>
      <c r="J263" s="18" t="s">
        <v>1228</v>
      </c>
      <c r="K263" s="14" t="s">
        <v>40</v>
      </c>
      <c r="L263" s="17"/>
    </row>
    <row r="264" spans="1:12" ht="12" customHeight="1">
      <c r="A264" s="91" t="s">
        <v>1229</v>
      </c>
      <c r="B264" s="69" t="s">
        <v>1230</v>
      </c>
      <c r="C264" s="68" t="s">
        <v>1231</v>
      </c>
      <c r="D264" s="66" t="s">
        <v>19</v>
      </c>
      <c r="E264" s="67" t="s">
        <v>20</v>
      </c>
      <c r="F264" s="62" t="s">
        <v>21</v>
      </c>
      <c r="G264" s="68"/>
      <c r="H264" s="68"/>
      <c r="I264" s="68" t="s">
        <v>1232</v>
      </c>
      <c r="J264" s="118" t="s">
        <v>1233</v>
      </c>
      <c r="K264" s="16" t="s">
        <v>24</v>
      </c>
      <c r="L264" s="119" t="s">
        <v>1234</v>
      </c>
    </row>
    <row r="265" spans="1:12" ht="12" customHeight="1">
      <c r="A265" s="25" t="s">
        <v>1235</v>
      </c>
      <c r="B265" s="44" t="s">
        <v>1236</v>
      </c>
      <c r="C265" s="49" t="s">
        <v>1237</v>
      </c>
      <c r="D265" s="46" t="s">
        <v>19</v>
      </c>
      <c r="E265" s="47" t="s">
        <v>20</v>
      </c>
      <c r="F265" s="46" t="s">
        <v>21</v>
      </c>
      <c r="G265" s="49"/>
      <c r="H265" s="49"/>
      <c r="I265" s="49"/>
      <c r="J265" s="79"/>
      <c r="K265" s="51" t="s">
        <v>32</v>
      </c>
      <c r="L265" s="94"/>
    </row>
    <row r="266" spans="1:12" ht="12.75" customHeight="1">
      <c r="A266" s="91" t="s">
        <v>1238</v>
      </c>
      <c r="B266" s="69" t="s">
        <v>1239</v>
      </c>
      <c r="C266" s="68" t="s">
        <v>1240</v>
      </c>
      <c r="D266" s="66" t="s">
        <v>19</v>
      </c>
      <c r="E266" s="67" t="s">
        <v>26</v>
      </c>
      <c r="F266" s="131" t="s">
        <v>36</v>
      </c>
      <c r="G266" s="68" t="s">
        <v>1241</v>
      </c>
      <c r="H266" s="68" t="s">
        <v>1236</v>
      </c>
      <c r="I266" s="68" t="s">
        <v>1242</v>
      </c>
      <c r="J266" s="118" t="s">
        <v>1243</v>
      </c>
      <c r="K266" s="95" t="s">
        <v>92</v>
      </c>
      <c r="L266" s="119"/>
    </row>
    <row r="267" spans="1:12" ht="12.75" customHeight="1">
      <c r="A267" s="91" t="s">
        <v>1244</v>
      </c>
      <c r="B267" s="69" t="s">
        <v>1245</v>
      </c>
      <c r="C267" s="68" t="s">
        <v>1246</v>
      </c>
      <c r="D267" s="66" t="s">
        <v>19</v>
      </c>
      <c r="E267" s="67" t="s">
        <v>20</v>
      </c>
      <c r="F267" s="62" t="s">
        <v>21</v>
      </c>
      <c r="G267" s="68"/>
      <c r="H267" s="68"/>
      <c r="I267" s="68" t="s">
        <v>1247</v>
      </c>
      <c r="J267" s="118" t="s">
        <v>1248</v>
      </c>
      <c r="K267" s="14" t="s">
        <v>40</v>
      </c>
      <c r="L267" s="119"/>
    </row>
    <row r="268" spans="1:12" ht="12.75" customHeight="1">
      <c r="A268" s="91" t="s">
        <v>1249</v>
      </c>
      <c r="B268" s="69" t="s">
        <v>1250</v>
      </c>
      <c r="C268" s="68" t="s">
        <v>1251</v>
      </c>
      <c r="D268" s="66" t="s">
        <v>19</v>
      </c>
      <c r="E268" s="67" t="s">
        <v>20</v>
      </c>
      <c r="F268" s="62" t="s">
        <v>21</v>
      </c>
      <c r="G268" s="68"/>
      <c r="H268" s="68"/>
      <c r="I268" s="68" t="s">
        <v>1252</v>
      </c>
      <c r="J268" s="118"/>
      <c r="K268" s="65" t="s">
        <v>54</v>
      </c>
      <c r="L268" s="119"/>
    </row>
    <row r="269" spans="1:12" ht="12.75" customHeight="1">
      <c r="A269" s="8" t="s">
        <v>1253</v>
      </c>
      <c r="B269" s="9" t="s">
        <v>1254</v>
      </c>
      <c r="C269" s="13" t="s">
        <v>1255</v>
      </c>
      <c r="D269" s="11" t="s">
        <v>19</v>
      </c>
      <c r="E269" s="12" t="s">
        <v>20</v>
      </c>
      <c r="F269" s="11" t="s">
        <v>21</v>
      </c>
      <c r="G269" s="13"/>
      <c r="H269" s="13"/>
      <c r="I269" s="13" t="s">
        <v>1256</v>
      </c>
      <c r="J269" s="126" t="s">
        <v>1257</v>
      </c>
      <c r="K269" s="133" t="s">
        <v>24</v>
      </c>
      <c r="L269" s="33" t="s">
        <v>1258</v>
      </c>
    </row>
    <row r="270" spans="1:12" ht="12.75" customHeight="1">
      <c r="A270" s="8" t="s">
        <v>1259</v>
      </c>
      <c r="B270" s="114" t="s">
        <v>1260</v>
      </c>
      <c r="C270" s="115" t="s">
        <v>1261</v>
      </c>
      <c r="D270" s="11" t="s">
        <v>19</v>
      </c>
      <c r="E270" s="12" t="s">
        <v>20</v>
      </c>
      <c r="F270" s="6" t="s">
        <v>21</v>
      </c>
      <c r="G270" s="13"/>
      <c r="H270" s="13"/>
      <c r="I270" s="115" t="s">
        <v>1262</v>
      </c>
      <c r="J270" s="126" t="s">
        <v>1263</v>
      </c>
      <c r="K270" s="16" t="s">
        <v>24</v>
      </c>
      <c r="L270" s="33" t="s">
        <v>1264</v>
      </c>
    </row>
    <row r="271" spans="1:12" ht="12.75" customHeight="1">
      <c r="A271" s="8" t="s">
        <v>1265</v>
      </c>
      <c r="B271" s="9" t="s">
        <v>1266</v>
      </c>
      <c r="C271" s="13" t="s">
        <v>1267</v>
      </c>
      <c r="D271" s="11" t="s">
        <v>19</v>
      </c>
      <c r="E271" s="12" t="s">
        <v>20</v>
      </c>
      <c r="F271" s="6" t="s">
        <v>21</v>
      </c>
      <c r="G271" s="15"/>
      <c r="H271" s="15"/>
      <c r="I271" s="13" t="s">
        <v>1268</v>
      </c>
      <c r="J271" s="15" t="s">
        <v>148</v>
      </c>
      <c r="K271" s="14" t="s">
        <v>40</v>
      </c>
      <c r="L271" s="97"/>
    </row>
    <row r="272" spans="1:12" ht="12.75" customHeight="1">
      <c r="A272" s="25" t="s">
        <v>1269</v>
      </c>
      <c r="B272" s="44" t="s">
        <v>1270</v>
      </c>
      <c r="C272" s="13" t="s">
        <v>1271</v>
      </c>
      <c r="D272" s="46" t="s">
        <v>19</v>
      </c>
      <c r="E272" s="47" t="s">
        <v>20</v>
      </c>
      <c r="F272" s="6" t="s">
        <v>21</v>
      </c>
      <c r="G272" s="49"/>
      <c r="H272" s="49"/>
      <c r="I272" s="51"/>
      <c r="J272" s="50"/>
      <c r="K272" s="51" t="s">
        <v>32</v>
      </c>
      <c r="L272" s="52"/>
    </row>
    <row r="273" spans="1:12" ht="12.75" customHeight="1">
      <c r="A273" s="8" t="s">
        <v>1272</v>
      </c>
      <c r="B273" s="9" t="s">
        <v>1273</v>
      </c>
      <c r="C273" s="13" t="s">
        <v>1274</v>
      </c>
      <c r="D273" s="11" t="s">
        <v>19</v>
      </c>
      <c r="E273" s="12" t="s">
        <v>20</v>
      </c>
      <c r="F273" s="6" t="s">
        <v>21</v>
      </c>
      <c r="G273" s="13"/>
      <c r="H273" s="13"/>
      <c r="I273" s="14" t="s">
        <v>1275</v>
      </c>
      <c r="J273" s="18" t="s">
        <v>1276</v>
      </c>
      <c r="K273" s="14" t="s">
        <v>40</v>
      </c>
      <c r="L273" s="17"/>
    </row>
    <row r="274" spans="1:12" ht="12.75" customHeight="1">
      <c r="A274" s="8" t="s">
        <v>1277</v>
      </c>
      <c r="B274" s="9" t="s">
        <v>1278</v>
      </c>
      <c r="C274" s="13" t="s">
        <v>1279</v>
      </c>
      <c r="D274" s="11" t="s">
        <v>19</v>
      </c>
      <c r="E274" s="12" t="s">
        <v>26</v>
      </c>
      <c r="F274" s="131" t="s">
        <v>36</v>
      </c>
      <c r="G274" s="13" t="s">
        <v>1280</v>
      </c>
      <c r="H274" s="13" t="s">
        <v>1270</v>
      </c>
      <c r="I274" s="14" t="s">
        <v>1281</v>
      </c>
      <c r="J274" s="18" t="s">
        <v>1282</v>
      </c>
      <c r="K274" s="142" t="s">
        <v>24</v>
      </c>
      <c r="L274" s="17"/>
    </row>
    <row r="275" spans="1:12" ht="12.75" customHeight="1">
      <c r="A275" s="8" t="s">
        <v>1283</v>
      </c>
      <c r="B275" s="9" t="s">
        <v>1284</v>
      </c>
      <c r="C275" s="13" t="s">
        <v>1285</v>
      </c>
      <c r="D275" s="11" t="s">
        <v>19</v>
      </c>
      <c r="E275" s="12" t="s">
        <v>383</v>
      </c>
      <c r="F275" s="131" t="s">
        <v>36</v>
      </c>
      <c r="G275" s="13" t="s">
        <v>1280</v>
      </c>
      <c r="H275" s="13" t="s">
        <v>1270</v>
      </c>
      <c r="I275" s="14" t="s">
        <v>1286</v>
      </c>
      <c r="J275" s="88" t="s">
        <v>1287</v>
      </c>
      <c r="K275" s="16" t="s">
        <v>24</v>
      </c>
      <c r="L275" s="17" t="s">
        <v>1288</v>
      </c>
    </row>
    <row r="276" spans="1:12" ht="12.75" customHeight="1">
      <c r="A276" s="8" t="s">
        <v>1289</v>
      </c>
      <c r="B276" s="9" t="s">
        <v>1290</v>
      </c>
      <c r="C276" s="125" t="s">
        <v>1291</v>
      </c>
      <c r="D276" s="11" t="s">
        <v>19</v>
      </c>
      <c r="E276" s="12" t="s">
        <v>20</v>
      </c>
      <c r="F276" s="6" t="s">
        <v>21</v>
      </c>
      <c r="G276" s="13"/>
      <c r="H276" s="13"/>
      <c r="I276" s="14" t="s">
        <v>1292</v>
      </c>
      <c r="J276" s="165"/>
      <c r="K276" s="14" t="s">
        <v>40</v>
      </c>
      <c r="L276" s="17"/>
    </row>
    <row r="277" spans="1:12" ht="12.75" customHeight="1">
      <c r="A277" s="8" t="s">
        <v>1293</v>
      </c>
      <c r="B277" s="21" t="s">
        <v>1294</v>
      </c>
      <c r="C277" s="33" t="s">
        <v>1295</v>
      </c>
      <c r="D277" s="61" t="s">
        <v>20</v>
      </c>
      <c r="E277" s="110" t="s">
        <v>20</v>
      </c>
      <c r="F277" s="61" t="s">
        <v>21</v>
      </c>
      <c r="G277" s="26"/>
      <c r="H277" s="38"/>
      <c r="I277" s="14" t="s">
        <v>1296</v>
      </c>
      <c r="J277" s="18" t="s">
        <v>1297</v>
      </c>
      <c r="K277" s="8" t="s">
        <v>1298</v>
      </c>
      <c r="L277" s="157" t="s">
        <v>1299</v>
      </c>
    </row>
    <row r="278" spans="1:12" ht="12.75" customHeight="1">
      <c r="A278" s="90" t="s">
        <v>1300</v>
      </c>
      <c r="B278" s="9" t="s">
        <v>1301</v>
      </c>
      <c r="C278" s="13" t="s">
        <v>1302</v>
      </c>
      <c r="D278" s="11" t="s">
        <v>20</v>
      </c>
      <c r="E278" s="12" t="s">
        <v>20</v>
      </c>
      <c r="F278" s="124" t="s">
        <v>21</v>
      </c>
      <c r="G278" s="15"/>
      <c r="H278" s="15"/>
      <c r="I278" s="14" t="s">
        <v>1303</v>
      </c>
      <c r="J278" s="18" t="s">
        <v>492</v>
      </c>
      <c r="K278" s="95" t="s">
        <v>92</v>
      </c>
      <c r="L278" s="17"/>
    </row>
    <row r="279" spans="1:12" ht="12.75" customHeight="1">
      <c r="A279" s="73" t="s">
        <v>1304</v>
      </c>
      <c r="B279" s="9" t="s">
        <v>1305</v>
      </c>
      <c r="C279" s="13" t="s">
        <v>1306</v>
      </c>
      <c r="D279" s="11" t="s">
        <v>31</v>
      </c>
      <c r="E279" s="12" t="s">
        <v>31</v>
      </c>
      <c r="F279" s="124" t="s">
        <v>21</v>
      </c>
      <c r="G279" s="13"/>
      <c r="H279" s="13"/>
      <c r="I279" s="14" t="s">
        <v>1307</v>
      </c>
      <c r="J279" s="18" t="s">
        <v>1308</v>
      </c>
      <c r="K279" s="14" t="s">
        <v>40</v>
      </c>
      <c r="L279" s="17"/>
    </row>
    <row r="280" spans="1:12" ht="12.75" customHeight="1">
      <c r="A280" s="90" t="s">
        <v>1309</v>
      </c>
      <c r="B280" s="9" t="s">
        <v>1310</v>
      </c>
      <c r="C280" s="13" t="s">
        <v>1311</v>
      </c>
      <c r="D280" s="11" t="s">
        <v>20</v>
      </c>
      <c r="E280" s="12" t="s">
        <v>20</v>
      </c>
      <c r="F280" s="6" t="s">
        <v>21</v>
      </c>
      <c r="G280" s="13"/>
      <c r="H280" s="13"/>
      <c r="I280" s="14" t="s">
        <v>1312</v>
      </c>
      <c r="J280" s="88" t="s">
        <v>1313</v>
      </c>
      <c r="K280" s="16" t="s">
        <v>24</v>
      </c>
      <c r="L280" s="157" t="s">
        <v>1314</v>
      </c>
    </row>
    <row r="281" spans="1:12" ht="12.75" customHeight="1">
      <c r="A281" s="25" t="s">
        <v>1315</v>
      </c>
      <c r="B281" s="44" t="s">
        <v>1316</v>
      </c>
      <c r="C281" s="49" t="s">
        <v>1317</v>
      </c>
      <c r="D281" s="46" t="s">
        <v>31</v>
      </c>
      <c r="E281" s="47" t="s">
        <v>31</v>
      </c>
      <c r="F281" s="48" t="s">
        <v>21</v>
      </c>
      <c r="G281" s="49"/>
      <c r="H281" s="49"/>
      <c r="I281" s="51"/>
      <c r="J281" s="50"/>
      <c r="K281" s="51" t="s">
        <v>32</v>
      </c>
      <c r="L281" s="52"/>
    </row>
    <row r="282" spans="1:12" ht="12.75" customHeight="1">
      <c r="A282" s="73" t="s">
        <v>1318</v>
      </c>
      <c r="B282" s="114" t="s">
        <v>1319</v>
      </c>
      <c r="C282" s="115" t="s">
        <v>1320</v>
      </c>
      <c r="D282" s="11" t="s">
        <v>20</v>
      </c>
      <c r="E282" s="12" t="s">
        <v>20</v>
      </c>
      <c r="F282" s="6" t="s">
        <v>21</v>
      </c>
      <c r="G282" s="13"/>
      <c r="H282" s="13"/>
      <c r="I282" s="115" t="s">
        <v>1321</v>
      </c>
      <c r="J282" s="18" t="s">
        <v>1322</v>
      </c>
      <c r="K282" s="14" t="s">
        <v>40</v>
      </c>
      <c r="L282" s="17"/>
    </row>
    <row r="283" spans="1:12" ht="12.75" customHeight="1">
      <c r="A283" s="73" t="s">
        <v>1323</v>
      </c>
      <c r="B283" s="9" t="s">
        <v>1324</v>
      </c>
      <c r="C283" s="13" t="s">
        <v>1325</v>
      </c>
      <c r="D283" s="11" t="s">
        <v>26</v>
      </c>
      <c r="E283" s="12" t="s">
        <v>26</v>
      </c>
      <c r="F283" s="131" t="s">
        <v>36</v>
      </c>
      <c r="G283" s="13" t="s">
        <v>1326</v>
      </c>
      <c r="H283" s="13" t="s">
        <v>1316</v>
      </c>
      <c r="I283" s="14" t="s">
        <v>1327</v>
      </c>
      <c r="J283" s="88" t="s">
        <v>1022</v>
      </c>
      <c r="K283" s="16" t="s">
        <v>24</v>
      </c>
      <c r="L283" s="17" t="s">
        <v>1314</v>
      </c>
    </row>
    <row r="284" spans="1:12" ht="12.75" customHeight="1">
      <c r="A284" s="25" t="s">
        <v>1328</v>
      </c>
      <c r="B284" s="44" t="s">
        <v>1329</v>
      </c>
      <c r="C284" s="49" t="s">
        <v>1330</v>
      </c>
      <c r="D284" s="46" t="s">
        <v>26</v>
      </c>
      <c r="E284" s="47" t="s">
        <v>26</v>
      </c>
      <c r="F284" s="131" t="s">
        <v>36</v>
      </c>
      <c r="G284" s="13" t="s">
        <v>1326</v>
      </c>
      <c r="H284" s="13" t="s">
        <v>1316</v>
      </c>
      <c r="I284" s="51"/>
      <c r="J284" s="50"/>
      <c r="K284" s="49" t="s">
        <v>32</v>
      </c>
      <c r="L284" s="52"/>
    </row>
    <row r="285" spans="1:12" ht="12.75" customHeight="1">
      <c r="A285" s="73" t="s">
        <v>1331</v>
      </c>
      <c r="B285" s="114" t="s">
        <v>1332</v>
      </c>
      <c r="C285" s="115" t="s">
        <v>1333</v>
      </c>
      <c r="D285" s="11" t="s">
        <v>26</v>
      </c>
      <c r="E285" s="12" t="s">
        <v>26</v>
      </c>
      <c r="F285" s="131" t="s">
        <v>36</v>
      </c>
      <c r="G285" s="13" t="s">
        <v>1334</v>
      </c>
      <c r="H285" s="13" t="s">
        <v>1329</v>
      </c>
      <c r="I285" s="115" t="s">
        <v>1335</v>
      </c>
      <c r="J285" s="116" t="s">
        <v>1336</v>
      </c>
      <c r="K285" s="14" t="s">
        <v>40</v>
      </c>
      <c r="L285" s="17"/>
    </row>
    <row r="286" spans="1:12" ht="12.75" customHeight="1">
      <c r="A286" s="8" t="s">
        <v>1337</v>
      </c>
      <c r="B286" s="7" t="s">
        <v>1338</v>
      </c>
      <c r="C286" s="15" t="s">
        <v>1339</v>
      </c>
      <c r="D286" s="11" t="s">
        <v>19</v>
      </c>
      <c r="E286" s="12" t="s">
        <v>20</v>
      </c>
      <c r="F286" s="55" t="s">
        <v>44</v>
      </c>
      <c r="G286" s="13" t="s">
        <v>1340</v>
      </c>
      <c r="H286" s="13"/>
      <c r="I286" s="18" t="s">
        <v>1341</v>
      </c>
      <c r="J286" s="18" t="s">
        <v>1342</v>
      </c>
      <c r="K286" s="14" t="s">
        <v>40</v>
      </c>
      <c r="L286" s="17"/>
    </row>
    <row r="287" spans="1:12" ht="12" customHeight="1">
      <c r="A287" s="8" t="s">
        <v>1343</v>
      </c>
      <c r="B287" s="7" t="s">
        <v>1344</v>
      </c>
      <c r="C287" s="15" t="s">
        <v>1345</v>
      </c>
      <c r="D287" s="11" t="s">
        <v>19</v>
      </c>
      <c r="E287" s="12" t="s">
        <v>20</v>
      </c>
      <c r="F287" s="6" t="s">
        <v>21</v>
      </c>
      <c r="G287" s="13"/>
      <c r="H287" s="13"/>
      <c r="I287" s="18" t="s">
        <v>1346</v>
      </c>
      <c r="J287" s="74" t="s">
        <v>1347</v>
      </c>
      <c r="K287" s="13" t="s">
        <v>54</v>
      </c>
      <c r="L287" s="17"/>
    </row>
    <row r="288" spans="1:12" ht="12" customHeight="1">
      <c r="A288" s="8" t="s">
        <v>1348</v>
      </c>
      <c r="B288" s="7" t="s">
        <v>1349</v>
      </c>
      <c r="C288" s="15" t="s">
        <v>57</v>
      </c>
      <c r="D288" s="11" t="s">
        <v>19</v>
      </c>
      <c r="E288" s="12" t="s">
        <v>20</v>
      </c>
      <c r="F288" s="6" t="s">
        <v>21</v>
      </c>
      <c r="G288" s="13"/>
      <c r="H288" s="13"/>
      <c r="I288" s="18" t="s">
        <v>134</v>
      </c>
      <c r="J288" s="18" t="s">
        <v>1350</v>
      </c>
      <c r="K288" s="14" t="s">
        <v>40</v>
      </c>
      <c r="L288" s="17"/>
    </row>
    <row r="289" spans="1:12" ht="12" customHeight="1">
      <c r="A289" s="73" t="s">
        <v>1351</v>
      </c>
      <c r="B289" s="114" t="s">
        <v>1352</v>
      </c>
      <c r="C289" s="115" t="s">
        <v>1353</v>
      </c>
      <c r="D289" s="11" t="s">
        <v>26</v>
      </c>
      <c r="E289" s="12" t="s">
        <v>26</v>
      </c>
      <c r="F289" s="131" t="s">
        <v>36</v>
      </c>
      <c r="G289" s="13" t="s">
        <v>1334</v>
      </c>
      <c r="H289" s="13" t="s">
        <v>1329</v>
      </c>
      <c r="I289" s="115" t="s">
        <v>1354</v>
      </c>
      <c r="J289" s="126" t="s">
        <v>923</v>
      </c>
      <c r="K289" s="16" t="s">
        <v>24</v>
      </c>
      <c r="L289" s="17" t="s">
        <v>1355</v>
      </c>
    </row>
    <row r="290" spans="1:12" ht="12" customHeight="1">
      <c r="A290" s="10" t="s">
        <v>1356</v>
      </c>
      <c r="B290" s="81" t="s">
        <v>1357</v>
      </c>
      <c r="C290" s="10" t="s">
        <v>1358</v>
      </c>
      <c r="D290" s="98" t="s">
        <v>19</v>
      </c>
      <c r="E290" s="19" t="s">
        <v>31</v>
      </c>
      <c r="F290" s="166" t="s">
        <v>21</v>
      </c>
      <c r="G290" s="99"/>
      <c r="H290" s="92"/>
      <c r="I290" s="81" t="s">
        <v>1359</v>
      </c>
      <c r="J290" s="42" t="s">
        <v>1360</v>
      </c>
      <c r="K290" s="167" t="s">
        <v>24</v>
      </c>
      <c r="L290" s="157" t="s">
        <v>1314</v>
      </c>
    </row>
    <row r="291" spans="1:12" ht="12" customHeight="1">
      <c r="A291" s="90" t="s">
        <v>1361</v>
      </c>
      <c r="B291" s="9" t="s">
        <v>1362</v>
      </c>
      <c r="C291" s="13" t="s">
        <v>1363</v>
      </c>
      <c r="D291" s="11" t="s">
        <v>26</v>
      </c>
      <c r="E291" s="12" t="s">
        <v>26</v>
      </c>
      <c r="F291" s="89" t="s">
        <v>27</v>
      </c>
      <c r="G291" s="13"/>
      <c r="H291" s="13"/>
      <c r="I291" s="14" t="s">
        <v>1364</v>
      </c>
      <c r="J291" s="88" t="s">
        <v>374</v>
      </c>
      <c r="K291" s="16" t="s">
        <v>24</v>
      </c>
      <c r="L291" s="17" t="s">
        <v>1365</v>
      </c>
    </row>
    <row r="292" spans="1:12" ht="12.75" customHeight="1">
      <c r="A292" s="90" t="s">
        <v>1366</v>
      </c>
      <c r="B292" s="9" t="s">
        <v>1367</v>
      </c>
      <c r="C292" s="13" t="s">
        <v>1368</v>
      </c>
      <c r="D292" s="11" t="s">
        <v>20</v>
      </c>
      <c r="E292" s="12" t="s">
        <v>20</v>
      </c>
      <c r="F292" s="6" t="s">
        <v>21</v>
      </c>
      <c r="G292" s="13"/>
      <c r="H292" s="13"/>
      <c r="I292" s="14" t="s">
        <v>1369</v>
      </c>
      <c r="J292" s="18"/>
      <c r="K292" s="14" t="s">
        <v>40</v>
      </c>
      <c r="L292" s="17"/>
    </row>
    <row r="293" spans="1:12" ht="12.75" customHeight="1">
      <c r="A293" s="25" t="s">
        <v>1370</v>
      </c>
      <c r="B293" s="44" t="s">
        <v>1371</v>
      </c>
      <c r="C293" s="49" t="s">
        <v>1372</v>
      </c>
      <c r="D293" s="46" t="s">
        <v>31</v>
      </c>
      <c r="E293" s="47" t="s">
        <v>31</v>
      </c>
      <c r="F293" s="46" t="s">
        <v>21</v>
      </c>
      <c r="G293" s="49"/>
      <c r="H293" s="49"/>
      <c r="I293" s="51"/>
      <c r="J293" s="50"/>
      <c r="K293" s="51" t="s">
        <v>32</v>
      </c>
      <c r="L293" s="52"/>
    </row>
    <row r="294" spans="1:12" ht="12.75" customHeight="1">
      <c r="A294" s="8" t="s">
        <v>1373</v>
      </c>
      <c r="B294" s="9" t="s">
        <v>1374</v>
      </c>
      <c r="C294" s="13" t="s">
        <v>1375</v>
      </c>
      <c r="D294" s="12" t="s">
        <v>26</v>
      </c>
      <c r="E294" s="12" t="s">
        <v>26</v>
      </c>
      <c r="F294" s="55" t="s">
        <v>36</v>
      </c>
      <c r="G294" s="13" t="s">
        <v>1377</v>
      </c>
      <c r="H294" s="9" t="s">
        <v>1371</v>
      </c>
      <c r="I294" s="14" t="s">
        <v>1378</v>
      </c>
      <c r="J294" s="7" t="s">
        <v>1376</v>
      </c>
      <c r="K294" s="14" t="s">
        <v>40</v>
      </c>
      <c r="L294" s="17"/>
    </row>
    <row r="295" spans="1:12" ht="12.75" customHeight="1">
      <c r="A295" s="8" t="s">
        <v>1379</v>
      </c>
      <c r="B295" s="9" t="s">
        <v>1380</v>
      </c>
      <c r="C295" s="13" t="s">
        <v>1381</v>
      </c>
      <c r="D295" s="12" t="s">
        <v>20</v>
      </c>
      <c r="E295" s="12" t="s">
        <v>20</v>
      </c>
      <c r="F295" s="11" t="s">
        <v>21</v>
      </c>
      <c r="G295" s="13"/>
      <c r="H295" s="13"/>
      <c r="I295" s="10" t="s">
        <v>1383</v>
      </c>
      <c r="J295" s="7" t="s">
        <v>1382</v>
      </c>
      <c r="K295" s="14" t="s">
        <v>40</v>
      </c>
      <c r="L295" s="17"/>
    </row>
    <row r="296" spans="1:12" ht="12.75" customHeight="1">
      <c r="A296" s="8" t="s">
        <v>1384</v>
      </c>
      <c r="B296" s="9" t="s">
        <v>1385</v>
      </c>
      <c r="C296" s="13" t="s">
        <v>1386</v>
      </c>
      <c r="D296" s="12" t="s">
        <v>26</v>
      </c>
      <c r="E296" s="12" t="s">
        <v>26</v>
      </c>
      <c r="F296" s="55" t="s">
        <v>36</v>
      </c>
      <c r="G296" s="13" t="s">
        <v>1377</v>
      </c>
      <c r="H296" s="9" t="s">
        <v>1371</v>
      </c>
      <c r="I296" s="60"/>
      <c r="J296" s="7" t="s">
        <v>1387</v>
      </c>
      <c r="K296" s="14" t="s">
        <v>40</v>
      </c>
      <c r="L296" s="17"/>
    </row>
    <row r="297" spans="1:12" ht="12.75" customHeight="1">
      <c r="A297" s="8" t="s">
        <v>1388</v>
      </c>
      <c r="B297" s="9" t="s">
        <v>1389</v>
      </c>
      <c r="C297" s="10" t="s">
        <v>1390</v>
      </c>
      <c r="D297" s="98" t="s">
        <v>19</v>
      </c>
      <c r="E297" s="19" t="s">
        <v>20</v>
      </c>
      <c r="F297" s="98" t="s">
        <v>21</v>
      </c>
      <c r="G297" s="99"/>
      <c r="H297" s="99"/>
      <c r="I297" s="10" t="s">
        <v>471</v>
      </c>
      <c r="J297" s="99"/>
      <c r="K297" s="10" t="s">
        <v>40</v>
      </c>
      <c r="L297" s="99"/>
    </row>
    <row r="298" spans="1:12" ht="12.75" customHeight="1">
      <c r="A298" s="8" t="s">
        <v>1391</v>
      </c>
      <c r="B298" s="9" t="s">
        <v>1392</v>
      </c>
      <c r="C298" s="13" t="s">
        <v>1393</v>
      </c>
      <c r="D298" s="12" t="s">
        <v>20</v>
      </c>
      <c r="E298" s="12" t="s">
        <v>20</v>
      </c>
      <c r="F298" s="11" t="s">
        <v>21</v>
      </c>
      <c r="G298" s="13"/>
      <c r="H298" s="13"/>
      <c r="I298" s="60"/>
      <c r="J298" s="7" t="s">
        <v>1394</v>
      </c>
      <c r="K298" s="14" t="s">
        <v>40</v>
      </c>
      <c r="L298" s="17"/>
    </row>
    <row r="299" spans="1:12" ht="12.75" customHeight="1">
      <c r="A299" s="8" t="s">
        <v>1395</v>
      </c>
      <c r="B299" s="9" t="s">
        <v>1396</v>
      </c>
      <c r="C299" s="13" t="s">
        <v>1397</v>
      </c>
      <c r="D299" s="12" t="s">
        <v>20</v>
      </c>
      <c r="E299" s="12" t="s">
        <v>20</v>
      </c>
      <c r="F299" s="11" t="s">
        <v>21</v>
      </c>
      <c r="G299" s="13"/>
      <c r="H299" s="13"/>
      <c r="I299" s="10"/>
      <c r="J299" s="7" t="s">
        <v>1398</v>
      </c>
      <c r="K299" s="14" t="s">
        <v>40</v>
      </c>
      <c r="L299" s="17"/>
    </row>
    <row r="300" spans="1:12" ht="12.75" customHeight="1">
      <c r="A300" s="8" t="s">
        <v>1399</v>
      </c>
      <c r="B300" s="9" t="s">
        <v>1400</v>
      </c>
      <c r="C300" s="13" t="s">
        <v>1401</v>
      </c>
      <c r="D300" s="12" t="s">
        <v>20</v>
      </c>
      <c r="E300" s="12" t="s">
        <v>20</v>
      </c>
      <c r="F300" s="11" t="s">
        <v>21</v>
      </c>
      <c r="G300" s="13"/>
      <c r="H300" s="13"/>
      <c r="I300" s="10" t="s">
        <v>52</v>
      </c>
      <c r="J300" s="7" t="s">
        <v>1402</v>
      </c>
      <c r="K300" s="13" t="s">
        <v>54</v>
      </c>
      <c r="L300" s="17"/>
    </row>
    <row r="301" spans="1:12" ht="12.75" customHeight="1">
      <c r="A301" s="8" t="s">
        <v>1403</v>
      </c>
      <c r="B301" s="9" t="s">
        <v>1404</v>
      </c>
      <c r="C301" s="13" t="s">
        <v>1405</v>
      </c>
      <c r="D301" s="12" t="s">
        <v>26</v>
      </c>
      <c r="E301" s="12" t="s">
        <v>26</v>
      </c>
      <c r="F301" s="55" t="s">
        <v>36</v>
      </c>
      <c r="G301" s="13" t="s">
        <v>1377</v>
      </c>
      <c r="H301" s="9" t="s">
        <v>1371</v>
      </c>
      <c r="I301" s="14" t="s">
        <v>1406</v>
      </c>
      <c r="J301" s="7" t="s">
        <v>923</v>
      </c>
      <c r="K301" s="14" t="s">
        <v>40</v>
      </c>
      <c r="L301" s="17"/>
    </row>
    <row r="302" spans="1:12" ht="12.75" customHeight="1">
      <c r="A302" s="90" t="s">
        <v>1407</v>
      </c>
      <c r="B302" s="9" t="s">
        <v>1408</v>
      </c>
      <c r="C302" s="13" t="s">
        <v>1409</v>
      </c>
      <c r="D302" s="11" t="s">
        <v>20</v>
      </c>
      <c r="E302" s="12" t="s">
        <v>20</v>
      </c>
      <c r="F302" s="6" t="s">
        <v>21</v>
      </c>
      <c r="G302" s="13"/>
      <c r="H302" s="13"/>
      <c r="I302" s="14" t="s">
        <v>1410</v>
      </c>
      <c r="J302" s="18" t="s">
        <v>374</v>
      </c>
      <c r="K302" s="16" t="s">
        <v>24</v>
      </c>
      <c r="L302" s="17" t="s">
        <v>1365</v>
      </c>
    </row>
    <row r="303" spans="1:12" ht="12" customHeight="1">
      <c r="A303" s="25" t="s">
        <v>1411</v>
      </c>
      <c r="B303" s="44" t="s">
        <v>1412</v>
      </c>
      <c r="C303" s="49" t="s">
        <v>1413</v>
      </c>
      <c r="D303" s="46" t="s">
        <v>31</v>
      </c>
      <c r="E303" s="47" t="s">
        <v>31</v>
      </c>
      <c r="F303" s="78" t="s">
        <v>21</v>
      </c>
      <c r="G303" s="49"/>
      <c r="H303" s="49"/>
      <c r="I303" s="51"/>
      <c r="J303" s="50"/>
      <c r="K303" s="51" t="s">
        <v>32</v>
      </c>
      <c r="L303" s="52"/>
    </row>
    <row r="304" spans="1:12" ht="12.75" customHeight="1">
      <c r="A304" s="73" t="s">
        <v>1414</v>
      </c>
      <c r="B304" s="9" t="s">
        <v>1415</v>
      </c>
      <c r="C304" s="13" t="s">
        <v>1416</v>
      </c>
      <c r="D304" s="11" t="s">
        <v>20</v>
      </c>
      <c r="E304" s="12" t="s">
        <v>20</v>
      </c>
      <c r="F304" s="6" t="s">
        <v>21</v>
      </c>
      <c r="G304" s="13"/>
      <c r="H304" s="13"/>
      <c r="I304" s="14" t="s">
        <v>1417</v>
      </c>
      <c r="J304" s="18" t="s">
        <v>1418</v>
      </c>
      <c r="K304" s="14" t="s">
        <v>40</v>
      </c>
      <c r="L304" s="17"/>
    </row>
    <row r="305" spans="1:12" ht="12.75" customHeight="1">
      <c r="A305" s="25" t="s">
        <v>1419</v>
      </c>
      <c r="B305" s="44" t="s">
        <v>1420</v>
      </c>
      <c r="C305" s="49" t="s">
        <v>1421</v>
      </c>
      <c r="D305" s="46" t="s">
        <v>19</v>
      </c>
      <c r="E305" s="47" t="s">
        <v>20</v>
      </c>
      <c r="F305" s="78" t="s">
        <v>21</v>
      </c>
      <c r="G305" s="49"/>
      <c r="H305" s="49"/>
      <c r="I305" s="49"/>
      <c r="J305" s="50"/>
      <c r="K305" s="51" t="s">
        <v>32</v>
      </c>
      <c r="L305" s="52"/>
    </row>
    <row r="306" spans="1:12" ht="12.75" customHeight="1">
      <c r="A306" s="8" t="s">
        <v>1422</v>
      </c>
      <c r="B306" s="9" t="s">
        <v>1423</v>
      </c>
      <c r="C306" s="13" t="s">
        <v>1424</v>
      </c>
      <c r="D306" s="11" t="s">
        <v>19</v>
      </c>
      <c r="E306" s="12" t="s">
        <v>20</v>
      </c>
      <c r="F306" s="55" t="s">
        <v>44</v>
      </c>
      <c r="G306" s="13" t="s">
        <v>1425</v>
      </c>
      <c r="H306" s="13"/>
      <c r="I306" s="13" t="s">
        <v>1427</v>
      </c>
      <c r="J306" s="88" t="s">
        <v>374</v>
      </c>
      <c r="K306" s="16" t="s">
        <v>24</v>
      </c>
      <c r="L306" s="17" t="s">
        <v>1365</v>
      </c>
    </row>
    <row r="307" spans="1:12" ht="12.75" customHeight="1">
      <c r="A307" s="8" t="s">
        <v>1428</v>
      </c>
      <c r="B307" s="9" t="s">
        <v>1429</v>
      </c>
      <c r="C307" s="13" t="s">
        <v>1430</v>
      </c>
      <c r="D307" s="11" t="s">
        <v>19</v>
      </c>
      <c r="E307" s="12" t="s">
        <v>20</v>
      </c>
      <c r="F307" s="55" t="s">
        <v>44</v>
      </c>
      <c r="G307" s="13" t="s">
        <v>1425</v>
      </c>
      <c r="H307" s="13"/>
      <c r="I307" s="13" t="s">
        <v>1431</v>
      </c>
      <c r="J307" s="88" t="s">
        <v>374</v>
      </c>
      <c r="K307" s="16" t="s">
        <v>24</v>
      </c>
      <c r="L307" s="17" t="s">
        <v>1365</v>
      </c>
    </row>
    <row r="308" spans="1:12" ht="12.75" customHeight="1">
      <c r="A308" s="8" t="s">
        <v>1432</v>
      </c>
      <c r="B308" s="9" t="s">
        <v>1433</v>
      </c>
      <c r="C308" s="13" t="s">
        <v>1434</v>
      </c>
      <c r="D308" s="11" t="s">
        <v>19</v>
      </c>
      <c r="E308" s="12" t="s">
        <v>20</v>
      </c>
      <c r="F308" s="6" t="s">
        <v>21</v>
      </c>
      <c r="G308" s="13"/>
      <c r="H308" s="13"/>
      <c r="I308" s="13" t="s">
        <v>1435</v>
      </c>
      <c r="J308" s="15" t="s">
        <v>643</v>
      </c>
      <c r="K308" s="14" t="s">
        <v>54</v>
      </c>
      <c r="L308" s="17"/>
    </row>
    <row r="309" spans="1:12" ht="12.75" customHeight="1">
      <c r="A309" s="8" t="s">
        <v>1436</v>
      </c>
      <c r="B309" s="9" t="s">
        <v>1437</v>
      </c>
      <c r="C309" s="13" t="s">
        <v>1438</v>
      </c>
      <c r="D309" s="11" t="s">
        <v>19</v>
      </c>
      <c r="E309" s="12" t="s">
        <v>20</v>
      </c>
      <c r="F309" s="55" t="s">
        <v>44</v>
      </c>
      <c r="G309" s="13" t="s">
        <v>1425</v>
      </c>
      <c r="H309" s="13"/>
      <c r="I309" s="13" t="s">
        <v>1439</v>
      </c>
      <c r="J309" s="15" t="s">
        <v>1440</v>
      </c>
      <c r="K309" s="14" t="s">
        <v>40</v>
      </c>
      <c r="L309" s="17"/>
    </row>
    <row r="310" spans="1:12" ht="12.75" customHeight="1">
      <c r="A310" s="8" t="s">
        <v>1426</v>
      </c>
      <c r="B310" s="9" t="s">
        <v>1441</v>
      </c>
      <c r="C310" s="13" t="s">
        <v>1442</v>
      </c>
      <c r="D310" s="11" t="s">
        <v>19</v>
      </c>
      <c r="E310" s="12" t="s">
        <v>26</v>
      </c>
      <c r="F310" s="131" t="s">
        <v>36</v>
      </c>
      <c r="G310" s="13" t="s">
        <v>1443</v>
      </c>
      <c r="H310" s="13" t="s">
        <v>1420</v>
      </c>
      <c r="I310" s="13" t="s">
        <v>1444</v>
      </c>
      <c r="J310" s="126" t="s">
        <v>374</v>
      </c>
      <c r="K310" s="16" t="s">
        <v>24</v>
      </c>
      <c r="L310" s="17" t="s">
        <v>1445</v>
      </c>
    </row>
    <row r="311" spans="1:12" ht="12.75" customHeight="1">
      <c r="A311" s="73" t="s">
        <v>1446</v>
      </c>
      <c r="B311" s="9" t="s">
        <v>1447</v>
      </c>
      <c r="C311" s="13" t="s">
        <v>1448</v>
      </c>
      <c r="D311" s="11" t="s">
        <v>26</v>
      </c>
      <c r="E311" s="12" t="s">
        <v>26</v>
      </c>
      <c r="F311" s="55" t="s">
        <v>36</v>
      </c>
      <c r="G311" s="13" t="s">
        <v>1449</v>
      </c>
      <c r="H311" s="13" t="s">
        <v>1412</v>
      </c>
      <c r="I311" s="14" t="s">
        <v>1450</v>
      </c>
      <c r="J311" s="18" t="s">
        <v>1451</v>
      </c>
      <c r="K311" s="14" t="s">
        <v>40</v>
      </c>
      <c r="L311" s="17"/>
    </row>
    <row r="312" spans="1:12" ht="12.75" customHeight="1">
      <c r="A312" s="90" t="s">
        <v>1452</v>
      </c>
      <c r="B312" s="9" t="s">
        <v>1453</v>
      </c>
      <c r="C312" s="13" t="s">
        <v>1454</v>
      </c>
      <c r="D312" s="11" t="s">
        <v>26</v>
      </c>
      <c r="E312" s="12" t="s">
        <v>26</v>
      </c>
      <c r="F312" s="89" t="s">
        <v>27</v>
      </c>
      <c r="G312" s="13"/>
      <c r="H312" s="13"/>
      <c r="I312" s="14" t="s">
        <v>1455</v>
      </c>
      <c r="J312" s="88" t="s">
        <v>374</v>
      </c>
      <c r="K312" s="16" t="s">
        <v>24</v>
      </c>
      <c r="L312" s="17" t="s">
        <v>1365</v>
      </c>
    </row>
    <row r="313" spans="1:12" ht="12.75" customHeight="1">
      <c r="A313" s="25" t="s">
        <v>1456</v>
      </c>
      <c r="B313" s="44" t="s">
        <v>1457</v>
      </c>
      <c r="C313" s="49" t="s">
        <v>1458</v>
      </c>
      <c r="D313" s="46" t="s">
        <v>19</v>
      </c>
      <c r="E313" s="47" t="s">
        <v>31</v>
      </c>
      <c r="F313" s="43" t="s">
        <v>21</v>
      </c>
      <c r="G313" s="49"/>
      <c r="H313" s="49"/>
      <c r="I313" s="49"/>
      <c r="J313" s="79"/>
      <c r="K313" s="51" t="s">
        <v>32</v>
      </c>
      <c r="L313" s="52"/>
    </row>
    <row r="314" spans="1:12" ht="12.75" customHeight="1">
      <c r="A314" s="8" t="s">
        <v>1459</v>
      </c>
      <c r="B314" s="9" t="s">
        <v>1460</v>
      </c>
      <c r="C314" s="13" t="s">
        <v>1461</v>
      </c>
      <c r="D314" s="11" t="s">
        <v>19</v>
      </c>
      <c r="E314" s="12" t="s">
        <v>26</v>
      </c>
      <c r="F314" s="55" t="s">
        <v>36</v>
      </c>
      <c r="G314" s="13" t="s">
        <v>1462</v>
      </c>
      <c r="H314" s="13" t="s">
        <v>1457</v>
      </c>
      <c r="I314" s="13" t="s">
        <v>1463</v>
      </c>
      <c r="J314" s="8" t="s">
        <v>1464</v>
      </c>
      <c r="K314" s="14" t="s">
        <v>40</v>
      </c>
      <c r="L314" s="8"/>
    </row>
    <row r="315" spans="1:12" ht="12.75" customHeight="1">
      <c r="A315" s="8" t="s">
        <v>1465</v>
      </c>
      <c r="B315" s="9" t="s">
        <v>1466</v>
      </c>
      <c r="C315" s="13" t="s">
        <v>1467</v>
      </c>
      <c r="D315" s="11" t="s">
        <v>19</v>
      </c>
      <c r="E315" s="12" t="s">
        <v>20</v>
      </c>
      <c r="F315" s="6" t="s">
        <v>21</v>
      </c>
      <c r="G315" s="13"/>
      <c r="H315" s="13"/>
      <c r="I315" s="13" t="s">
        <v>1468</v>
      </c>
      <c r="J315" s="74" t="s">
        <v>1469</v>
      </c>
      <c r="K315" s="13" t="s">
        <v>54</v>
      </c>
      <c r="L315" s="8"/>
    </row>
    <row r="316" spans="1:12" ht="12.75" customHeight="1">
      <c r="A316" s="8" t="s">
        <v>1470</v>
      </c>
      <c r="B316" s="9" t="s">
        <v>1471</v>
      </c>
      <c r="C316" s="13" t="s">
        <v>1472</v>
      </c>
      <c r="D316" s="11" t="s">
        <v>19</v>
      </c>
      <c r="E316" s="12" t="s">
        <v>20</v>
      </c>
      <c r="F316" s="6" t="s">
        <v>21</v>
      </c>
      <c r="G316" s="13"/>
      <c r="H316" s="13"/>
      <c r="I316" s="13" t="s">
        <v>1473</v>
      </c>
      <c r="J316" s="13" t="s">
        <v>1474</v>
      </c>
      <c r="K316" s="14" t="s">
        <v>40</v>
      </c>
      <c r="L316" s="168"/>
    </row>
    <row r="317" spans="1:12" ht="12.75" customHeight="1">
      <c r="A317" s="8" t="s">
        <v>1475</v>
      </c>
      <c r="B317" s="9" t="s">
        <v>1476</v>
      </c>
      <c r="C317" s="13" t="s">
        <v>1477</v>
      </c>
      <c r="D317" s="11" t="s">
        <v>19</v>
      </c>
      <c r="E317" s="12" t="s">
        <v>20</v>
      </c>
      <c r="F317" s="6" t="s">
        <v>21</v>
      </c>
      <c r="G317" s="13"/>
      <c r="H317" s="13"/>
      <c r="I317" s="13" t="s">
        <v>1478</v>
      </c>
      <c r="J317" s="74" t="s">
        <v>1479</v>
      </c>
      <c r="K317" s="13" t="s">
        <v>54</v>
      </c>
      <c r="L317" s="33"/>
    </row>
    <row r="318" spans="1:12" ht="12.75" customHeight="1">
      <c r="A318" s="8" t="s">
        <v>1480</v>
      </c>
      <c r="B318" s="9" t="s">
        <v>1481</v>
      </c>
      <c r="C318" s="13" t="s">
        <v>1482</v>
      </c>
      <c r="D318" s="11" t="s">
        <v>19</v>
      </c>
      <c r="E318" s="12" t="s">
        <v>20</v>
      </c>
      <c r="F318" s="6" t="s">
        <v>21</v>
      </c>
      <c r="G318" s="13"/>
      <c r="H318" s="13"/>
      <c r="I318" s="13" t="s">
        <v>1483</v>
      </c>
      <c r="J318" s="15" t="s">
        <v>1484</v>
      </c>
      <c r="K318" s="14" t="s">
        <v>40</v>
      </c>
      <c r="L318" s="33"/>
    </row>
    <row r="319" spans="1:12" ht="12.75" customHeight="1">
      <c r="A319" s="25" t="s">
        <v>1485</v>
      </c>
      <c r="B319" s="44" t="s">
        <v>1486</v>
      </c>
      <c r="C319" s="49" t="s">
        <v>1487</v>
      </c>
      <c r="D319" s="46" t="s">
        <v>31</v>
      </c>
      <c r="E319" s="47" t="s">
        <v>31</v>
      </c>
      <c r="F319" s="46" t="s">
        <v>21</v>
      </c>
      <c r="G319" s="49"/>
      <c r="H319" s="49"/>
      <c r="I319" s="60"/>
      <c r="J319" s="50"/>
      <c r="K319" s="49" t="s">
        <v>32</v>
      </c>
      <c r="L319" s="52"/>
    </row>
    <row r="320" spans="1:12" ht="12" customHeight="1">
      <c r="A320" s="45" t="s">
        <v>1488</v>
      </c>
      <c r="B320" s="136" t="s">
        <v>1489</v>
      </c>
      <c r="C320" s="45" t="s">
        <v>1490</v>
      </c>
      <c r="D320" s="135" t="s">
        <v>19</v>
      </c>
      <c r="E320" s="53" t="s">
        <v>20</v>
      </c>
      <c r="F320" s="135" t="s">
        <v>21</v>
      </c>
      <c r="G320" s="159"/>
      <c r="H320" s="159"/>
      <c r="I320" s="159"/>
      <c r="J320" s="159"/>
      <c r="K320" s="45" t="s">
        <v>32</v>
      </c>
      <c r="L320" s="159"/>
    </row>
    <row r="321" spans="1:12" ht="12.75" customHeight="1">
      <c r="A321" s="149" t="s">
        <v>1491</v>
      </c>
      <c r="B321" s="151" t="s">
        <v>1492</v>
      </c>
      <c r="C321" s="149" t="s">
        <v>1493</v>
      </c>
      <c r="D321" s="152" t="s">
        <v>19</v>
      </c>
      <c r="E321" s="153" t="s">
        <v>20</v>
      </c>
      <c r="F321" s="152" t="s">
        <v>21</v>
      </c>
      <c r="G321" s="155"/>
      <c r="H321" s="155"/>
      <c r="I321" s="149" t="s">
        <v>1494</v>
      </c>
      <c r="J321" s="169" t="s">
        <v>1495</v>
      </c>
      <c r="K321" s="149" t="s">
        <v>54</v>
      </c>
      <c r="L321" s="155"/>
    </row>
    <row r="322" spans="1:12" ht="12.75" customHeight="1">
      <c r="A322" s="149" t="s">
        <v>1496</v>
      </c>
      <c r="B322" s="151" t="s">
        <v>1497</v>
      </c>
      <c r="C322" s="149" t="s">
        <v>1498</v>
      </c>
      <c r="D322" s="152" t="s">
        <v>19</v>
      </c>
      <c r="E322" s="153" t="s">
        <v>31</v>
      </c>
      <c r="F322" s="152" t="s">
        <v>21</v>
      </c>
      <c r="G322" s="155"/>
      <c r="H322" s="155"/>
      <c r="I322" s="149" t="s">
        <v>1499</v>
      </c>
      <c r="J322" s="149" t="s">
        <v>1500</v>
      </c>
      <c r="K322" s="149" t="s">
        <v>24</v>
      </c>
      <c r="L322" s="149" t="s">
        <v>1501</v>
      </c>
    </row>
    <row r="323" spans="1:12" ht="12.75" customHeight="1">
      <c r="A323" s="149" t="s">
        <v>1502</v>
      </c>
      <c r="B323" s="151" t="s">
        <v>1503</v>
      </c>
      <c r="C323" s="149" t="s">
        <v>1504</v>
      </c>
      <c r="D323" s="152" t="s">
        <v>19</v>
      </c>
      <c r="E323" s="153" t="s">
        <v>20</v>
      </c>
      <c r="F323" s="152" t="s">
        <v>21</v>
      </c>
      <c r="G323" s="155"/>
      <c r="H323" s="155"/>
      <c r="I323" s="149" t="s">
        <v>969</v>
      </c>
      <c r="J323" s="149" t="s">
        <v>1505</v>
      </c>
      <c r="K323" s="149" t="s">
        <v>40</v>
      </c>
      <c r="L323" s="155"/>
    </row>
    <row r="324" spans="1:12" ht="12.75" customHeight="1">
      <c r="A324" s="149" t="s">
        <v>1506</v>
      </c>
      <c r="B324" s="151" t="s">
        <v>1507</v>
      </c>
      <c r="C324" s="149" t="s">
        <v>1508</v>
      </c>
      <c r="D324" s="152" t="s">
        <v>19</v>
      </c>
      <c r="E324" s="153" t="s">
        <v>20</v>
      </c>
      <c r="F324" s="152" t="s">
        <v>21</v>
      </c>
      <c r="G324" s="155"/>
      <c r="H324" s="155"/>
      <c r="I324" s="149" t="s">
        <v>974</v>
      </c>
      <c r="J324" s="149" t="s">
        <v>975</v>
      </c>
      <c r="K324" s="149" t="s">
        <v>40</v>
      </c>
      <c r="L324" s="155"/>
    </row>
    <row r="325" spans="1:12" ht="12.75" customHeight="1">
      <c r="A325" s="149" t="s">
        <v>1509</v>
      </c>
      <c r="B325" s="151" t="s">
        <v>1510</v>
      </c>
      <c r="C325" s="149" t="s">
        <v>1511</v>
      </c>
      <c r="D325" s="152" t="s">
        <v>19</v>
      </c>
      <c r="E325" s="153" t="s">
        <v>20</v>
      </c>
      <c r="F325" s="152" t="s">
        <v>21</v>
      </c>
      <c r="G325" s="155"/>
      <c r="H325" s="155"/>
      <c r="I325" s="149" t="s">
        <v>979</v>
      </c>
      <c r="J325" s="155"/>
      <c r="K325" s="149" t="s">
        <v>24</v>
      </c>
      <c r="L325" s="149" t="s">
        <v>1512</v>
      </c>
    </row>
    <row r="326" spans="1:12" ht="12.75" customHeight="1">
      <c r="A326" s="149" t="s">
        <v>1513</v>
      </c>
      <c r="B326" s="151" t="s">
        <v>1514</v>
      </c>
      <c r="C326" s="149" t="s">
        <v>1515</v>
      </c>
      <c r="D326" s="152" t="s">
        <v>19</v>
      </c>
      <c r="E326" s="153" t="s">
        <v>20</v>
      </c>
      <c r="F326" s="152" t="s">
        <v>21</v>
      </c>
      <c r="G326" s="155"/>
      <c r="H326" s="155"/>
      <c r="I326" s="149" t="s">
        <v>983</v>
      </c>
      <c r="J326" s="149" t="s">
        <v>984</v>
      </c>
      <c r="K326" s="149" t="s">
        <v>40</v>
      </c>
      <c r="L326" s="155"/>
    </row>
    <row r="327" spans="1:12" ht="12.75" customHeight="1">
      <c r="A327" s="149" t="s">
        <v>1516</v>
      </c>
      <c r="B327" s="151" t="s">
        <v>1517</v>
      </c>
      <c r="C327" s="149" t="s">
        <v>1518</v>
      </c>
      <c r="D327" s="152" t="s">
        <v>19</v>
      </c>
      <c r="E327" s="153" t="s">
        <v>31</v>
      </c>
      <c r="F327" s="152" t="s">
        <v>21</v>
      </c>
      <c r="G327" s="155"/>
      <c r="H327" s="155"/>
      <c r="I327" s="149" t="s">
        <v>1519</v>
      </c>
      <c r="J327" s="149" t="s">
        <v>1520</v>
      </c>
      <c r="K327" s="149" t="s">
        <v>40</v>
      </c>
      <c r="L327" s="155"/>
    </row>
    <row r="328" spans="1:12" ht="12.75" customHeight="1">
      <c r="A328" s="10" t="s">
        <v>1521</v>
      </c>
      <c r="B328" s="170" t="s">
        <v>1522</v>
      </c>
      <c r="C328" s="10" t="s">
        <v>1523</v>
      </c>
      <c r="D328" s="98" t="s">
        <v>19</v>
      </c>
      <c r="E328" s="19" t="s">
        <v>20</v>
      </c>
      <c r="F328" s="98" t="s">
        <v>21</v>
      </c>
      <c r="G328" s="99"/>
      <c r="H328" s="99"/>
      <c r="I328" s="10" t="s">
        <v>998</v>
      </c>
      <c r="J328" s="10" t="s">
        <v>265</v>
      </c>
      <c r="K328" s="10" t="s">
        <v>219</v>
      </c>
      <c r="L328" s="99"/>
    </row>
    <row r="329" spans="1:12" ht="12.75" customHeight="1">
      <c r="A329" s="10" t="s">
        <v>1524</v>
      </c>
      <c r="B329" s="170" t="s">
        <v>1525</v>
      </c>
      <c r="C329" s="10" t="s">
        <v>1526</v>
      </c>
      <c r="D329" s="98" t="s">
        <v>19</v>
      </c>
      <c r="E329" s="19" t="s">
        <v>20</v>
      </c>
      <c r="F329" s="98" t="s">
        <v>21</v>
      </c>
      <c r="G329" s="99"/>
      <c r="H329" s="99"/>
      <c r="I329" s="10" t="s">
        <v>1002</v>
      </c>
      <c r="J329" s="10" t="s">
        <v>106</v>
      </c>
      <c r="K329" s="10" t="s">
        <v>219</v>
      </c>
      <c r="L329" s="99"/>
    </row>
    <row r="330" spans="1:12" ht="12.75" customHeight="1">
      <c r="A330" s="149" t="s">
        <v>1527</v>
      </c>
      <c r="B330" s="151" t="s">
        <v>1528</v>
      </c>
      <c r="C330" s="149" t="s">
        <v>1529</v>
      </c>
      <c r="D330" s="152" t="s">
        <v>19</v>
      </c>
      <c r="E330" s="153" t="s">
        <v>20</v>
      </c>
      <c r="F330" s="152" t="s">
        <v>21</v>
      </c>
      <c r="G330" s="155"/>
      <c r="H330" s="155"/>
      <c r="I330" s="149" t="s">
        <v>1530</v>
      </c>
      <c r="J330" s="171" t="s">
        <v>1531</v>
      </c>
      <c r="K330" s="149" t="s">
        <v>40</v>
      </c>
      <c r="L330" s="155"/>
    </row>
    <row r="331" spans="1:12" ht="12.75" customHeight="1">
      <c r="A331" s="149" t="s">
        <v>1532</v>
      </c>
      <c r="B331" s="151" t="s">
        <v>1533</v>
      </c>
      <c r="C331" s="149" t="s">
        <v>1534</v>
      </c>
      <c r="D331" s="172" t="s">
        <v>19</v>
      </c>
      <c r="E331" s="172" t="s">
        <v>20</v>
      </c>
      <c r="F331" s="172" t="s">
        <v>21</v>
      </c>
      <c r="G331" s="173"/>
      <c r="H331" s="174"/>
      <c r="I331" s="175" t="s">
        <v>1016</v>
      </c>
      <c r="J331" s="175" t="s">
        <v>1017</v>
      </c>
      <c r="K331" s="175" t="s">
        <v>24</v>
      </c>
      <c r="L331" s="149" t="s">
        <v>155</v>
      </c>
    </row>
    <row r="332" spans="1:12" ht="12.75" customHeight="1">
      <c r="A332" s="149" t="s">
        <v>1535</v>
      </c>
      <c r="B332" s="151" t="s">
        <v>1536</v>
      </c>
      <c r="C332" s="149" t="s">
        <v>1537</v>
      </c>
      <c r="D332" s="152" t="s">
        <v>19</v>
      </c>
      <c r="E332" s="153" t="s">
        <v>31</v>
      </c>
      <c r="F332" s="152" t="s">
        <v>21</v>
      </c>
      <c r="G332" s="155"/>
      <c r="H332" s="155"/>
      <c r="I332" s="149" t="s">
        <v>1026</v>
      </c>
      <c r="J332" s="149" t="s">
        <v>1027</v>
      </c>
      <c r="K332" s="149" t="s">
        <v>24</v>
      </c>
      <c r="L332" s="149" t="s">
        <v>1028</v>
      </c>
    </row>
    <row r="333" spans="1:12" ht="12.75" customHeight="1">
      <c r="A333" s="149" t="s">
        <v>1538</v>
      </c>
      <c r="B333" s="151" t="s">
        <v>1539</v>
      </c>
      <c r="C333" s="149" t="s">
        <v>1540</v>
      </c>
      <c r="D333" s="152" t="s">
        <v>19</v>
      </c>
      <c r="E333" s="153" t="s">
        <v>20</v>
      </c>
      <c r="F333" s="152" t="s">
        <v>21</v>
      </c>
      <c r="G333" s="155"/>
      <c r="H333" s="155"/>
      <c r="I333" s="149" t="s">
        <v>1541</v>
      </c>
      <c r="J333" s="149" t="s">
        <v>1542</v>
      </c>
      <c r="K333" s="149" t="s">
        <v>24</v>
      </c>
      <c r="L333" s="149" t="s">
        <v>1543</v>
      </c>
    </row>
    <row r="334" spans="1:12" ht="12.75" customHeight="1">
      <c r="A334" s="149" t="s">
        <v>1544</v>
      </c>
      <c r="B334" s="151" t="s">
        <v>1545</v>
      </c>
      <c r="C334" s="149" t="s">
        <v>1546</v>
      </c>
      <c r="D334" s="152" t="s">
        <v>19</v>
      </c>
      <c r="E334" s="153" t="s">
        <v>20</v>
      </c>
      <c r="F334" s="152" t="s">
        <v>21</v>
      </c>
      <c r="G334" s="155"/>
      <c r="H334" s="155"/>
      <c r="I334" s="149" t="s">
        <v>1547</v>
      </c>
      <c r="J334" s="149" t="s">
        <v>374</v>
      </c>
      <c r="K334" s="149" t="s">
        <v>24</v>
      </c>
      <c r="L334" s="149" t="s">
        <v>1043</v>
      </c>
    </row>
    <row r="335" spans="1:12" ht="12.75" customHeight="1">
      <c r="A335" s="149" t="s">
        <v>1548</v>
      </c>
      <c r="B335" s="151" t="s">
        <v>1549</v>
      </c>
      <c r="C335" s="149" t="s">
        <v>1550</v>
      </c>
      <c r="D335" s="152" t="s">
        <v>19</v>
      </c>
      <c r="E335" s="153" t="s">
        <v>20</v>
      </c>
      <c r="F335" s="152" t="s">
        <v>21</v>
      </c>
      <c r="G335" s="155"/>
      <c r="H335" s="155"/>
      <c r="I335" s="149" t="s">
        <v>1551</v>
      </c>
      <c r="J335" s="149" t="s">
        <v>374</v>
      </c>
      <c r="K335" s="149" t="s">
        <v>24</v>
      </c>
      <c r="L335" s="149" t="s">
        <v>1365</v>
      </c>
    </row>
    <row r="336" spans="1:12" ht="12.75" customHeight="1">
      <c r="A336" s="149" t="s">
        <v>1552</v>
      </c>
      <c r="B336" s="151" t="s">
        <v>1553</v>
      </c>
      <c r="C336" s="149" t="s">
        <v>1554</v>
      </c>
      <c r="D336" s="152" t="s">
        <v>19</v>
      </c>
      <c r="E336" s="153" t="s">
        <v>31</v>
      </c>
      <c r="F336" s="152" t="s">
        <v>21</v>
      </c>
      <c r="G336" s="155"/>
      <c r="H336" s="155"/>
      <c r="I336" s="149" t="s">
        <v>1555</v>
      </c>
      <c r="J336" s="149" t="s">
        <v>1556</v>
      </c>
      <c r="K336" s="149" t="s">
        <v>24</v>
      </c>
      <c r="L336" s="149" t="s">
        <v>1557</v>
      </c>
    </row>
    <row r="337" spans="1:12" ht="12" customHeight="1">
      <c r="A337" s="149" t="s">
        <v>1558</v>
      </c>
      <c r="B337" s="151" t="s">
        <v>1559</v>
      </c>
      <c r="C337" s="149" t="s">
        <v>1560</v>
      </c>
      <c r="D337" s="152" t="s">
        <v>19</v>
      </c>
      <c r="E337" s="153" t="s">
        <v>26</v>
      </c>
      <c r="F337" s="154" t="s">
        <v>36</v>
      </c>
      <c r="G337" s="149" t="s">
        <v>1561</v>
      </c>
      <c r="H337" s="149" t="s">
        <v>1489</v>
      </c>
      <c r="I337" s="149" t="s">
        <v>1562</v>
      </c>
      <c r="J337" s="149" t="s">
        <v>1563</v>
      </c>
      <c r="K337" s="149" t="s">
        <v>40</v>
      </c>
      <c r="L337" s="155"/>
    </row>
    <row r="338" spans="1:12" ht="12" customHeight="1">
      <c r="A338" s="149" t="s">
        <v>1564</v>
      </c>
      <c r="B338" s="151" t="s">
        <v>1565</v>
      </c>
      <c r="C338" s="149" t="s">
        <v>1566</v>
      </c>
      <c r="D338" s="152" t="s">
        <v>19</v>
      </c>
      <c r="E338" s="153" t="s">
        <v>26</v>
      </c>
      <c r="F338" s="154" t="s">
        <v>36</v>
      </c>
      <c r="G338" s="149" t="s">
        <v>1561</v>
      </c>
      <c r="H338" s="149" t="s">
        <v>1489</v>
      </c>
      <c r="I338" s="149" t="s">
        <v>1567</v>
      </c>
      <c r="J338" s="149" t="s">
        <v>1568</v>
      </c>
      <c r="K338" s="149" t="s">
        <v>24</v>
      </c>
      <c r="L338" s="149" t="s">
        <v>1569</v>
      </c>
    </row>
    <row r="339" spans="1:12" ht="12" customHeight="1">
      <c r="A339" s="149" t="s">
        <v>1570</v>
      </c>
      <c r="B339" s="151" t="s">
        <v>1571</v>
      </c>
      <c r="C339" s="149" t="s">
        <v>1572</v>
      </c>
      <c r="D339" s="152" t="s">
        <v>19</v>
      </c>
      <c r="E339" s="153" t="s">
        <v>20</v>
      </c>
      <c r="F339" s="152" t="s">
        <v>21</v>
      </c>
      <c r="G339" s="155"/>
      <c r="H339" s="155"/>
      <c r="I339" s="149" t="s">
        <v>1573</v>
      </c>
      <c r="J339" s="149" t="s">
        <v>1574</v>
      </c>
      <c r="K339" s="149" t="s">
        <v>40</v>
      </c>
      <c r="L339" s="155"/>
    </row>
    <row r="340" spans="1:12" ht="12" customHeight="1">
      <c r="A340" s="149" t="s">
        <v>1575</v>
      </c>
      <c r="B340" s="151" t="s">
        <v>1576</v>
      </c>
      <c r="C340" s="149" t="s">
        <v>1577</v>
      </c>
      <c r="D340" s="152" t="s">
        <v>19</v>
      </c>
      <c r="E340" s="153" t="s">
        <v>20</v>
      </c>
      <c r="F340" s="152" t="s">
        <v>21</v>
      </c>
      <c r="G340" s="155"/>
      <c r="H340" s="155"/>
      <c r="I340" s="149" t="s">
        <v>1578</v>
      </c>
      <c r="J340" s="149" t="s">
        <v>1579</v>
      </c>
      <c r="K340" s="149" t="s">
        <v>24</v>
      </c>
      <c r="L340" s="149" t="s">
        <v>1580</v>
      </c>
    </row>
    <row r="341" spans="1:12" ht="12.75" customHeight="1">
      <c r="A341" s="73" t="s">
        <v>1581</v>
      </c>
      <c r="B341" s="9" t="s">
        <v>1582</v>
      </c>
      <c r="C341" s="13" t="s">
        <v>1487</v>
      </c>
      <c r="D341" s="11" t="s">
        <v>20</v>
      </c>
      <c r="E341" s="12" t="s">
        <v>20</v>
      </c>
      <c r="F341" s="6" t="s">
        <v>21</v>
      </c>
      <c r="G341" s="13"/>
      <c r="H341" s="13"/>
      <c r="I341" s="13" t="s">
        <v>1583</v>
      </c>
      <c r="J341" s="18"/>
      <c r="K341" s="14" t="s">
        <v>40</v>
      </c>
      <c r="L341" s="17"/>
    </row>
    <row r="342" spans="1:12" ht="12.75" customHeight="1">
      <c r="A342" s="45" t="s">
        <v>1584</v>
      </c>
      <c r="B342" s="136" t="s">
        <v>1585</v>
      </c>
      <c r="C342" s="45" t="s">
        <v>1586</v>
      </c>
      <c r="D342" s="135" t="s">
        <v>19</v>
      </c>
      <c r="E342" s="53" t="s">
        <v>31</v>
      </c>
      <c r="F342" s="135" t="s">
        <v>21</v>
      </c>
      <c r="G342" s="159"/>
      <c r="H342" s="159"/>
      <c r="I342" s="159"/>
      <c r="J342" s="159"/>
      <c r="K342" s="45" t="s">
        <v>32</v>
      </c>
      <c r="L342" s="159"/>
    </row>
    <row r="343" spans="1:12" ht="12.75" customHeight="1">
      <c r="A343" s="149" t="s">
        <v>1587</v>
      </c>
      <c r="B343" s="151" t="s">
        <v>1588</v>
      </c>
      <c r="C343" s="149" t="s">
        <v>1589</v>
      </c>
      <c r="D343" s="152" t="s">
        <v>19</v>
      </c>
      <c r="E343" s="153" t="s">
        <v>26</v>
      </c>
      <c r="F343" s="154" t="s">
        <v>36</v>
      </c>
      <c r="G343" s="149" t="s">
        <v>1590</v>
      </c>
      <c r="H343" s="149" t="s">
        <v>1591</v>
      </c>
      <c r="I343" s="149" t="s">
        <v>1592</v>
      </c>
      <c r="J343" s="149" t="s">
        <v>1593</v>
      </c>
      <c r="K343" s="149" t="s">
        <v>40</v>
      </c>
      <c r="L343" s="155"/>
    </row>
    <row r="344" spans="1:12" ht="12.75" customHeight="1">
      <c r="A344" s="149" t="s">
        <v>1594</v>
      </c>
      <c r="B344" s="151" t="s">
        <v>1595</v>
      </c>
      <c r="C344" s="149" t="s">
        <v>1596</v>
      </c>
      <c r="D344" s="152" t="s">
        <v>19</v>
      </c>
      <c r="E344" s="153" t="s">
        <v>26</v>
      </c>
      <c r="F344" s="154" t="s">
        <v>36</v>
      </c>
      <c r="G344" s="149" t="s">
        <v>1590</v>
      </c>
      <c r="H344" s="149" t="s">
        <v>1591</v>
      </c>
      <c r="I344" s="149" t="s">
        <v>1597</v>
      </c>
      <c r="J344" s="155"/>
      <c r="K344" s="149" t="s">
        <v>40</v>
      </c>
      <c r="L344" s="155"/>
    </row>
    <row r="345" spans="1:12" ht="12.75" customHeight="1">
      <c r="A345" s="177" t="s">
        <v>1598</v>
      </c>
      <c r="B345" s="178" t="s">
        <v>1599</v>
      </c>
      <c r="C345" s="177" t="s">
        <v>1600</v>
      </c>
      <c r="D345" s="176" t="s">
        <v>19</v>
      </c>
      <c r="E345" s="179" t="s">
        <v>20</v>
      </c>
      <c r="F345" s="176" t="s">
        <v>21</v>
      </c>
      <c r="G345" s="180"/>
      <c r="H345" s="180"/>
      <c r="I345" s="177" t="s">
        <v>1601</v>
      </c>
      <c r="J345" s="177" t="s">
        <v>93</v>
      </c>
      <c r="K345" s="177" t="s">
        <v>219</v>
      </c>
      <c r="L345" s="180"/>
    </row>
    <row r="346" spans="1:12" ht="12.75" customHeight="1">
      <c r="A346" s="177" t="s">
        <v>1602</v>
      </c>
      <c r="B346" s="178" t="s">
        <v>1603</v>
      </c>
      <c r="C346" s="177" t="s">
        <v>1604</v>
      </c>
      <c r="D346" s="176" t="s">
        <v>19</v>
      </c>
      <c r="E346" s="179" t="s">
        <v>20</v>
      </c>
      <c r="F346" s="176" t="s">
        <v>21</v>
      </c>
      <c r="G346" s="180"/>
      <c r="H346" s="180"/>
      <c r="I346" s="177" t="s">
        <v>1605</v>
      </c>
      <c r="J346" s="177" t="s">
        <v>1606</v>
      </c>
      <c r="K346" s="177" t="s">
        <v>219</v>
      </c>
      <c r="L346" s="180"/>
    </row>
    <row r="347" spans="1:12" ht="12.75" customHeight="1">
      <c r="A347" s="177" t="s">
        <v>1607</v>
      </c>
      <c r="B347" s="178" t="s">
        <v>1608</v>
      </c>
      <c r="C347" s="177" t="s">
        <v>1609</v>
      </c>
      <c r="D347" s="176" t="s">
        <v>19</v>
      </c>
      <c r="E347" s="179" t="s">
        <v>20</v>
      </c>
      <c r="F347" s="176" t="s">
        <v>21</v>
      </c>
      <c r="G347" s="180"/>
      <c r="H347" s="180"/>
      <c r="I347" s="177" t="s">
        <v>1610</v>
      </c>
      <c r="J347" s="177" t="s">
        <v>1611</v>
      </c>
      <c r="K347" s="177" t="s">
        <v>40</v>
      </c>
      <c r="L347" s="180"/>
    </row>
    <row r="348" spans="1:12" ht="12.75" customHeight="1">
      <c r="A348" s="177" t="s">
        <v>1612</v>
      </c>
      <c r="B348" s="178" t="s">
        <v>1613</v>
      </c>
      <c r="C348" s="177" t="s">
        <v>1614</v>
      </c>
      <c r="D348" s="176" t="s">
        <v>19</v>
      </c>
      <c r="E348" s="179" t="s">
        <v>20</v>
      </c>
      <c r="F348" s="176" t="s">
        <v>21</v>
      </c>
      <c r="G348" s="180"/>
      <c r="H348" s="180"/>
      <c r="I348" s="177" t="s">
        <v>1615</v>
      </c>
      <c r="J348" s="177" t="s">
        <v>68</v>
      </c>
      <c r="K348" s="177" t="s">
        <v>219</v>
      </c>
      <c r="L348" s="180"/>
    </row>
    <row r="349" spans="1:12" ht="12.75" customHeight="1">
      <c r="A349" s="149" t="s">
        <v>1616</v>
      </c>
      <c r="B349" s="151" t="s">
        <v>1617</v>
      </c>
      <c r="C349" s="149" t="s">
        <v>1618</v>
      </c>
      <c r="D349" s="152" t="s">
        <v>19</v>
      </c>
      <c r="E349" s="153" t="s">
        <v>20</v>
      </c>
      <c r="F349" s="152" t="s">
        <v>21</v>
      </c>
      <c r="G349" s="155"/>
      <c r="H349" s="155"/>
      <c r="I349" s="149" t="s">
        <v>1619</v>
      </c>
      <c r="J349" s="149" t="s">
        <v>26</v>
      </c>
      <c r="K349" s="149" t="s">
        <v>219</v>
      </c>
      <c r="L349" s="155"/>
    </row>
    <row r="350" spans="1:12" ht="12.75" customHeight="1">
      <c r="A350" s="149" t="s">
        <v>1620</v>
      </c>
      <c r="B350" s="151" t="s">
        <v>1621</v>
      </c>
      <c r="C350" s="149" t="s">
        <v>1622</v>
      </c>
      <c r="D350" s="152" t="s">
        <v>19</v>
      </c>
      <c r="E350" s="153" t="s">
        <v>20</v>
      </c>
      <c r="F350" s="152" t="s">
        <v>44</v>
      </c>
      <c r="G350" s="149" t="s">
        <v>1623</v>
      </c>
      <c r="H350" s="155"/>
      <c r="I350" s="149" t="s">
        <v>1624</v>
      </c>
      <c r="J350" s="149" t="s">
        <v>1625</v>
      </c>
      <c r="K350" s="149" t="s">
        <v>24</v>
      </c>
      <c r="L350" s="181" t="s">
        <v>1626</v>
      </c>
    </row>
    <row r="351" spans="1:12" ht="12.75" customHeight="1">
      <c r="A351" s="149" t="s">
        <v>1627</v>
      </c>
      <c r="B351" s="151" t="s">
        <v>1628</v>
      </c>
      <c r="C351" s="149" t="s">
        <v>1629</v>
      </c>
      <c r="D351" s="152" t="s">
        <v>19</v>
      </c>
      <c r="E351" s="153" t="s">
        <v>20</v>
      </c>
      <c r="F351" s="152" t="s">
        <v>21</v>
      </c>
      <c r="G351" s="155"/>
      <c r="H351" s="155"/>
      <c r="I351" s="149" t="s">
        <v>1630</v>
      </c>
      <c r="J351" s="149" t="s">
        <v>1631</v>
      </c>
      <c r="K351" s="149" t="s">
        <v>40</v>
      </c>
      <c r="L351" s="155"/>
    </row>
    <row r="352" spans="1:12" ht="12.75" customHeight="1">
      <c r="A352" s="149" t="s">
        <v>1632</v>
      </c>
      <c r="B352" s="151" t="s">
        <v>1633</v>
      </c>
      <c r="C352" s="149" t="s">
        <v>1634</v>
      </c>
      <c r="D352" s="152" t="s">
        <v>19</v>
      </c>
      <c r="E352" s="153" t="s">
        <v>20</v>
      </c>
      <c r="F352" s="152" t="s">
        <v>21</v>
      </c>
      <c r="G352" s="155"/>
      <c r="H352" s="155"/>
      <c r="I352" s="149" t="s">
        <v>1635</v>
      </c>
      <c r="J352" s="149" t="s">
        <v>503</v>
      </c>
      <c r="K352" s="149" t="s">
        <v>219</v>
      </c>
      <c r="L352" s="155"/>
    </row>
    <row r="353" spans="1:12" ht="12.75" customHeight="1">
      <c r="A353" s="90" t="s">
        <v>1636</v>
      </c>
      <c r="B353" s="9" t="s">
        <v>1637</v>
      </c>
      <c r="C353" s="13" t="s">
        <v>1638</v>
      </c>
      <c r="D353" s="11" t="s">
        <v>26</v>
      </c>
      <c r="E353" s="12" t="s">
        <v>26</v>
      </c>
      <c r="F353" s="55" t="s">
        <v>36</v>
      </c>
      <c r="G353" s="13" t="s">
        <v>1639</v>
      </c>
      <c r="H353" s="13" t="s">
        <v>1486</v>
      </c>
      <c r="I353" s="13" t="s">
        <v>1640</v>
      </c>
      <c r="J353" s="18" t="s">
        <v>1641</v>
      </c>
      <c r="K353" s="14" t="s">
        <v>40</v>
      </c>
      <c r="L353" s="17"/>
    </row>
    <row r="354" spans="1:12" ht="12.75" customHeight="1">
      <c r="A354" s="45" t="s">
        <v>1642</v>
      </c>
      <c r="B354" s="136" t="s">
        <v>1643</v>
      </c>
      <c r="C354" s="45" t="s">
        <v>1644</v>
      </c>
      <c r="D354" s="135" t="s">
        <v>19</v>
      </c>
      <c r="E354" s="53" t="s">
        <v>31</v>
      </c>
      <c r="F354" s="135" t="s">
        <v>21</v>
      </c>
      <c r="G354" s="159"/>
      <c r="H354" s="159"/>
      <c r="I354" s="159"/>
      <c r="J354" s="159"/>
      <c r="K354" s="45" t="s">
        <v>32</v>
      </c>
      <c r="L354" s="159"/>
    </row>
    <row r="355" spans="1:12" ht="12.75" customHeight="1">
      <c r="A355" s="10" t="s">
        <v>1645</v>
      </c>
      <c r="B355" s="81" t="s">
        <v>1646</v>
      </c>
      <c r="C355" s="81" t="s">
        <v>1647</v>
      </c>
      <c r="D355" s="98" t="s">
        <v>19</v>
      </c>
      <c r="E355" s="19" t="s">
        <v>20</v>
      </c>
      <c r="F355" s="87" t="s">
        <v>44</v>
      </c>
      <c r="G355" s="10" t="s">
        <v>1648</v>
      </c>
      <c r="H355" s="99"/>
      <c r="I355" s="10" t="s">
        <v>1649</v>
      </c>
      <c r="J355" s="10" t="s">
        <v>1650</v>
      </c>
      <c r="K355" s="10" t="s">
        <v>40</v>
      </c>
      <c r="L355" s="99"/>
    </row>
    <row r="356" spans="1:12" ht="12.75" customHeight="1">
      <c r="A356" s="10" t="s">
        <v>1651</v>
      </c>
      <c r="B356" s="81" t="s">
        <v>1652</v>
      </c>
      <c r="C356" s="10" t="s">
        <v>1653</v>
      </c>
      <c r="D356" s="98" t="s">
        <v>19</v>
      </c>
      <c r="E356" s="19" t="s">
        <v>20</v>
      </c>
      <c r="F356" s="98" t="s">
        <v>21</v>
      </c>
      <c r="G356" s="99"/>
      <c r="H356" s="99"/>
      <c r="I356" s="10" t="s">
        <v>1654</v>
      </c>
      <c r="J356" s="10" t="s">
        <v>1655</v>
      </c>
      <c r="K356" s="10" t="s">
        <v>40</v>
      </c>
      <c r="L356" s="99"/>
    </row>
    <row r="357" spans="1:12" ht="12.75" customHeight="1">
      <c r="A357" s="10" t="s">
        <v>1656</v>
      </c>
      <c r="B357" s="81" t="s">
        <v>1657</v>
      </c>
      <c r="C357" s="10" t="s">
        <v>1658</v>
      </c>
      <c r="D357" s="98" t="s">
        <v>19</v>
      </c>
      <c r="E357" s="19" t="s">
        <v>20</v>
      </c>
      <c r="F357" s="98" t="s">
        <v>21</v>
      </c>
      <c r="G357" s="99"/>
      <c r="H357" s="99"/>
      <c r="I357" s="10" t="s">
        <v>1659</v>
      </c>
      <c r="J357" s="99"/>
      <c r="K357" s="10" t="s">
        <v>54</v>
      </c>
      <c r="L357" s="99"/>
    </row>
    <row r="358" spans="1:12" ht="12.75" customHeight="1">
      <c r="A358" s="149" t="s">
        <v>1660</v>
      </c>
      <c r="B358" s="151" t="s">
        <v>1661</v>
      </c>
      <c r="C358" s="149" t="s">
        <v>1662</v>
      </c>
      <c r="D358" s="152" t="s">
        <v>19</v>
      </c>
      <c r="E358" s="153" t="s">
        <v>20</v>
      </c>
      <c r="F358" s="152" t="s">
        <v>21</v>
      </c>
      <c r="G358" s="155"/>
      <c r="H358" s="155"/>
      <c r="I358" s="149" t="s">
        <v>1663</v>
      </c>
      <c r="J358" s="169" t="s">
        <v>1664</v>
      </c>
      <c r="K358" s="149" t="s">
        <v>54</v>
      </c>
      <c r="L358" s="155"/>
    </row>
    <row r="359" spans="1:12" ht="12.75" customHeight="1">
      <c r="A359" s="10" t="s">
        <v>1665</v>
      </c>
      <c r="B359" s="81" t="s">
        <v>1666</v>
      </c>
      <c r="C359" s="10" t="s">
        <v>1667</v>
      </c>
      <c r="D359" s="98" t="s">
        <v>19</v>
      </c>
      <c r="E359" s="19" t="s">
        <v>20</v>
      </c>
      <c r="F359" s="98" t="s">
        <v>21</v>
      </c>
      <c r="G359" s="99"/>
      <c r="H359" s="99"/>
      <c r="I359" s="10" t="s">
        <v>1668</v>
      </c>
      <c r="J359" s="10" t="s">
        <v>1669</v>
      </c>
      <c r="K359" s="10" t="s">
        <v>40</v>
      </c>
      <c r="L359" s="99"/>
    </row>
    <row r="360" spans="1:12" ht="12.75" customHeight="1">
      <c r="A360" s="10" t="s">
        <v>1670</v>
      </c>
      <c r="B360" s="81" t="s">
        <v>1671</v>
      </c>
      <c r="C360" s="10" t="s">
        <v>1672</v>
      </c>
      <c r="D360" s="98" t="s">
        <v>19</v>
      </c>
      <c r="E360" s="19" t="s">
        <v>20</v>
      </c>
      <c r="F360" s="98" t="s">
        <v>21</v>
      </c>
      <c r="G360" s="99"/>
      <c r="H360" s="99"/>
      <c r="I360" s="10" t="s">
        <v>1673</v>
      </c>
      <c r="J360" s="10" t="s">
        <v>1674</v>
      </c>
      <c r="K360" s="10" t="s">
        <v>40</v>
      </c>
      <c r="L360" s="99"/>
    </row>
    <row r="361" spans="1:12" ht="12.75" customHeight="1">
      <c r="A361" s="149" t="s">
        <v>1675</v>
      </c>
      <c r="B361" s="151" t="s">
        <v>1676</v>
      </c>
      <c r="C361" s="149" t="s">
        <v>1677</v>
      </c>
      <c r="D361" s="152" t="s">
        <v>19</v>
      </c>
      <c r="E361" s="153" t="s">
        <v>31</v>
      </c>
      <c r="F361" s="152" t="s">
        <v>21</v>
      </c>
      <c r="G361" s="155"/>
      <c r="H361" s="155"/>
      <c r="I361" s="149" t="s">
        <v>1678</v>
      </c>
      <c r="J361" s="149" t="s">
        <v>1679</v>
      </c>
      <c r="K361" s="149" t="s">
        <v>40</v>
      </c>
      <c r="L361" s="155"/>
    </row>
    <row r="362" spans="1:12" ht="12.75" customHeight="1">
      <c r="A362" s="10" t="s">
        <v>1680</v>
      </c>
      <c r="B362" s="81" t="s">
        <v>1681</v>
      </c>
      <c r="C362" s="10" t="s">
        <v>1682</v>
      </c>
      <c r="D362" s="98" t="s">
        <v>19</v>
      </c>
      <c r="E362" s="19" t="s">
        <v>20</v>
      </c>
      <c r="F362" s="98" t="s">
        <v>21</v>
      </c>
      <c r="G362" s="99"/>
      <c r="H362" s="99"/>
      <c r="I362" s="10" t="s">
        <v>1683</v>
      </c>
      <c r="J362" s="99"/>
      <c r="K362" s="10" t="s">
        <v>40</v>
      </c>
      <c r="L362" s="99"/>
    </row>
    <row r="363" spans="1:12" ht="12.75" customHeight="1">
      <c r="A363" s="10" t="s">
        <v>1684</v>
      </c>
      <c r="B363" s="81" t="s">
        <v>1685</v>
      </c>
      <c r="C363" s="10" t="s">
        <v>1686</v>
      </c>
      <c r="D363" s="98" t="s">
        <v>19</v>
      </c>
      <c r="E363" s="19" t="s">
        <v>20</v>
      </c>
      <c r="F363" s="98" t="s">
        <v>21</v>
      </c>
      <c r="G363" s="99"/>
      <c r="H363" s="99"/>
      <c r="I363" s="10" t="s">
        <v>1687</v>
      </c>
      <c r="J363" s="10" t="s">
        <v>1688</v>
      </c>
      <c r="K363" s="10" t="s">
        <v>24</v>
      </c>
      <c r="L363" s="10" t="s">
        <v>1689</v>
      </c>
    </row>
    <row r="364" spans="1:12" ht="12.75" customHeight="1">
      <c r="A364" s="149" t="s">
        <v>1690</v>
      </c>
      <c r="B364" s="151" t="s">
        <v>1691</v>
      </c>
      <c r="C364" s="149" t="s">
        <v>1692</v>
      </c>
      <c r="D364" s="152" t="s">
        <v>19</v>
      </c>
      <c r="E364" s="153" t="s">
        <v>20</v>
      </c>
      <c r="F364" s="152" t="s">
        <v>21</v>
      </c>
      <c r="G364" s="155"/>
      <c r="H364" s="155"/>
      <c r="I364" s="149" t="s">
        <v>1693</v>
      </c>
      <c r="J364" s="149" t="s">
        <v>1694</v>
      </c>
      <c r="K364" s="149" t="s">
        <v>40</v>
      </c>
      <c r="L364" s="155"/>
    </row>
    <row r="365" spans="1:12" ht="12.75" customHeight="1">
      <c r="A365" s="10" t="s">
        <v>1695</v>
      </c>
      <c r="B365" s="81" t="s">
        <v>1696</v>
      </c>
      <c r="C365" s="10" t="s">
        <v>1697</v>
      </c>
      <c r="D365" s="98" t="s">
        <v>19</v>
      </c>
      <c r="E365" s="19" t="s">
        <v>26</v>
      </c>
      <c r="F365" s="87" t="s">
        <v>36</v>
      </c>
      <c r="G365" s="10" t="s">
        <v>1698</v>
      </c>
      <c r="H365" s="10" t="s">
        <v>1643</v>
      </c>
      <c r="I365" s="10" t="s">
        <v>1699</v>
      </c>
      <c r="J365" s="10" t="s">
        <v>374</v>
      </c>
      <c r="K365" s="10" t="s">
        <v>24</v>
      </c>
      <c r="L365" s="10" t="s">
        <v>1365</v>
      </c>
    </row>
    <row r="366" spans="1:12" ht="12.75" customHeight="1">
      <c r="A366" s="10" t="s">
        <v>1700</v>
      </c>
      <c r="B366" s="81" t="s">
        <v>1701</v>
      </c>
      <c r="C366" s="10" t="s">
        <v>1702</v>
      </c>
      <c r="D366" s="98" t="s">
        <v>19</v>
      </c>
      <c r="E366" s="19" t="s">
        <v>20</v>
      </c>
      <c r="F366" s="87" t="s">
        <v>44</v>
      </c>
      <c r="G366" s="10" t="s">
        <v>1648</v>
      </c>
      <c r="H366" s="99"/>
      <c r="I366" s="10" t="s">
        <v>1703</v>
      </c>
      <c r="J366" s="10" t="s">
        <v>374</v>
      </c>
      <c r="K366" s="10" t="s">
        <v>24</v>
      </c>
      <c r="L366" s="10" t="s">
        <v>1365</v>
      </c>
    </row>
    <row r="367" spans="1:12" ht="12.75" customHeight="1">
      <c r="A367" s="10" t="s">
        <v>1704</v>
      </c>
      <c r="B367" s="81" t="s">
        <v>1705</v>
      </c>
      <c r="C367" s="10" t="s">
        <v>1706</v>
      </c>
      <c r="D367" s="98" t="s">
        <v>19</v>
      </c>
      <c r="E367" s="19" t="s">
        <v>20</v>
      </c>
      <c r="F367" s="87" t="s">
        <v>44</v>
      </c>
      <c r="G367" s="10" t="s">
        <v>1648</v>
      </c>
      <c r="H367" s="99"/>
      <c r="I367" s="10" t="s">
        <v>1707</v>
      </c>
      <c r="J367" s="10" t="s">
        <v>374</v>
      </c>
      <c r="K367" s="10" t="s">
        <v>24</v>
      </c>
      <c r="L367" s="10" t="s">
        <v>1365</v>
      </c>
    </row>
    <row r="368" spans="1:12" ht="12.75" customHeight="1">
      <c r="A368" s="10" t="s">
        <v>1708</v>
      </c>
      <c r="B368" s="81" t="s">
        <v>1709</v>
      </c>
      <c r="C368" s="10" t="s">
        <v>1710</v>
      </c>
      <c r="D368" s="98" t="s">
        <v>19</v>
      </c>
      <c r="E368" s="19" t="s">
        <v>20</v>
      </c>
      <c r="F368" s="87" t="s">
        <v>44</v>
      </c>
      <c r="G368" s="10" t="s">
        <v>1648</v>
      </c>
      <c r="H368" s="99"/>
      <c r="I368" s="10" t="s">
        <v>1711</v>
      </c>
      <c r="J368" s="99"/>
      <c r="K368" s="10" t="s">
        <v>40</v>
      </c>
      <c r="L368" s="99"/>
    </row>
    <row r="369" spans="1:12" ht="12.75" customHeight="1">
      <c r="A369" s="45" t="s">
        <v>1712</v>
      </c>
      <c r="B369" s="136" t="s">
        <v>1713</v>
      </c>
      <c r="C369" s="45" t="s">
        <v>1714</v>
      </c>
      <c r="D369" s="135" t="s">
        <v>19</v>
      </c>
      <c r="E369" s="53" t="s">
        <v>31</v>
      </c>
      <c r="F369" s="135" t="s">
        <v>21</v>
      </c>
      <c r="G369" s="159"/>
      <c r="H369" s="159"/>
      <c r="I369" s="159"/>
      <c r="J369" s="159"/>
      <c r="K369" s="45" t="s">
        <v>32</v>
      </c>
      <c r="L369" s="159"/>
    </row>
    <row r="370" spans="1:12" ht="12.75" customHeight="1">
      <c r="A370" s="10" t="s">
        <v>1715</v>
      </c>
      <c r="B370" s="81" t="s">
        <v>1716</v>
      </c>
      <c r="C370" s="10" t="s">
        <v>1717</v>
      </c>
      <c r="D370" s="98" t="s">
        <v>19</v>
      </c>
      <c r="E370" s="19" t="s">
        <v>20</v>
      </c>
      <c r="F370" s="98" t="s">
        <v>21</v>
      </c>
      <c r="G370" s="99"/>
      <c r="H370" s="99"/>
      <c r="I370" s="10" t="s">
        <v>1718</v>
      </c>
      <c r="J370" s="101" t="s">
        <v>633</v>
      </c>
      <c r="K370" s="10" t="s">
        <v>54</v>
      </c>
      <c r="L370" s="99"/>
    </row>
    <row r="371" spans="1:12" ht="12.75" customHeight="1">
      <c r="A371" s="10" t="s">
        <v>1719</v>
      </c>
      <c r="B371" s="81" t="s">
        <v>1720</v>
      </c>
      <c r="C371" s="10" t="s">
        <v>413</v>
      </c>
      <c r="D371" s="98" t="s">
        <v>19</v>
      </c>
      <c r="E371" s="19" t="s">
        <v>20</v>
      </c>
      <c r="F371" s="98" t="s">
        <v>21</v>
      </c>
      <c r="G371" s="99"/>
      <c r="H371" s="99"/>
      <c r="I371" s="10" t="s">
        <v>1721</v>
      </c>
      <c r="J371" s="10" t="s">
        <v>643</v>
      </c>
      <c r="K371" s="10" t="s">
        <v>54</v>
      </c>
      <c r="L371" s="99"/>
    </row>
    <row r="372" spans="1:12" ht="12.75" customHeight="1">
      <c r="A372" s="10" t="s">
        <v>1722</v>
      </c>
      <c r="B372" s="81" t="s">
        <v>1723</v>
      </c>
      <c r="C372" s="10" t="s">
        <v>1724</v>
      </c>
      <c r="D372" s="98" t="s">
        <v>19</v>
      </c>
      <c r="E372" s="19" t="s">
        <v>26</v>
      </c>
      <c r="F372" s="87" t="s">
        <v>36</v>
      </c>
      <c r="G372" s="10" t="s">
        <v>1725</v>
      </c>
      <c r="H372" s="10" t="s">
        <v>1713</v>
      </c>
      <c r="I372" s="10" t="s">
        <v>1726</v>
      </c>
      <c r="J372" s="99"/>
      <c r="K372" s="10" t="s">
        <v>40</v>
      </c>
      <c r="L372" s="99"/>
    </row>
    <row r="373" spans="1:12" ht="12.75">
      <c r="A373" s="90" t="s">
        <v>1727</v>
      </c>
      <c r="B373" s="9" t="s">
        <v>1728</v>
      </c>
      <c r="C373" s="13" t="s">
        <v>1225</v>
      </c>
      <c r="D373" s="11" t="s">
        <v>26</v>
      </c>
      <c r="E373" s="12" t="s">
        <v>26</v>
      </c>
      <c r="F373" s="20" t="s">
        <v>27</v>
      </c>
      <c r="G373" s="13"/>
      <c r="H373" s="13"/>
      <c r="I373" s="13" t="s">
        <v>1729</v>
      </c>
      <c r="J373" s="18" t="s">
        <v>1730</v>
      </c>
      <c r="K373" s="14" t="s">
        <v>40</v>
      </c>
      <c r="L373" s="17"/>
    </row>
    <row r="374" spans="1:12" ht="12.75" customHeight="1">
      <c r="A374" s="90" t="s">
        <v>1731</v>
      </c>
      <c r="B374" s="9" t="s">
        <v>1732</v>
      </c>
      <c r="C374" s="13" t="s">
        <v>1733</v>
      </c>
      <c r="D374" s="11" t="s">
        <v>20</v>
      </c>
      <c r="E374" s="12" t="s">
        <v>20</v>
      </c>
      <c r="F374" s="6" t="s">
        <v>21</v>
      </c>
      <c r="G374" s="13"/>
      <c r="H374" s="13"/>
      <c r="I374" s="13" t="s">
        <v>1734</v>
      </c>
      <c r="J374" s="18" t="s">
        <v>1735</v>
      </c>
      <c r="K374" s="14" t="s">
        <v>40</v>
      </c>
      <c r="L374" s="17"/>
    </row>
    <row r="375" spans="1:12" ht="12.75" customHeight="1">
      <c r="A375" s="73" t="s">
        <v>1736</v>
      </c>
      <c r="B375" s="9" t="s">
        <v>1737</v>
      </c>
      <c r="C375" s="13" t="s">
        <v>1738</v>
      </c>
      <c r="D375" s="11" t="s">
        <v>20</v>
      </c>
      <c r="E375" s="12" t="s">
        <v>20</v>
      </c>
      <c r="F375" s="6" t="s">
        <v>21</v>
      </c>
      <c r="G375" s="13"/>
      <c r="H375" s="13"/>
      <c r="I375" s="14" t="s">
        <v>1739</v>
      </c>
      <c r="J375" s="96" t="s">
        <v>1740</v>
      </c>
      <c r="K375" s="14" t="s">
        <v>40</v>
      </c>
      <c r="L375" s="17"/>
    </row>
    <row r="376" spans="1:12" ht="12.75" customHeight="1">
      <c r="A376" s="25" t="s">
        <v>1741</v>
      </c>
      <c r="B376" s="44" t="s">
        <v>1742</v>
      </c>
      <c r="C376" s="49" t="s">
        <v>1743</v>
      </c>
      <c r="D376" s="46" t="s">
        <v>26</v>
      </c>
      <c r="E376" s="47" t="s">
        <v>26</v>
      </c>
      <c r="F376" s="48" t="s">
        <v>27</v>
      </c>
      <c r="G376" s="49"/>
      <c r="H376" s="49"/>
      <c r="I376" s="51"/>
      <c r="J376" s="50"/>
      <c r="K376" s="51" t="s">
        <v>32</v>
      </c>
      <c r="L376" s="52"/>
    </row>
    <row r="377" spans="1:12" ht="12.75" customHeight="1">
      <c r="A377" s="90" t="s">
        <v>1744</v>
      </c>
      <c r="B377" s="9" t="s">
        <v>1745</v>
      </c>
      <c r="C377" s="13" t="s">
        <v>1746</v>
      </c>
      <c r="D377" s="11" t="s">
        <v>26</v>
      </c>
      <c r="E377" s="12" t="s">
        <v>26</v>
      </c>
      <c r="F377" s="20" t="s">
        <v>27</v>
      </c>
      <c r="G377" s="13"/>
      <c r="H377" s="13"/>
      <c r="I377" s="14" t="s">
        <v>1378</v>
      </c>
      <c r="J377" s="182" t="s">
        <v>39</v>
      </c>
      <c r="K377" s="14" t="s">
        <v>40</v>
      </c>
      <c r="L377" s="17"/>
    </row>
    <row r="378" spans="1:12" ht="12.75" customHeight="1">
      <c r="A378" s="8" t="s">
        <v>1747</v>
      </c>
      <c r="B378" s="81" t="s">
        <v>1748</v>
      </c>
      <c r="C378" s="10" t="s">
        <v>1749</v>
      </c>
      <c r="D378" s="98" t="s">
        <v>19</v>
      </c>
      <c r="E378" s="19" t="s">
        <v>20</v>
      </c>
      <c r="F378" s="87" t="s">
        <v>44</v>
      </c>
      <c r="G378" s="10" t="s">
        <v>1750</v>
      </c>
      <c r="H378" s="99"/>
      <c r="I378" s="10" t="s">
        <v>1383</v>
      </c>
      <c r="J378" s="18" t="s">
        <v>48</v>
      </c>
      <c r="K378" s="10" t="s">
        <v>40</v>
      </c>
      <c r="L378" s="99"/>
    </row>
    <row r="379" spans="1:12" ht="12.75" customHeight="1">
      <c r="A379" s="8" t="s">
        <v>1751</v>
      </c>
      <c r="B379" s="81" t="s">
        <v>1752</v>
      </c>
      <c r="C379" s="10" t="s">
        <v>1753</v>
      </c>
      <c r="D379" s="98" t="s">
        <v>19</v>
      </c>
      <c r="E379" s="19" t="s">
        <v>20</v>
      </c>
      <c r="F379" s="98" t="s">
        <v>21</v>
      </c>
      <c r="G379" s="99"/>
      <c r="H379" s="99"/>
      <c r="I379" s="10" t="s">
        <v>52</v>
      </c>
      <c r="J379" s="40" t="s">
        <v>53</v>
      </c>
      <c r="K379" s="10" t="s">
        <v>54</v>
      </c>
      <c r="L379" s="99"/>
    </row>
    <row r="380" spans="1:12" ht="12.75" customHeight="1">
      <c r="A380" s="8" t="s">
        <v>1754</v>
      </c>
      <c r="B380" s="81" t="s">
        <v>1755</v>
      </c>
      <c r="C380" s="10" t="s">
        <v>57</v>
      </c>
      <c r="D380" s="98" t="s">
        <v>19</v>
      </c>
      <c r="E380" s="19" t="s">
        <v>20</v>
      </c>
      <c r="F380" s="98" t="s">
        <v>21</v>
      </c>
      <c r="G380" s="99"/>
      <c r="H380" s="99"/>
      <c r="I380" s="10" t="s">
        <v>1756</v>
      </c>
      <c r="J380" s="41" t="s">
        <v>59</v>
      </c>
      <c r="K380" s="10" t="s">
        <v>40</v>
      </c>
      <c r="L380" s="99"/>
    </row>
    <row r="381" spans="1:12" ht="12.75" customHeight="1">
      <c r="A381" s="73" t="s">
        <v>1757</v>
      </c>
      <c r="B381" s="9" t="s">
        <v>1758</v>
      </c>
      <c r="C381" s="13" t="s">
        <v>1759</v>
      </c>
      <c r="D381" s="11" t="s">
        <v>26</v>
      </c>
      <c r="E381" s="12" t="s">
        <v>26</v>
      </c>
      <c r="F381" s="20" t="s">
        <v>27</v>
      </c>
      <c r="G381" s="13"/>
      <c r="H381" s="13"/>
      <c r="I381" s="14" t="s">
        <v>1406</v>
      </c>
      <c r="J381" s="88" t="s">
        <v>63</v>
      </c>
      <c r="K381" s="16" t="s">
        <v>24</v>
      </c>
      <c r="L381" s="17" t="s">
        <v>1760</v>
      </c>
    </row>
    <row r="382" spans="1:12" ht="12.75" customHeight="1">
      <c r="A382" s="73" t="s">
        <v>1761</v>
      </c>
      <c r="B382" s="9" t="s">
        <v>1762</v>
      </c>
      <c r="C382" s="13" t="s">
        <v>1763</v>
      </c>
      <c r="D382" s="11" t="s">
        <v>20</v>
      </c>
      <c r="E382" s="12" t="s">
        <v>20</v>
      </c>
      <c r="F382" s="6" t="s">
        <v>21</v>
      </c>
      <c r="G382" s="13"/>
      <c r="H382" s="13"/>
      <c r="I382" s="14" t="s">
        <v>1764</v>
      </c>
      <c r="J382" s="18" t="s">
        <v>1765</v>
      </c>
      <c r="K382" s="14" t="s">
        <v>40</v>
      </c>
      <c r="L382" s="17"/>
    </row>
    <row r="383" spans="1:12" ht="12.75" customHeight="1">
      <c r="A383" s="73" t="s">
        <v>1766</v>
      </c>
      <c r="B383" s="9" t="s">
        <v>1767</v>
      </c>
      <c r="C383" s="13" t="s">
        <v>1768</v>
      </c>
      <c r="D383" s="11" t="s">
        <v>26</v>
      </c>
      <c r="E383" s="12" t="s">
        <v>26</v>
      </c>
      <c r="F383" s="20" t="s">
        <v>27</v>
      </c>
      <c r="G383" s="13"/>
      <c r="H383" s="13"/>
      <c r="I383" s="14" t="s">
        <v>1769</v>
      </c>
      <c r="J383" s="88" t="s">
        <v>374</v>
      </c>
      <c r="K383" s="16" t="s">
        <v>24</v>
      </c>
      <c r="L383" s="17" t="s">
        <v>1365</v>
      </c>
    </row>
    <row r="384" spans="1:12" ht="12.75" customHeight="1">
      <c r="A384" s="73" t="s">
        <v>1770</v>
      </c>
      <c r="B384" s="9" t="s">
        <v>1771</v>
      </c>
      <c r="C384" s="13" t="s">
        <v>1772</v>
      </c>
      <c r="D384" s="11" t="s">
        <v>20</v>
      </c>
      <c r="E384" s="12" t="s">
        <v>20</v>
      </c>
      <c r="F384" s="6" t="s">
        <v>21</v>
      </c>
      <c r="G384" s="13"/>
      <c r="H384" s="13"/>
      <c r="I384" s="14" t="s">
        <v>1773</v>
      </c>
      <c r="J384" s="183" t="s">
        <v>1774</v>
      </c>
      <c r="K384" s="14" t="s">
        <v>40</v>
      </c>
      <c r="L384" s="17"/>
    </row>
    <row r="385" spans="1:12" ht="12.75" customHeight="1">
      <c r="A385" s="25" t="s">
        <v>1775</v>
      </c>
      <c r="B385" s="44" t="s">
        <v>1776</v>
      </c>
      <c r="C385" s="49" t="s">
        <v>1777</v>
      </c>
      <c r="D385" s="46" t="s">
        <v>19</v>
      </c>
      <c r="E385" s="47" t="s">
        <v>20</v>
      </c>
      <c r="F385" s="46" t="s">
        <v>21</v>
      </c>
      <c r="G385" s="49"/>
      <c r="H385" s="49"/>
      <c r="I385" s="51"/>
      <c r="J385" s="50"/>
      <c r="K385" s="51" t="s">
        <v>32</v>
      </c>
      <c r="L385" s="52"/>
    </row>
    <row r="386" spans="1:12" ht="12.75" customHeight="1">
      <c r="A386" s="8" t="s">
        <v>1778</v>
      </c>
      <c r="B386" s="9" t="s">
        <v>1779</v>
      </c>
      <c r="C386" s="13" t="s">
        <v>1780</v>
      </c>
      <c r="D386" s="11" t="s">
        <v>19</v>
      </c>
      <c r="E386" s="12" t="s">
        <v>20</v>
      </c>
      <c r="F386" s="6" t="s">
        <v>21</v>
      </c>
      <c r="G386" s="13"/>
      <c r="H386" s="13"/>
      <c r="I386" s="13" t="s">
        <v>1781</v>
      </c>
      <c r="J386" s="88" t="s">
        <v>374</v>
      </c>
      <c r="K386" s="16" t="s">
        <v>24</v>
      </c>
      <c r="L386" s="17" t="s">
        <v>1365</v>
      </c>
    </row>
    <row r="387" spans="1:12" ht="12.75" customHeight="1">
      <c r="A387" s="25" t="s">
        <v>1782</v>
      </c>
      <c r="B387" s="44" t="s">
        <v>1783</v>
      </c>
      <c r="C387" s="49" t="s">
        <v>1784</v>
      </c>
      <c r="D387" s="46" t="s">
        <v>19</v>
      </c>
      <c r="E387" s="47" t="s">
        <v>31</v>
      </c>
      <c r="F387" s="46" t="s">
        <v>21</v>
      </c>
      <c r="G387" s="49"/>
      <c r="H387" s="49"/>
      <c r="I387" s="51"/>
      <c r="J387" s="79"/>
      <c r="K387" s="51" t="s">
        <v>32</v>
      </c>
      <c r="L387" s="52"/>
    </row>
    <row r="388" spans="1:12" ht="12.75" customHeight="1">
      <c r="A388" s="8" t="s">
        <v>1785</v>
      </c>
      <c r="B388" s="9" t="s">
        <v>1786</v>
      </c>
      <c r="C388" s="13" t="s">
        <v>1787</v>
      </c>
      <c r="D388" s="11" t="s">
        <v>19</v>
      </c>
      <c r="E388" s="12" t="s">
        <v>20</v>
      </c>
      <c r="F388" s="55" t="s">
        <v>44</v>
      </c>
      <c r="G388" s="13" t="s">
        <v>1788</v>
      </c>
      <c r="H388" s="13"/>
      <c r="I388" s="14" t="s">
        <v>1790</v>
      </c>
      <c r="J388" s="126" t="s">
        <v>1791</v>
      </c>
      <c r="K388" s="16" t="s">
        <v>24</v>
      </c>
      <c r="L388" s="17" t="s">
        <v>1445</v>
      </c>
    </row>
    <row r="389" spans="1:12" ht="12.75" customHeight="1">
      <c r="A389" s="8" t="s">
        <v>1792</v>
      </c>
      <c r="B389" s="9" t="s">
        <v>1793</v>
      </c>
      <c r="C389" s="13" t="s">
        <v>1794</v>
      </c>
      <c r="D389" s="11" t="s">
        <v>19</v>
      </c>
      <c r="E389" s="12" t="s">
        <v>20</v>
      </c>
      <c r="F389" s="6" t="s">
        <v>21</v>
      </c>
      <c r="G389" s="13"/>
      <c r="H389" s="13"/>
      <c r="I389" s="14" t="s">
        <v>1795</v>
      </c>
      <c r="J389" s="18"/>
      <c r="K389" s="14" t="s">
        <v>40</v>
      </c>
      <c r="L389" s="17"/>
    </row>
    <row r="390" spans="1:12" ht="12.75" customHeight="1">
      <c r="A390" s="8" t="s">
        <v>1796</v>
      </c>
      <c r="B390" s="9" t="s">
        <v>1797</v>
      </c>
      <c r="C390" s="13" t="s">
        <v>1798</v>
      </c>
      <c r="D390" s="11" t="s">
        <v>19</v>
      </c>
      <c r="E390" s="12" t="s">
        <v>20</v>
      </c>
      <c r="F390" s="55" t="s">
        <v>44</v>
      </c>
      <c r="G390" s="13" t="s">
        <v>1788</v>
      </c>
      <c r="H390" s="33"/>
      <c r="I390" s="14" t="s">
        <v>1799</v>
      </c>
      <c r="J390" s="18" t="s">
        <v>1800</v>
      </c>
      <c r="K390" s="14" t="s">
        <v>40</v>
      </c>
      <c r="L390" s="17"/>
    </row>
    <row r="391" spans="1:12" ht="12.75" customHeight="1">
      <c r="A391" s="8" t="s">
        <v>1801</v>
      </c>
      <c r="B391" s="184" t="s">
        <v>1802</v>
      </c>
      <c r="C391" s="125" t="s">
        <v>1803</v>
      </c>
      <c r="D391" s="61" t="s">
        <v>19</v>
      </c>
      <c r="E391" s="110" t="s">
        <v>20</v>
      </c>
      <c r="F391" s="87" t="s">
        <v>44</v>
      </c>
      <c r="G391" s="13" t="s">
        <v>1788</v>
      </c>
      <c r="H391" s="10"/>
      <c r="I391" s="116" t="s">
        <v>1804</v>
      </c>
      <c r="J391" s="42" t="s">
        <v>1805</v>
      </c>
      <c r="K391" s="42" t="s">
        <v>24</v>
      </c>
      <c r="L391" s="17" t="s">
        <v>1445</v>
      </c>
    </row>
    <row r="392" spans="1:12" ht="12.75" customHeight="1">
      <c r="A392" s="8" t="s">
        <v>1789</v>
      </c>
      <c r="B392" s="9" t="s">
        <v>1806</v>
      </c>
      <c r="C392" s="13" t="s">
        <v>1807</v>
      </c>
      <c r="D392" s="11" t="s">
        <v>19</v>
      </c>
      <c r="E392" s="12" t="s">
        <v>26</v>
      </c>
      <c r="F392" s="87" t="s">
        <v>1808</v>
      </c>
      <c r="G392" s="13" t="s">
        <v>1809</v>
      </c>
      <c r="H392" s="13" t="s">
        <v>1776</v>
      </c>
      <c r="I392" s="14" t="s">
        <v>1810</v>
      </c>
      <c r="J392" s="88" t="s">
        <v>374</v>
      </c>
      <c r="K392" s="16" t="s">
        <v>24</v>
      </c>
      <c r="L392" s="17" t="s">
        <v>1365</v>
      </c>
    </row>
    <row r="393" spans="1:12" ht="12.75" customHeight="1">
      <c r="A393" s="8" t="s">
        <v>1811</v>
      </c>
      <c r="B393" s="9" t="s">
        <v>1812</v>
      </c>
      <c r="C393" s="13" t="s">
        <v>1813</v>
      </c>
      <c r="D393" s="11" t="s">
        <v>19</v>
      </c>
      <c r="E393" s="12" t="s">
        <v>20</v>
      </c>
      <c r="F393" s="6" t="s">
        <v>21</v>
      </c>
      <c r="G393" s="13"/>
      <c r="H393" s="13"/>
      <c r="I393" s="13" t="s">
        <v>1814</v>
      </c>
      <c r="J393" s="18"/>
      <c r="K393" s="14" t="s">
        <v>40</v>
      </c>
      <c r="L393" s="17"/>
    </row>
    <row r="394" spans="1:12" ht="12.75" customHeight="1">
      <c r="A394" s="8" t="s">
        <v>1815</v>
      </c>
      <c r="B394" s="9" t="s">
        <v>1816</v>
      </c>
      <c r="C394" s="15" t="s">
        <v>1817</v>
      </c>
      <c r="D394" s="11" t="s">
        <v>19</v>
      </c>
      <c r="E394" s="12" t="s">
        <v>31</v>
      </c>
      <c r="F394" s="6" t="s">
        <v>21</v>
      </c>
      <c r="G394" s="13"/>
      <c r="H394" s="13"/>
      <c r="I394" s="15" t="s">
        <v>1818</v>
      </c>
      <c r="J394" s="18" t="s">
        <v>1819</v>
      </c>
      <c r="K394" s="14" t="s">
        <v>40</v>
      </c>
      <c r="L394" s="33"/>
    </row>
    <row r="395" spans="1:12" ht="12.75" customHeight="1">
      <c r="A395" s="8" t="s">
        <v>1820</v>
      </c>
      <c r="B395" s="9" t="s">
        <v>1821</v>
      </c>
      <c r="C395" s="13" t="s">
        <v>1822</v>
      </c>
      <c r="D395" s="11" t="s">
        <v>19</v>
      </c>
      <c r="E395" s="12" t="s">
        <v>31</v>
      </c>
      <c r="F395" s="6" t="s">
        <v>21</v>
      </c>
      <c r="G395" s="13"/>
      <c r="H395" s="13"/>
      <c r="I395" s="13" t="s">
        <v>1823</v>
      </c>
      <c r="J395" s="15" t="s">
        <v>1824</v>
      </c>
      <c r="K395" s="16" t="s">
        <v>24</v>
      </c>
      <c r="L395" s="185" t="s">
        <v>1825</v>
      </c>
    </row>
    <row r="396" spans="1:12" ht="12.75" customHeight="1">
      <c r="A396" s="8" t="s">
        <v>1826</v>
      </c>
      <c r="B396" s="9" t="s">
        <v>1827</v>
      </c>
      <c r="C396" s="13" t="s">
        <v>1828</v>
      </c>
      <c r="D396" s="11" t="s">
        <v>19</v>
      </c>
      <c r="E396" s="12" t="s">
        <v>31</v>
      </c>
      <c r="F396" s="6" t="s">
        <v>21</v>
      </c>
      <c r="G396" s="13"/>
      <c r="H396" s="13"/>
      <c r="I396" s="13" t="s">
        <v>1829</v>
      </c>
      <c r="J396" s="88" t="s">
        <v>1830</v>
      </c>
      <c r="K396" s="16" t="s">
        <v>24</v>
      </c>
      <c r="L396" s="185" t="s">
        <v>1831</v>
      </c>
    </row>
    <row r="397" spans="1:12" ht="12.75" customHeight="1">
      <c r="A397" s="8" t="s">
        <v>1832</v>
      </c>
      <c r="B397" s="39" t="s">
        <v>1833</v>
      </c>
      <c r="C397" s="8" t="s">
        <v>1834</v>
      </c>
      <c r="D397" s="61" t="s">
        <v>19</v>
      </c>
      <c r="E397" s="110" t="s">
        <v>20</v>
      </c>
      <c r="F397" s="87" t="s">
        <v>44</v>
      </c>
      <c r="G397" s="13" t="s">
        <v>1788</v>
      </c>
      <c r="H397" s="13"/>
      <c r="I397" s="10" t="s">
        <v>1835</v>
      </c>
      <c r="J397" s="126" t="s">
        <v>1836</v>
      </c>
      <c r="K397" s="16" t="s">
        <v>24</v>
      </c>
      <c r="L397" s="17" t="s">
        <v>1445</v>
      </c>
    </row>
    <row r="398" spans="1:12" ht="12.75" customHeight="1">
      <c r="A398" s="8" t="s">
        <v>1837</v>
      </c>
      <c r="B398" s="9" t="s">
        <v>1838</v>
      </c>
      <c r="C398" s="13" t="s">
        <v>1839</v>
      </c>
      <c r="D398" s="11" t="s">
        <v>19</v>
      </c>
      <c r="E398" s="12" t="s">
        <v>20</v>
      </c>
      <c r="F398" s="6" t="s">
        <v>21</v>
      </c>
      <c r="G398" s="13"/>
      <c r="H398" s="13"/>
      <c r="I398" s="13" t="s">
        <v>1840</v>
      </c>
      <c r="J398" s="88" t="s">
        <v>374</v>
      </c>
      <c r="K398" s="16" t="s">
        <v>24</v>
      </c>
      <c r="L398" s="17" t="s">
        <v>1365</v>
      </c>
    </row>
    <row r="399" spans="1:12" ht="12.75" customHeight="1">
      <c r="A399" s="8" t="s">
        <v>1841</v>
      </c>
      <c r="B399" s="9" t="s">
        <v>1842</v>
      </c>
      <c r="C399" s="13" t="s">
        <v>1843</v>
      </c>
      <c r="D399" s="11" t="s">
        <v>19</v>
      </c>
      <c r="E399" s="12" t="s">
        <v>31</v>
      </c>
      <c r="F399" s="6" t="s">
        <v>21</v>
      </c>
      <c r="G399" s="13"/>
      <c r="H399" s="13"/>
      <c r="I399" s="13" t="s">
        <v>1844</v>
      </c>
      <c r="J399" s="15" t="s">
        <v>1845</v>
      </c>
      <c r="K399" s="14" t="s">
        <v>40</v>
      </c>
      <c r="L399" s="17"/>
    </row>
    <row r="400" spans="1:12" ht="12.75" customHeight="1">
      <c r="A400" s="8" t="s">
        <v>1846</v>
      </c>
      <c r="B400" s="9" t="s">
        <v>1847</v>
      </c>
      <c r="C400" s="13" t="s">
        <v>1848</v>
      </c>
      <c r="D400" s="11" t="s">
        <v>19</v>
      </c>
      <c r="E400" s="12" t="s">
        <v>20</v>
      </c>
      <c r="F400" s="87" t="s">
        <v>44</v>
      </c>
      <c r="G400" s="13" t="s">
        <v>1788</v>
      </c>
      <c r="H400" s="13"/>
      <c r="I400" s="10" t="s">
        <v>1849</v>
      </c>
      <c r="J400" s="42" t="s">
        <v>374</v>
      </c>
      <c r="K400" s="42" t="s">
        <v>24</v>
      </c>
      <c r="L400" s="10" t="s">
        <v>1365</v>
      </c>
    </row>
    <row r="401" spans="1:12" ht="12.75" customHeight="1">
      <c r="A401" s="8" t="s">
        <v>1850</v>
      </c>
      <c r="B401" s="9" t="s">
        <v>1851</v>
      </c>
      <c r="C401" s="13" t="s">
        <v>1852</v>
      </c>
      <c r="D401" s="11" t="s">
        <v>19</v>
      </c>
      <c r="E401" s="12" t="s">
        <v>20</v>
      </c>
      <c r="F401" s="87" t="s">
        <v>44</v>
      </c>
      <c r="G401" s="13" t="s">
        <v>1853</v>
      </c>
      <c r="H401" s="13"/>
      <c r="I401" s="13" t="s">
        <v>1854</v>
      </c>
      <c r="J401" s="186"/>
      <c r="K401" s="14" t="s">
        <v>40</v>
      </c>
      <c r="L401" s="17"/>
    </row>
    <row r="402" spans="1:12" ht="12.75" customHeight="1">
      <c r="A402" s="90" t="s">
        <v>1855</v>
      </c>
      <c r="B402" s="9" t="s">
        <v>1856</v>
      </c>
      <c r="C402" s="13" t="s">
        <v>1857</v>
      </c>
      <c r="D402" s="11" t="s">
        <v>26</v>
      </c>
      <c r="E402" s="12" t="s">
        <v>26</v>
      </c>
      <c r="F402" s="20" t="s">
        <v>27</v>
      </c>
      <c r="G402" s="13"/>
      <c r="H402" s="13"/>
      <c r="I402" s="14" t="s">
        <v>1858</v>
      </c>
      <c r="J402" s="88" t="s">
        <v>1022</v>
      </c>
      <c r="K402" s="16" t="s">
        <v>24</v>
      </c>
      <c r="L402" s="17" t="s">
        <v>1859</v>
      </c>
    </row>
    <row r="403" spans="1:12" ht="12.75" customHeight="1">
      <c r="A403" s="105" t="s">
        <v>1860</v>
      </c>
      <c r="B403" s="187" t="s">
        <v>1861</v>
      </c>
      <c r="C403" s="188" t="s">
        <v>1862</v>
      </c>
      <c r="D403" s="189" t="s">
        <v>19</v>
      </c>
      <c r="E403" s="190" t="s">
        <v>31</v>
      </c>
      <c r="F403" s="189" t="s">
        <v>21</v>
      </c>
      <c r="G403" s="191"/>
      <c r="H403" s="191"/>
      <c r="I403" s="192"/>
      <c r="J403" s="193"/>
      <c r="K403" s="193" t="s">
        <v>32</v>
      </c>
      <c r="L403" s="194"/>
    </row>
    <row r="404" spans="1:12" ht="12.75" customHeight="1">
      <c r="A404" s="105" t="s">
        <v>1863</v>
      </c>
      <c r="B404" s="187" t="s">
        <v>1864</v>
      </c>
      <c r="C404" s="188" t="s">
        <v>1865</v>
      </c>
      <c r="D404" s="189" t="s">
        <v>19</v>
      </c>
      <c r="E404" s="190" t="s">
        <v>383</v>
      </c>
      <c r="F404" s="195" t="s">
        <v>36</v>
      </c>
      <c r="G404" s="13" t="s">
        <v>1866</v>
      </c>
      <c r="H404" s="13" t="s">
        <v>1861</v>
      </c>
      <c r="I404" s="192"/>
      <c r="J404" s="193"/>
      <c r="K404" s="193" t="s">
        <v>32</v>
      </c>
      <c r="L404" s="194"/>
    </row>
    <row r="405" spans="1:12" ht="12.75" customHeight="1">
      <c r="A405" s="8" t="s">
        <v>1867</v>
      </c>
      <c r="B405" s="9" t="s">
        <v>1868</v>
      </c>
      <c r="C405" s="13" t="s">
        <v>1865</v>
      </c>
      <c r="D405" s="11" t="s">
        <v>19</v>
      </c>
      <c r="E405" s="12" t="s">
        <v>26</v>
      </c>
      <c r="F405" s="55" t="s">
        <v>36</v>
      </c>
      <c r="G405" s="13" t="s">
        <v>1866</v>
      </c>
      <c r="H405" s="13" t="s">
        <v>1861</v>
      </c>
      <c r="I405" s="10" t="s">
        <v>1378</v>
      </c>
      <c r="J405" s="196" t="s">
        <v>39</v>
      </c>
      <c r="K405" s="10" t="s">
        <v>40</v>
      </c>
      <c r="L405" s="99"/>
    </row>
    <row r="406" spans="1:12" ht="12.75" customHeight="1">
      <c r="A406" s="8" t="s">
        <v>1869</v>
      </c>
      <c r="B406" s="7" t="s">
        <v>1870</v>
      </c>
      <c r="C406" s="15" t="s">
        <v>1871</v>
      </c>
      <c r="D406" s="11" t="s">
        <v>19</v>
      </c>
      <c r="E406" s="12" t="s">
        <v>20</v>
      </c>
      <c r="F406" s="55" t="s">
        <v>44</v>
      </c>
      <c r="G406" s="13" t="s">
        <v>1872</v>
      </c>
      <c r="H406" s="13"/>
      <c r="I406" s="18" t="s">
        <v>1874</v>
      </c>
      <c r="J406" s="18" t="s">
        <v>48</v>
      </c>
      <c r="K406" s="14" t="s">
        <v>40</v>
      </c>
      <c r="L406" s="17"/>
    </row>
    <row r="407" spans="1:12" ht="12" customHeight="1">
      <c r="A407" s="8" t="s">
        <v>1875</v>
      </c>
      <c r="B407" s="7" t="s">
        <v>1876</v>
      </c>
      <c r="C407" s="15" t="s">
        <v>1877</v>
      </c>
      <c r="D407" s="11" t="s">
        <v>19</v>
      </c>
      <c r="E407" s="12" t="s">
        <v>20</v>
      </c>
      <c r="F407" s="6" t="s">
        <v>21</v>
      </c>
      <c r="G407" s="13"/>
      <c r="H407" s="13"/>
      <c r="I407" s="18" t="s">
        <v>52</v>
      </c>
      <c r="J407" s="40" t="s">
        <v>53</v>
      </c>
      <c r="K407" s="13" t="s">
        <v>54</v>
      </c>
      <c r="L407" s="17"/>
    </row>
    <row r="408" spans="1:12" ht="12" customHeight="1">
      <c r="A408" s="8" t="s">
        <v>1878</v>
      </c>
      <c r="B408" s="7" t="s">
        <v>1879</v>
      </c>
      <c r="C408" s="15" t="s">
        <v>57</v>
      </c>
      <c r="D408" s="11" t="s">
        <v>19</v>
      </c>
      <c r="E408" s="12" t="s">
        <v>20</v>
      </c>
      <c r="F408" s="6" t="s">
        <v>21</v>
      </c>
      <c r="G408" s="13"/>
      <c r="H408" s="13"/>
      <c r="I408" s="18" t="s">
        <v>1756</v>
      </c>
      <c r="J408" s="41" t="s">
        <v>59</v>
      </c>
      <c r="K408" s="14" t="s">
        <v>40</v>
      </c>
      <c r="L408" s="17"/>
    </row>
    <row r="409" spans="1:12" ht="12" customHeight="1">
      <c r="A409" s="8" t="s">
        <v>1873</v>
      </c>
      <c r="B409" s="9" t="s">
        <v>1880</v>
      </c>
      <c r="C409" s="13" t="s">
        <v>61</v>
      </c>
      <c r="D409" s="11" t="s">
        <v>19</v>
      </c>
      <c r="E409" s="12" t="s">
        <v>26</v>
      </c>
      <c r="F409" s="55" t="s">
        <v>36</v>
      </c>
      <c r="G409" s="13" t="s">
        <v>1866</v>
      </c>
      <c r="H409" s="13" t="s">
        <v>1861</v>
      </c>
      <c r="I409" s="10" t="s">
        <v>1406</v>
      </c>
      <c r="J409" s="42" t="s">
        <v>63</v>
      </c>
      <c r="K409" s="42" t="s">
        <v>24</v>
      </c>
      <c r="L409" s="10" t="s">
        <v>1760</v>
      </c>
    </row>
    <row r="410" spans="1:12" ht="12.75" customHeight="1">
      <c r="A410" s="8" t="s">
        <v>1881</v>
      </c>
      <c r="B410" s="9" t="s">
        <v>1882</v>
      </c>
      <c r="C410" s="13" t="s">
        <v>1883</v>
      </c>
      <c r="D410" s="11" t="s">
        <v>19</v>
      </c>
      <c r="E410" s="12" t="s">
        <v>26</v>
      </c>
      <c r="F410" s="55" t="s">
        <v>36</v>
      </c>
      <c r="G410" s="13" t="s">
        <v>1866</v>
      </c>
      <c r="H410" s="13" t="s">
        <v>1861</v>
      </c>
      <c r="I410" s="14" t="s">
        <v>1884</v>
      </c>
      <c r="J410" s="18" t="s">
        <v>1885</v>
      </c>
      <c r="K410" s="14" t="s">
        <v>40</v>
      </c>
      <c r="L410" s="17"/>
    </row>
    <row r="411" spans="1:12" ht="12.75" customHeight="1">
      <c r="A411" s="8" t="s">
        <v>1886</v>
      </c>
      <c r="B411" s="9" t="s">
        <v>1887</v>
      </c>
      <c r="C411" s="13" t="s">
        <v>1888</v>
      </c>
      <c r="D411" s="11" t="s">
        <v>19</v>
      </c>
      <c r="E411" s="12" t="s">
        <v>20</v>
      </c>
      <c r="F411" s="6" t="s">
        <v>21</v>
      </c>
      <c r="G411" s="15"/>
      <c r="H411" s="13"/>
      <c r="I411" s="13" t="s">
        <v>1889</v>
      </c>
      <c r="J411" s="15"/>
      <c r="K411" s="8" t="s">
        <v>54</v>
      </c>
      <c r="L411" s="33"/>
    </row>
    <row r="412" spans="1:12" ht="12.75" customHeight="1">
      <c r="A412" s="8" t="s">
        <v>1890</v>
      </c>
      <c r="B412" s="9" t="s">
        <v>1891</v>
      </c>
      <c r="C412" s="13" t="s">
        <v>1892</v>
      </c>
      <c r="D412" s="11" t="s">
        <v>19</v>
      </c>
      <c r="E412" s="12" t="s">
        <v>20</v>
      </c>
      <c r="F412" s="6" t="s">
        <v>21</v>
      </c>
      <c r="G412" s="15"/>
      <c r="H412" s="15"/>
      <c r="I412" s="13" t="s">
        <v>1893</v>
      </c>
      <c r="J412" s="15" t="s">
        <v>643</v>
      </c>
      <c r="K412" s="8" t="s">
        <v>54</v>
      </c>
      <c r="L412" s="33"/>
    </row>
    <row r="413" spans="1:12" ht="12.75" customHeight="1">
      <c r="A413" s="73" t="s">
        <v>1894</v>
      </c>
      <c r="B413" s="9" t="s">
        <v>1895</v>
      </c>
      <c r="C413" s="13" t="s">
        <v>1896</v>
      </c>
      <c r="D413" s="11" t="s">
        <v>26</v>
      </c>
      <c r="E413" s="12" t="s">
        <v>26</v>
      </c>
      <c r="F413" s="197" t="s">
        <v>27</v>
      </c>
      <c r="G413" s="15"/>
      <c r="H413" s="15"/>
      <c r="I413" s="14" t="s">
        <v>1897</v>
      </c>
      <c r="J413" s="18" t="s">
        <v>444</v>
      </c>
      <c r="K413" s="95" t="s">
        <v>445</v>
      </c>
      <c r="L413" s="17"/>
    </row>
    <row r="414" spans="1:12" ht="12.75" customHeight="1">
      <c r="A414" s="25" t="s">
        <v>1898</v>
      </c>
      <c r="B414" s="44" t="s">
        <v>1899</v>
      </c>
      <c r="C414" s="49" t="s">
        <v>1900</v>
      </c>
      <c r="D414" s="46" t="s">
        <v>31</v>
      </c>
      <c r="E414" s="47" t="s">
        <v>31</v>
      </c>
      <c r="F414" s="46" t="s">
        <v>21</v>
      </c>
      <c r="G414" s="49"/>
      <c r="H414" s="49"/>
      <c r="I414" s="51"/>
      <c r="J414" s="50"/>
      <c r="K414" s="49" t="s">
        <v>32</v>
      </c>
      <c r="L414" s="52"/>
    </row>
    <row r="415" spans="1:12" ht="12.75" customHeight="1">
      <c r="A415" s="8" t="s">
        <v>1901</v>
      </c>
      <c r="B415" s="9" t="s">
        <v>1902</v>
      </c>
      <c r="C415" s="13" t="s">
        <v>1903</v>
      </c>
      <c r="D415" s="11" t="s">
        <v>19</v>
      </c>
      <c r="E415" s="12" t="s">
        <v>20</v>
      </c>
      <c r="F415" s="11" t="s">
        <v>21</v>
      </c>
      <c r="G415" s="13"/>
      <c r="H415" s="13"/>
      <c r="I415" s="13" t="s">
        <v>1904</v>
      </c>
      <c r="J415" s="15" t="s">
        <v>374</v>
      </c>
      <c r="K415" s="13" t="s">
        <v>24</v>
      </c>
      <c r="L415" s="33" t="s">
        <v>1365</v>
      </c>
    </row>
    <row r="416" spans="1:12" ht="12.75" customHeight="1">
      <c r="A416" s="8" t="s">
        <v>1905</v>
      </c>
      <c r="B416" s="9" t="s">
        <v>1906</v>
      </c>
      <c r="C416" s="13" t="s">
        <v>1907</v>
      </c>
      <c r="D416" s="11" t="s">
        <v>19</v>
      </c>
      <c r="E416" s="12" t="s">
        <v>20</v>
      </c>
      <c r="F416" s="11" t="s">
        <v>21</v>
      </c>
      <c r="G416" s="13"/>
      <c r="H416" s="13"/>
      <c r="I416" s="13" t="s">
        <v>1908</v>
      </c>
      <c r="J416" s="15"/>
      <c r="K416" s="14" t="s">
        <v>54</v>
      </c>
      <c r="L416" s="33"/>
    </row>
    <row r="417" spans="1:12" ht="12" customHeight="1">
      <c r="A417" s="8" t="s">
        <v>1909</v>
      </c>
      <c r="B417" s="9" t="s">
        <v>1910</v>
      </c>
      <c r="C417" s="13" t="s">
        <v>1911</v>
      </c>
      <c r="D417" s="11" t="s">
        <v>19</v>
      </c>
      <c r="E417" s="12" t="s">
        <v>20</v>
      </c>
      <c r="F417" s="6" t="s">
        <v>21</v>
      </c>
      <c r="G417" s="13"/>
      <c r="H417" s="13"/>
      <c r="I417" s="13" t="s">
        <v>1912</v>
      </c>
      <c r="J417" s="18" t="s">
        <v>1913</v>
      </c>
      <c r="K417" s="14" t="s">
        <v>40</v>
      </c>
      <c r="L417" s="17"/>
    </row>
    <row r="418" spans="1:12" ht="12" customHeight="1">
      <c r="A418" s="198" t="s">
        <v>1914</v>
      </c>
      <c r="B418" s="9" t="s">
        <v>1915</v>
      </c>
      <c r="C418" s="13" t="s">
        <v>1916</v>
      </c>
      <c r="D418" s="11" t="s">
        <v>20</v>
      </c>
      <c r="E418" s="12" t="s">
        <v>20</v>
      </c>
      <c r="F418" s="6" t="s">
        <v>21</v>
      </c>
      <c r="G418" s="13"/>
      <c r="H418" s="13"/>
      <c r="I418" s="13" t="s">
        <v>1917</v>
      </c>
      <c r="J418" s="18" t="s">
        <v>1918</v>
      </c>
      <c r="K418" s="14" t="s">
        <v>40</v>
      </c>
      <c r="L418" s="17"/>
    </row>
    <row r="419" spans="1:12" ht="12.75" customHeight="1">
      <c r="A419" s="198" t="s">
        <v>1919</v>
      </c>
      <c r="B419" s="9" t="s">
        <v>1920</v>
      </c>
      <c r="C419" s="13" t="s">
        <v>1921</v>
      </c>
      <c r="D419" s="11" t="s">
        <v>20</v>
      </c>
      <c r="E419" s="12" t="s">
        <v>20</v>
      </c>
      <c r="F419" s="124" t="s">
        <v>21</v>
      </c>
      <c r="G419" s="15"/>
      <c r="H419" s="15"/>
      <c r="I419" s="13" t="s">
        <v>1922</v>
      </c>
      <c r="J419" s="18" t="s">
        <v>1923</v>
      </c>
      <c r="K419" s="95" t="s">
        <v>92</v>
      </c>
      <c r="L419" s="17"/>
    </row>
    <row r="420" spans="1:12" ht="12.75" customHeight="1">
      <c r="A420" s="198" t="s">
        <v>1924</v>
      </c>
      <c r="B420" s="44" t="s">
        <v>1925</v>
      </c>
      <c r="C420" s="49" t="s">
        <v>1926</v>
      </c>
      <c r="D420" s="46" t="s">
        <v>31</v>
      </c>
      <c r="E420" s="47" t="s">
        <v>31</v>
      </c>
      <c r="F420" s="46" t="s">
        <v>21</v>
      </c>
      <c r="G420" s="49"/>
      <c r="H420" s="49"/>
      <c r="I420" s="51"/>
      <c r="J420" s="50"/>
      <c r="K420" s="51" t="s">
        <v>32</v>
      </c>
      <c r="L420" s="52"/>
    </row>
    <row r="421" spans="1:12" ht="12.75" customHeight="1">
      <c r="A421" s="25" t="s">
        <v>1927</v>
      </c>
      <c r="B421" s="44" t="s">
        <v>1928</v>
      </c>
      <c r="C421" s="49" t="s">
        <v>1929</v>
      </c>
      <c r="D421" s="46" t="s">
        <v>26</v>
      </c>
      <c r="E421" s="47" t="s">
        <v>26</v>
      </c>
      <c r="F421" s="80" t="s">
        <v>36</v>
      </c>
      <c r="G421" s="49" t="s">
        <v>1930</v>
      </c>
      <c r="H421" s="49" t="s">
        <v>1931</v>
      </c>
      <c r="I421" s="51"/>
      <c r="J421" s="50"/>
      <c r="K421" s="49" t="s">
        <v>264</v>
      </c>
      <c r="L421" s="52"/>
    </row>
    <row r="422" spans="1:12" ht="12.75" customHeight="1">
      <c r="A422" s="198" t="s">
        <v>1932</v>
      </c>
      <c r="B422" s="114" t="s">
        <v>1933</v>
      </c>
      <c r="C422" s="115" t="s">
        <v>1934</v>
      </c>
      <c r="D422" s="11" t="s">
        <v>26</v>
      </c>
      <c r="E422" s="12" t="s">
        <v>26</v>
      </c>
      <c r="F422" s="55" t="s">
        <v>36</v>
      </c>
      <c r="G422" s="157" t="s">
        <v>1935</v>
      </c>
      <c r="H422" s="157" t="s">
        <v>1931</v>
      </c>
      <c r="I422" s="115" t="s">
        <v>1936</v>
      </c>
      <c r="J422" s="34" t="s">
        <v>121</v>
      </c>
      <c r="K422" s="14" t="s">
        <v>40</v>
      </c>
      <c r="L422" s="17"/>
    </row>
    <row r="423" spans="1:12" ht="12.75" customHeight="1">
      <c r="A423" s="8" t="s">
        <v>1937</v>
      </c>
      <c r="B423" s="7" t="s">
        <v>1938</v>
      </c>
      <c r="C423" s="15" t="s">
        <v>1939</v>
      </c>
      <c r="D423" s="11" t="s">
        <v>19</v>
      </c>
      <c r="E423" s="12" t="s">
        <v>20</v>
      </c>
      <c r="F423" s="55" t="s">
        <v>44</v>
      </c>
      <c r="G423" s="13" t="s">
        <v>1940</v>
      </c>
      <c r="H423" s="13"/>
      <c r="I423" s="18" t="s">
        <v>1942</v>
      </c>
      <c r="J423" s="34" t="s">
        <v>127</v>
      </c>
      <c r="K423" s="14" t="s">
        <v>40</v>
      </c>
      <c r="L423" s="17"/>
    </row>
    <row r="424" spans="1:12" ht="12" customHeight="1">
      <c r="A424" s="8" t="s">
        <v>1943</v>
      </c>
      <c r="B424" s="7" t="s">
        <v>1944</v>
      </c>
      <c r="C424" s="15" t="s">
        <v>1945</v>
      </c>
      <c r="D424" s="11" t="s">
        <v>19</v>
      </c>
      <c r="E424" s="12" t="s">
        <v>20</v>
      </c>
      <c r="F424" s="6" t="s">
        <v>21</v>
      </c>
      <c r="G424" s="13"/>
      <c r="H424" s="13"/>
      <c r="I424" s="18" t="s">
        <v>1346</v>
      </c>
      <c r="J424" s="199" t="s">
        <v>1946</v>
      </c>
      <c r="K424" s="13" t="s">
        <v>54</v>
      </c>
      <c r="L424" s="17"/>
    </row>
    <row r="425" spans="1:12" ht="12" customHeight="1">
      <c r="A425" s="8" t="s">
        <v>1947</v>
      </c>
      <c r="B425" s="7" t="s">
        <v>1948</v>
      </c>
      <c r="C425" s="15" t="s">
        <v>1949</v>
      </c>
      <c r="D425" s="11" t="s">
        <v>19</v>
      </c>
      <c r="E425" s="12" t="s">
        <v>20</v>
      </c>
      <c r="F425" s="6" t="s">
        <v>21</v>
      </c>
      <c r="G425" s="13"/>
      <c r="H425" s="13"/>
      <c r="I425" s="18" t="s">
        <v>471</v>
      </c>
      <c r="J425" s="41" t="s">
        <v>59</v>
      </c>
      <c r="K425" s="14" t="s">
        <v>40</v>
      </c>
      <c r="L425" s="17"/>
    </row>
    <row r="426" spans="1:12" ht="12" customHeight="1">
      <c r="A426" s="198" t="s">
        <v>1950</v>
      </c>
      <c r="B426" s="9" t="s">
        <v>1951</v>
      </c>
      <c r="C426" s="13" t="s">
        <v>1952</v>
      </c>
      <c r="D426" s="11" t="s">
        <v>26</v>
      </c>
      <c r="E426" s="12" t="s">
        <v>26</v>
      </c>
      <c r="F426" s="55" t="s">
        <v>36</v>
      </c>
      <c r="G426" s="157" t="s">
        <v>1935</v>
      </c>
      <c r="H426" s="157" t="s">
        <v>1931</v>
      </c>
      <c r="I426" s="14" t="s">
        <v>1953</v>
      </c>
      <c r="J426" s="34" t="s">
        <v>138</v>
      </c>
      <c r="K426" s="200" t="s">
        <v>24</v>
      </c>
      <c r="L426" s="34" t="s">
        <v>139</v>
      </c>
    </row>
    <row r="427" spans="1:12" ht="12.75" customHeight="1">
      <c r="A427" s="198" t="s">
        <v>1954</v>
      </c>
      <c r="B427" s="9" t="s">
        <v>1955</v>
      </c>
      <c r="C427" s="13" t="s">
        <v>1956</v>
      </c>
      <c r="D427" s="11" t="s">
        <v>20</v>
      </c>
      <c r="E427" s="12" t="s">
        <v>20</v>
      </c>
      <c r="F427" s="124" t="s">
        <v>21</v>
      </c>
      <c r="G427" s="13"/>
      <c r="H427" s="13"/>
      <c r="I427" s="14" t="s">
        <v>1957</v>
      </c>
      <c r="J427" s="88" t="s">
        <v>1958</v>
      </c>
      <c r="K427" s="16" t="s">
        <v>24</v>
      </c>
      <c r="L427" s="17" t="s">
        <v>1959</v>
      </c>
    </row>
    <row r="428" spans="1:12" ht="12.75" customHeight="1">
      <c r="A428" s="25" t="s">
        <v>1960</v>
      </c>
      <c r="B428" s="44" t="s">
        <v>1961</v>
      </c>
      <c r="C428" s="49" t="s">
        <v>1962</v>
      </c>
      <c r="D428" s="46" t="s">
        <v>20</v>
      </c>
      <c r="E428" s="47" t="s">
        <v>20</v>
      </c>
      <c r="F428" s="46" t="s">
        <v>21</v>
      </c>
      <c r="G428" s="49"/>
      <c r="H428" s="49"/>
      <c r="I428" s="49"/>
      <c r="J428" s="79"/>
      <c r="K428" s="49" t="s">
        <v>32</v>
      </c>
      <c r="L428" s="52"/>
    </row>
    <row r="429" spans="1:12" ht="12.75" customHeight="1">
      <c r="A429" s="198" t="s">
        <v>1963</v>
      </c>
      <c r="B429" s="9" t="s">
        <v>1964</v>
      </c>
      <c r="C429" s="13" t="s">
        <v>1965</v>
      </c>
      <c r="D429" s="11" t="s">
        <v>26</v>
      </c>
      <c r="E429" s="12" t="s">
        <v>26</v>
      </c>
      <c r="F429" s="55" t="s">
        <v>36</v>
      </c>
      <c r="G429" s="13" t="s">
        <v>1966</v>
      </c>
      <c r="H429" s="13" t="s">
        <v>1961</v>
      </c>
      <c r="I429" s="14" t="s">
        <v>1967</v>
      </c>
      <c r="J429" s="18" t="s">
        <v>1968</v>
      </c>
      <c r="K429" s="14" t="s">
        <v>40</v>
      </c>
      <c r="L429" s="17"/>
    </row>
    <row r="430" spans="1:12" ht="12.75" customHeight="1">
      <c r="A430" s="8" t="s">
        <v>1969</v>
      </c>
      <c r="B430" s="7" t="s">
        <v>1970</v>
      </c>
      <c r="C430" s="15" t="s">
        <v>1971</v>
      </c>
      <c r="D430" s="11" t="s">
        <v>19</v>
      </c>
      <c r="E430" s="12" t="s">
        <v>20</v>
      </c>
      <c r="F430" s="55" t="s">
        <v>44</v>
      </c>
      <c r="G430" s="13" t="s">
        <v>1972</v>
      </c>
      <c r="H430" s="13"/>
      <c r="I430" s="18" t="s">
        <v>1974</v>
      </c>
      <c r="J430" s="18" t="s">
        <v>1975</v>
      </c>
      <c r="K430" s="14" t="s">
        <v>40</v>
      </c>
      <c r="L430" s="17"/>
    </row>
    <row r="431" spans="1:12" ht="12" customHeight="1">
      <c r="A431" s="8" t="s">
        <v>1976</v>
      </c>
      <c r="B431" s="7" t="s">
        <v>1977</v>
      </c>
      <c r="C431" s="15" t="s">
        <v>1978</v>
      </c>
      <c r="D431" s="11" t="s">
        <v>19</v>
      </c>
      <c r="E431" s="12" t="s">
        <v>20</v>
      </c>
      <c r="F431" s="6" t="s">
        <v>21</v>
      </c>
      <c r="G431" s="13"/>
      <c r="H431" s="13"/>
      <c r="I431" s="18" t="s">
        <v>1979</v>
      </c>
      <c r="J431" s="40" t="s">
        <v>1980</v>
      </c>
      <c r="K431" s="13" t="s">
        <v>54</v>
      </c>
      <c r="L431" s="17"/>
    </row>
    <row r="432" spans="1:12" ht="12" customHeight="1">
      <c r="A432" s="8" t="s">
        <v>1981</v>
      </c>
      <c r="B432" s="7" t="s">
        <v>1982</v>
      </c>
      <c r="C432" s="15" t="s">
        <v>57</v>
      </c>
      <c r="D432" s="11" t="s">
        <v>19</v>
      </c>
      <c r="E432" s="12" t="s">
        <v>20</v>
      </c>
      <c r="F432" s="6" t="s">
        <v>21</v>
      </c>
      <c r="G432" s="13"/>
      <c r="H432" s="13"/>
      <c r="I432" s="18" t="s">
        <v>134</v>
      </c>
      <c r="J432" s="41" t="s">
        <v>59</v>
      </c>
      <c r="K432" s="14" t="s">
        <v>40</v>
      </c>
      <c r="L432" s="17"/>
    </row>
    <row r="433" spans="1:12" ht="12" customHeight="1">
      <c r="A433" s="198" t="s">
        <v>1983</v>
      </c>
      <c r="B433" s="201" t="s">
        <v>1984</v>
      </c>
      <c r="C433" s="123" t="s">
        <v>1985</v>
      </c>
      <c r="D433" s="11" t="s">
        <v>26</v>
      </c>
      <c r="E433" s="12" t="s">
        <v>26</v>
      </c>
      <c r="F433" s="55" t="s">
        <v>36</v>
      </c>
      <c r="G433" s="13"/>
      <c r="H433" s="13"/>
      <c r="I433" s="123" t="s">
        <v>1986</v>
      </c>
      <c r="J433" s="126" t="s">
        <v>923</v>
      </c>
      <c r="K433" s="16" t="s">
        <v>24</v>
      </c>
      <c r="L433" s="17" t="s">
        <v>1355</v>
      </c>
    </row>
    <row r="434" spans="1:12" ht="12.75" customHeight="1">
      <c r="A434" s="25" t="s">
        <v>1987</v>
      </c>
      <c r="B434" s="44" t="s">
        <v>1988</v>
      </c>
      <c r="C434" s="49" t="s">
        <v>1989</v>
      </c>
      <c r="D434" s="46" t="s">
        <v>19</v>
      </c>
      <c r="E434" s="47" t="s">
        <v>31</v>
      </c>
      <c r="F434" s="46" t="s">
        <v>21</v>
      </c>
      <c r="G434" s="49"/>
      <c r="H434" s="49"/>
      <c r="I434" s="51"/>
      <c r="J434" s="50"/>
      <c r="K434" s="49" t="s">
        <v>32</v>
      </c>
      <c r="L434" s="52"/>
    </row>
    <row r="435" spans="1:12" ht="12.75" customHeight="1">
      <c r="A435" s="8" t="s">
        <v>1990</v>
      </c>
      <c r="B435" s="7" t="s">
        <v>1991</v>
      </c>
      <c r="C435" s="15" t="s">
        <v>1992</v>
      </c>
      <c r="D435" s="11" t="s">
        <v>19</v>
      </c>
      <c r="E435" s="12" t="s">
        <v>20</v>
      </c>
      <c r="F435" s="6" t="s">
        <v>21</v>
      </c>
      <c r="G435" s="13"/>
      <c r="H435" s="13"/>
      <c r="I435" s="15" t="s">
        <v>1993</v>
      </c>
      <c r="J435" s="18"/>
      <c r="K435" s="14" t="s">
        <v>40</v>
      </c>
      <c r="L435" s="17"/>
    </row>
    <row r="436" spans="1:12" ht="12.75" customHeight="1">
      <c r="A436" s="8" t="s">
        <v>1994</v>
      </c>
      <c r="B436" s="9" t="s">
        <v>1995</v>
      </c>
      <c r="C436" s="13" t="s">
        <v>1996</v>
      </c>
      <c r="D436" s="11" t="s">
        <v>19</v>
      </c>
      <c r="E436" s="12" t="s">
        <v>383</v>
      </c>
      <c r="F436" s="55" t="s">
        <v>36</v>
      </c>
      <c r="G436" s="13" t="s">
        <v>1997</v>
      </c>
      <c r="H436" s="13" t="s">
        <v>1899</v>
      </c>
      <c r="I436" s="14" t="s">
        <v>1998</v>
      </c>
      <c r="J436" s="18" t="s">
        <v>1999</v>
      </c>
      <c r="K436" s="14" t="s">
        <v>40</v>
      </c>
      <c r="L436" s="17"/>
    </row>
    <row r="437" spans="1:12" ht="12.75" customHeight="1">
      <c r="A437" s="25" t="s">
        <v>2000</v>
      </c>
      <c r="B437" s="136" t="s">
        <v>2001</v>
      </c>
      <c r="C437" s="45" t="s">
        <v>2002</v>
      </c>
      <c r="D437" s="135" t="s">
        <v>31</v>
      </c>
      <c r="E437" s="53" t="s">
        <v>31</v>
      </c>
      <c r="F437" s="135" t="s">
        <v>21</v>
      </c>
      <c r="G437" s="159"/>
      <c r="H437" s="159"/>
      <c r="I437" s="159"/>
      <c r="J437" s="159"/>
      <c r="K437" s="202" t="s">
        <v>32</v>
      </c>
      <c r="L437" s="159"/>
    </row>
    <row r="438" spans="1:12" ht="12.75">
      <c r="A438" s="8" t="s">
        <v>2003</v>
      </c>
      <c r="B438" s="81" t="s">
        <v>2004</v>
      </c>
      <c r="C438" s="10" t="s">
        <v>2005</v>
      </c>
      <c r="D438" s="98" t="s">
        <v>26</v>
      </c>
      <c r="E438" s="19" t="s">
        <v>26</v>
      </c>
      <c r="F438" s="55" t="s">
        <v>36</v>
      </c>
      <c r="G438" s="13" t="s">
        <v>2006</v>
      </c>
      <c r="H438" s="13" t="s">
        <v>2001</v>
      </c>
      <c r="I438" s="10" t="s">
        <v>2007</v>
      </c>
      <c r="J438" s="18" t="s">
        <v>1968</v>
      </c>
      <c r="K438" s="10" t="s">
        <v>40</v>
      </c>
      <c r="L438" s="99"/>
    </row>
    <row r="439" spans="1:12" ht="12.75" customHeight="1">
      <c r="A439" s="8" t="s">
        <v>2008</v>
      </c>
      <c r="B439" s="81" t="s">
        <v>2009</v>
      </c>
      <c r="C439" s="10" t="s">
        <v>2010</v>
      </c>
      <c r="D439" s="98" t="s">
        <v>19</v>
      </c>
      <c r="E439" s="19" t="s">
        <v>20</v>
      </c>
      <c r="F439" s="87" t="s">
        <v>44</v>
      </c>
      <c r="G439" s="13" t="s">
        <v>2011</v>
      </c>
      <c r="H439" s="13"/>
      <c r="I439" s="10" t="s">
        <v>2012</v>
      </c>
      <c r="J439" s="18" t="s">
        <v>2013</v>
      </c>
      <c r="K439" s="10" t="s">
        <v>40</v>
      </c>
      <c r="L439" s="99"/>
    </row>
    <row r="440" spans="1:12" ht="12.75" customHeight="1">
      <c r="A440" s="8" t="s">
        <v>2014</v>
      </c>
      <c r="B440" s="81" t="s">
        <v>2015</v>
      </c>
      <c r="C440" s="10" t="s">
        <v>2016</v>
      </c>
      <c r="D440" s="98" t="s">
        <v>19</v>
      </c>
      <c r="E440" s="19" t="s">
        <v>20</v>
      </c>
      <c r="F440" s="98" t="s">
        <v>21</v>
      </c>
      <c r="G440" s="13"/>
      <c r="H440" s="13"/>
      <c r="I440" s="10" t="s">
        <v>52</v>
      </c>
      <c r="J440" s="59" t="s">
        <v>2017</v>
      </c>
      <c r="K440" s="10" t="s">
        <v>54</v>
      </c>
      <c r="L440" s="99"/>
    </row>
    <row r="441" spans="1:12" ht="12.75" customHeight="1">
      <c r="A441" s="8" t="s">
        <v>2018</v>
      </c>
      <c r="B441" s="81" t="s">
        <v>2019</v>
      </c>
      <c r="C441" s="10" t="s">
        <v>57</v>
      </c>
      <c r="D441" s="98" t="s">
        <v>19</v>
      </c>
      <c r="E441" s="19" t="s">
        <v>20</v>
      </c>
      <c r="F441" s="98" t="s">
        <v>21</v>
      </c>
      <c r="G441" s="13"/>
      <c r="H441" s="13"/>
      <c r="I441" s="10" t="s">
        <v>471</v>
      </c>
      <c r="J441" s="41" t="s">
        <v>59</v>
      </c>
      <c r="K441" s="10" t="s">
        <v>40</v>
      </c>
      <c r="L441" s="99"/>
    </row>
    <row r="442" spans="1:12" ht="12.75" customHeight="1">
      <c r="A442" s="8" t="s">
        <v>2020</v>
      </c>
      <c r="B442" s="81" t="s">
        <v>2021</v>
      </c>
      <c r="C442" s="10" t="s">
        <v>2022</v>
      </c>
      <c r="D442" s="98" t="s">
        <v>26</v>
      </c>
      <c r="E442" s="19" t="s">
        <v>26</v>
      </c>
      <c r="F442" s="55" t="s">
        <v>36</v>
      </c>
      <c r="G442" s="13" t="s">
        <v>2006</v>
      </c>
      <c r="H442" s="13" t="s">
        <v>2001</v>
      </c>
      <c r="I442" s="10" t="s">
        <v>2023</v>
      </c>
      <c r="J442" s="126" t="s">
        <v>923</v>
      </c>
      <c r="K442" s="16" t="s">
        <v>24</v>
      </c>
      <c r="L442" s="17" t="s">
        <v>1355</v>
      </c>
    </row>
    <row r="443" spans="1:12" ht="12.75" customHeight="1">
      <c r="A443" s="25" t="s">
        <v>2024</v>
      </c>
      <c r="B443" s="44" t="s">
        <v>2025</v>
      </c>
      <c r="C443" s="49" t="s">
        <v>2026</v>
      </c>
      <c r="D443" s="46" t="s">
        <v>19</v>
      </c>
      <c r="E443" s="47" t="s">
        <v>31</v>
      </c>
      <c r="F443" s="203" t="s">
        <v>21</v>
      </c>
      <c r="G443" s="79"/>
      <c r="H443" s="79"/>
      <c r="I443" s="49"/>
      <c r="J443" s="50"/>
      <c r="K443" s="204" t="s">
        <v>32</v>
      </c>
      <c r="L443" s="52"/>
    </row>
    <row r="444" spans="1:12" ht="12.75" customHeight="1">
      <c r="A444" s="25" t="s">
        <v>2027</v>
      </c>
      <c r="B444" s="44" t="s">
        <v>739</v>
      </c>
      <c r="C444" s="49" t="s">
        <v>2028</v>
      </c>
      <c r="D444" s="46" t="s">
        <v>19</v>
      </c>
      <c r="E444" s="47" t="s">
        <v>20</v>
      </c>
      <c r="F444" s="203" t="s">
        <v>21</v>
      </c>
      <c r="G444" s="79"/>
      <c r="H444" s="79"/>
      <c r="I444" s="49"/>
      <c r="J444" s="50"/>
      <c r="K444" s="204" t="s">
        <v>32</v>
      </c>
      <c r="L444" s="52"/>
    </row>
    <row r="445" spans="1:12" ht="12.75" customHeight="1">
      <c r="A445" s="8" t="s">
        <v>2029</v>
      </c>
      <c r="B445" s="9" t="s">
        <v>2030</v>
      </c>
      <c r="C445" s="13" t="s">
        <v>2031</v>
      </c>
      <c r="D445" s="11" t="s">
        <v>19</v>
      </c>
      <c r="E445" s="12" t="s">
        <v>20</v>
      </c>
      <c r="F445" s="6" t="s">
        <v>21</v>
      </c>
      <c r="G445" s="15"/>
      <c r="H445" s="15"/>
      <c r="I445" s="13" t="s">
        <v>2032</v>
      </c>
      <c r="J445" s="18" t="s">
        <v>643</v>
      </c>
      <c r="K445" s="14" t="s">
        <v>54</v>
      </c>
      <c r="L445" s="17"/>
    </row>
    <row r="446" spans="1:12" ht="12.75" customHeight="1">
      <c r="A446" s="8" t="s">
        <v>2033</v>
      </c>
      <c r="B446" s="9" t="s">
        <v>2034</v>
      </c>
      <c r="C446" s="13" t="s">
        <v>2035</v>
      </c>
      <c r="D446" s="11" t="s">
        <v>19</v>
      </c>
      <c r="E446" s="12" t="s">
        <v>20</v>
      </c>
      <c r="F446" s="6" t="s">
        <v>21</v>
      </c>
      <c r="G446" s="15"/>
      <c r="H446" s="15"/>
      <c r="I446" s="13" t="s">
        <v>2036</v>
      </c>
      <c r="J446" s="10" t="s">
        <v>2037</v>
      </c>
      <c r="K446" s="14" t="s">
        <v>40</v>
      </c>
      <c r="L446" s="17"/>
    </row>
    <row r="447" spans="1:12" ht="12.75" customHeight="1">
      <c r="A447" s="8" t="s">
        <v>2038</v>
      </c>
      <c r="B447" s="9" t="s">
        <v>2039</v>
      </c>
      <c r="C447" s="13" t="s">
        <v>2040</v>
      </c>
      <c r="D447" s="11" t="s">
        <v>19</v>
      </c>
      <c r="E447" s="12" t="s">
        <v>26</v>
      </c>
      <c r="F447" s="55" t="s">
        <v>36</v>
      </c>
      <c r="G447" s="15" t="s">
        <v>2041</v>
      </c>
      <c r="H447" s="15" t="s">
        <v>739</v>
      </c>
      <c r="I447" s="13" t="s">
        <v>2042</v>
      </c>
      <c r="J447" s="18" t="s">
        <v>2043</v>
      </c>
      <c r="K447" s="14" t="s">
        <v>40</v>
      </c>
      <c r="L447" s="17"/>
    </row>
    <row r="448" spans="1:12" ht="12.75" customHeight="1">
      <c r="A448" s="8" t="s">
        <v>2044</v>
      </c>
      <c r="B448" s="9" t="s">
        <v>2045</v>
      </c>
      <c r="C448" s="13" t="s">
        <v>2046</v>
      </c>
      <c r="D448" s="11" t="s">
        <v>19</v>
      </c>
      <c r="E448" s="12" t="s">
        <v>20</v>
      </c>
      <c r="F448" s="6" t="s">
        <v>21</v>
      </c>
      <c r="G448" s="15"/>
      <c r="H448" s="15"/>
      <c r="I448" s="13" t="s">
        <v>2047</v>
      </c>
      <c r="J448" s="18" t="s">
        <v>2048</v>
      </c>
      <c r="K448" s="14" t="s">
        <v>40</v>
      </c>
      <c r="L448" s="17"/>
    </row>
    <row r="449" spans="1:12" ht="12.75" customHeight="1">
      <c r="A449" s="25" t="s">
        <v>2049</v>
      </c>
      <c r="B449" s="44" t="s">
        <v>2050</v>
      </c>
      <c r="C449" s="49" t="s">
        <v>2051</v>
      </c>
      <c r="D449" s="46" t="s">
        <v>19</v>
      </c>
      <c r="E449" s="47" t="s">
        <v>20</v>
      </c>
      <c r="F449" s="43" t="s">
        <v>21</v>
      </c>
      <c r="G449" s="79"/>
      <c r="H449" s="79"/>
      <c r="I449" s="49"/>
      <c r="J449" s="50"/>
      <c r="K449" s="204" t="s">
        <v>32</v>
      </c>
      <c r="L449" s="52"/>
    </row>
    <row r="450" spans="1:12" ht="12" customHeight="1">
      <c r="A450" s="8" t="s">
        <v>2052</v>
      </c>
      <c r="B450" s="9" t="s">
        <v>2053</v>
      </c>
      <c r="C450" s="13" t="s">
        <v>2054</v>
      </c>
      <c r="D450" s="11" t="s">
        <v>19</v>
      </c>
      <c r="E450" s="12" t="s">
        <v>20</v>
      </c>
      <c r="F450" s="6" t="s">
        <v>21</v>
      </c>
      <c r="G450" s="15"/>
      <c r="H450" s="15"/>
      <c r="I450" s="13" t="s">
        <v>2055</v>
      </c>
      <c r="J450" s="34" t="s">
        <v>121</v>
      </c>
      <c r="K450" s="14" t="s">
        <v>40</v>
      </c>
      <c r="L450" s="17"/>
    </row>
    <row r="451" spans="1:12" ht="12.75" customHeight="1">
      <c r="A451" s="8" t="s">
        <v>2056</v>
      </c>
      <c r="B451" s="7" t="s">
        <v>2057</v>
      </c>
      <c r="C451" s="15" t="s">
        <v>2058</v>
      </c>
      <c r="D451" s="11" t="s">
        <v>19</v>
      </c>
      <c r="E451" s="12" t="s">
        <v>20</v>
      </c>
      <c r="F451" s="55" t="s">
        <v>44</v>
      </c>
      <c r="G451" s="13" t="s">
        <v>2059</v>
      </c>
      <c r="H451" s="13"/>
      <c r="I451" s="18" t="s">
        <v>2061</v>
      </c>
      <c r="J451" s="34" t="s">
        <v>127</v>
      </c>
      <c r="K451" s="14" t="s">
        <v>40</v>
      </c>
      <c r="L451" s="17"/>
    </row>
    <row r="452" spans="1:12" ht="12" customHeight="1">
      <c r="A452" s="8" t="s">
        <v>2062</v>
      </c>
      <c r="B452" s="7" t="s">
        <v>2063</v>
      </c>
      <c r="C452" s="15" t="s">
        <v>2064</v>
      </c>
      <c r="D452" s="11" t="s">
        <v>19</v>
      </c>
      <c r="E452" s="12" t="s">
        <v>20</v>
      </c>
      <c r="F452" s="6" t="s">
        <v>21</v>
      </c>
      <c r="G452" s="13"/>
      <c r="H452" s="13"/>
      <c r="I452" s="18" t="s">
        <v>52</v>
      </c>
      <c r="J452" s="199" t="s">
        <v>2065</v>
      </c>
      <c r="K452" s="13" t="s">
        <v>54</v>
      </c>
      <c r="L452" s="17"/>
    </row>
    <row r="453" spans="1:12" ht="12" customHeight="1">
      <c r="A453" s="8" t="s">
        <v>2066</v>
      </c>
      <c r="B453" s="7" t="s">
        <v>2067</v>
      </c>
      <c r="C453" s="15" t="s">
        <v>57</v>
      </c>
      <c r="D453" s="11" t="s">
        <v>19</v>
      </c>
      <c r="E453" s="12" t="s">
        <v>20</v>
      </c>
      <c r="F453" s="6" t="s">
        <v>21</v>
      </c>
      <c r="G453" s="13"/>
      <c r="H453" s="13"/>
      <c r="I453" s="18" t="s">
        <v>471</v>
      </c>
      <c r="J453" s="41" t="s">
        <v>59</v>
      </c>
      <c r="K453" s="14" t="s">
        <v>40</v>
      </c>
      <c r="L453" s="17"/>
    </row>
    <row r="454" spans="1:12" ht="12" customHeight="1">
      <c r="A454" s="8" t="s">
        <v>2060</v>
      </c>
      <c r="B454" s="9" t="s">
        <v>2068</v>
      </c>
      <c r="C454" s="13" t="s">
        <v>61</v>
      </c>
      <c r="D454" s="11" t="s">
        <v>19</v>
      </c>
      <c r="E454" s="12" t="s">
        <v>20</v>
      </c>
      <c r="F454" s="6" t="s">
        <v>21</v>
      </c>
      <c r="G454" s="15"/>
      <c r="H454" s="15"/>
      <c r="I454" s="13" t="s">
        <v>2069</v>
      </c>
      <c r="J454" s="34" t="s">
        <v>138</v>
      </c>
      <c r="K454" s="16" t="s">
        <v>24</v>
      </c>
      <c r="L454" s="17" t="s">
        <v>139</v>
      </c>
    </row>
    <row r="455" spans="1:12" ht="12.75" customHeight="1">
      <c r="A455" s="25" t="s">
        <v>2070</v>
      </c>
      <c r="B455" s="44" t="s">
        <v>2071</v>
      </c>
      <c r="C455" s="49" t="s">
        <v>2072</v>
      </c>
      <c r="D455" s="46" t="s">
        <v>19</v>
      </c>
      <c r="E455" s="47" t="s">
        <v>20</v>
      </c>
      <c r="F455" s="43" t="s">
        <v>21</v>
      </c>
      <c r="G455" s="79"/>
      <c r="H455" s="79"/>
      <c r="I455" s="49"/>
      <c r="J455" s="50"/>
      <c r="K455" s="204" t="s">
        <v>32</v>
      </c>
      <c r="L455" s="52"/>
    </row>
    <row r="456" spans="1:12" ht="12.75" customHeight="1">
      <c r="A456" s="25" t="s">
        <v>2073</v>
      </c>
      <c r="B456" s="44" t="s">
        <v>2074</v>
      </c>
      <c r="C456" s="49" t="s">
        <v>2075</v>
      </c>
      <c r="D456" s="46" t="s">
        <v>19</v>
      </c>
      <c r="E456" s="47" t="s">
        <v>31</v>
      </c>
      <c r="F456" s="80" t="s">
        <v>44</v>
      </c>
      <c r="G456" s="79" t="s">
        <v>2076</v>
      </c>
      <c r="H456" s="79"/>
      <c r="I456" s="49"/>
      <c r="J456" s="50"/>
      <c r="K456" s="204" t="s">
        <v>32</v>
      </c>
      <c r="L456" s="52"/>
    </row>
    <row r="457" spans="1:12" ht="12.75" customHeight="1">
      <c r="A457" s="8" t="s">
        <v>2078</v>
      </c>
      <c r="B457" s="9" t="s">
        <v>2079</v>
      </c>
      <c r="C457" s="13" t="s">
        <v>2080</v>
      </c>
      <c r="D457" s="11" t="s">
        <v>19</v>
      </c>
      <c r="E457" s="12" t="s">
        <v>20</v>
      </c>
      <c r="F457" s="6" t="s">
        <v>21</v>
      </c>
      <c r="G457" s="15"/>
      <c r="H457" s="15"/>
      <c r="I457" s="13" t="s">
        <v>2081</v>
      </c>
      <c r="J457" s="205" t="s">
        <v>2082</v>
      </c>
      <c r="K457" s="14" t="s">
        <v>54</v>
      </c>
      <c r="L457" s="17"/>
    </row>
    <row r="458" spans="1:12" ht="12.75" customHeight="1">
      <c r="A458" s="8" t="s">
        <v>2083</v>
      </c>
      <c r="B458" s="9" t="s">
        <v>2084</v>
      </c>
      <c r="C458" s="13" t="s">
        <v>2085</v>
      </c>
      <c r="D458" s="11" t="s">
        <v>19</v>
      </c>
      <c r="E458" s="12" t="s">
        <v>20</v>
      </c>
      <c r="F458" s="6" t="s">
        <v>21</v>
      </c>
      <c r="G458" s="15"/>
      <c r="H458" s="15"/>
      <c r="I458" s="13" t="s">
        <v>2086</v>
      </c>
      <c r="J458" s="18" t="s">
        <v>2087</v>
      </c>
      <c r="K458" s="14" t="s">
        <v>40</v>
      </c>
      <c r="L458" s="17"/>
    </row>
    <row r="459" spans="1:12" ht="12.75" customHeight="1">
      <c r="A459" s="8" t="s">
        <v>2088</v>
      </c>
      <c r="B459" s="9" t="s">
        <v>2089</v>
      </c>
      <c r="C459" s="13" t="s">
        <v>2090</v>
      </c>
      <c r="D459" s="11" t="s">
        <v>19</v>
      </c>
      <c r="E459" s="12" t="s">
        <v>20</v>
      </c>
      <c r="F459" s="6" t="s">
        <v>21</v>
      </c>
      <c r="G459" s="15"/>
      <c r="H459" s="15"/>
      <c r="I459" s="13" t="s">
        <v>2091</v>
      </c>
      <c r="J459" s="206" t="s">
        <v>2092</v>
      </c>
      <c r="K459" s="14" t="s">
        <v>54</v>
      </c>
      <c r="L459" s="17"/>
    </row>
    <row r="460" spans="1:12" ht="12.75" customHeight="1">
      <c r="A460" s="8" t="s">
        <v>2093</v>
      </c>
      <c r="B460" s="9" t="s">
        <v>2094</v>
      </c>
      <c r="C460" s="13" t="s">
        <v>2095</v>
      </c>
      <c r="D460" s="11" t="s">
        <v>19</v>
      </c>
      <c r="E460" s="12" t="s">
        <v>26</v>
      </c>
      <c r="F460" s="55" t="s">
        <v>36</v>
      </c>
      <c r="G460" s="15" t="s">
        <v>2096</v>
      </c>
      <c r="H460" s="15" t="s">
        <v>2074</v>
      </c>
      <c r="I460" s="13" t="s">
        <v>2097</v>
      </c>
      <c r="J460" s="18" t="s">
        <v>2098</v>
      </c>
      <c r="K460" s="14" t="s">
        <v>40</v>
      </c>
      <c r="L460" s="17"/>
    </row>
    <row r="461" spans="1:12" ht="12.75" customHeight="1">
      <c r="A461" s="8" t="s">
        <v>2077</v>
      </c>
      <c r="B461" s="9" t="s">
        <v>2099</v>
      </c>
      <c r="C461" s="13" t="s">
        <v>2100</v>
      </c>
      <c r="D461" s="11" t="s">
        <v>19</v>
      </c>
      <c r="E461" s="12" t="s">
        <v>26</v>
      </c>
      <c r="F461" s="55" t="s">
        <v>36</v>
      </c>
      <c r="G461" s="15" t="s">
        <v>2101</v>
      </c>
      <c r="H461" s="15" t="s">
        <v>2074</v>
      </c>
      <c r="I461" s="13" t="s">
        <v>2102</v>
      </c>
      <c r="J461" s="18" t="s">
        <v>374</v>
      </c>
      <c r="K461" s="16" t="s">
        <v>24</v>
      </c>
      <c r="L461" s="17" t="s">
        <v>1365</v>
      </c>
    </row>
    <row r="462" spans="1:12" ht="12.75" customHeight="1">
      <c r="A462" s="25" t="s">
        <v>2103</v>
      </c>
      <c r="B462" s="57" t="s">
        <v>2104</v>
      </c>
      <c r="C462" s="79" t="s">
        <v>2105</v>
      </c>
      <c r="D462" s="58" t="s">
        <v>19</v>
      </c>
      <c r="E462" s="47" t="s">
        <v>2106</v>
      </c>
      <c r="F462" s="80" t="s">
        <v>44</v>
      </c>
      <c r="G462" s="49" t="s">
        <v>2107</v>
      </c>
      <c r="H462" s="49"/>
      <c r="I462" s="79"/>
      <c r="J462" s="50"/>
      <c r="K462" s="49" t="s">
        <v>32</v>
      </c>
      <c r="L462" s="94"/>
    </row>
    <row r="463" spans="1:12" ht="11.25" customHeight="1">
      <c r="A463" s="8" t="s">
        <v>2109</v>
      </c>
      <c r="B463" s="7" t="s">
        <v>2110</v>
      </c>
      <c r="C463" s="15" t="s">
        <v>2111</v>
      </c>
      <c r="D463" s="61" t="s">
        <v>19</v>
      </c>
      <c r="E463" s="12" t="s">
        <v>20</v>
      </c>
      <c r="F463" s="6" t="s">
        <v>21</v>
      </c>
      <c r="G463" s="13"/>
      <c r="H463" s="13"/>
      <c r="I463" s="15" t="s">
        <v>2112</v>
      </c>
      <c r="J463" s="18" t="s">
        <v>2113</v>
      </c>
      <c r="K463" s="14" t="s">
        <v>40</v>
      </c>
      <c r="L463" s="33"/>
    </row>
    <row r="464" spans="1:12" ht="12" customHeight="1">
      <c r="A464" s="8" t="s">
        <v>2114</v>
      </c>
      <c r="B464" s="7" t="s">
        <v>2115</v>
      </c>
      <c r="C464" s="15" t="s">
        <v>2116</v>
      </c>
      <c r="D464" s="61" t="s">
        <v>19</v>
      </c>
      <c r="E464" s="12" t="s">
        <v>20</v>
      </c>
      <c r="F464" s="6" t="s">
        <v>21</v>
      </c>
      <c r="G464" s="13"/>
      <c r="H464" s="13"/>
      <c r="I464" s="15" t="s">
        <v>2117</v>
      </c>
      <c r="J464" s="15" t="s">
        <v>643</v>
      </c>
      <c r="K464" s="14" t="s">
        <v>54</v>
      </c>
      <c r="L464" s="33"/>
    </row>
    <row r="465" spans="1:12" ht="12" customHeight="1">
      <c r="A465" s="8" t="s">
        <v>2118</v>
      </c>
      <c r="B465" s="7" t="s">
        <v>2108</v>
      </c>
      <c r="C465" s="15" t="s">
        <v>2119</v>
      </c>
      <c r="D465" s="61" t="s">
        <v>19</v>
      </c>
      <c r="E465" s="12" t="s">
        <v>26</v>
      </c>
      <c r="F465" s="55" t="s">
        <v>36</v>
      </c>
      <c r="G465" s="15" t="s">
        <v>2101</v>
      </c>
      <c r="H465" s="15" t="s">
        <v>2074</v>
      </c>
      <c r="I465" s="15" t="s">
        <v>2120</v>
      </c>
      <c r="J465" s="18" t="s">
        <v>374</v>
      </c>
      <c r="K465" s="16" t="s">
        <v>24</v>
      </c>
      <c r="L465" s="17" t="s">
        <v>1365</v>
      </c>
    </row>
    <row r="466" spans="1:12" ht="12" customHeight="1">
      <c r="A466" s="198" t="s">
        <v>2121</v>
      </c>
      <c r="B466" s="9" t="s">
        <v>2122</v>
      </c>
      <c r="C466" s="13" t="s">
        <v>2123</v>
      </c>
      <c r="D466" s="11" t="s">
        <v>20</v>
      </c>
      <c r="E466" s="12" t="s">
        <v>20</v>
      </c>
      <c r="F466" s="124" t="s">
        <v>21</v>
      </c>
      <c r="G466" s="15"/>
      <c r="H466" s="15"/>
      <c r="I466" s="13" t="s">
        <v>2124</v>
      </c>
      <c r="J466" s="18" t="s">
        <v>492</v>
      </c>
      <c r="K466" s="95" t="s">
        <v>92</v>
      </c>
      <c r="L466" s="17"/>
    </row>
    <row r="467" spans="1:12" ht="12" customHeight="1">
      <c r="A467" s="198" t="s">
        <v>2125</v>
      </c>
      <c r="B467" s="9" t="s">
        <v>2126</v>
      </c>
      <c r="C467" s="13" t="s">
        <v>2127</v>
      </c>
      <c r="D467" s="11" t="s">
        <v>26</v>
      </c>
      <c r="E467" s="12" t="s">
        <v>26</v>
      </c>
      <c r="F467" s="55" t="s">
        <v>36</v>
      </c>
      <c r="G467" s="13" t="s">
        <v>1997</v>
      </c>
      <c r="H467" s="15" t="s">
        <v>1899</v>
      </c>
      <c r="I467" s="13" t="s">
        <v>2128</v>
      </c>
      <c r="J467" s="18" t="s">
        <v>2129</v>
      </c>
      <c r="K467" s="14" t="s">
        <v>40</v>
      </c>
      <c r="L467" s="17"/>
    </row>
    <row r="468" spans="1:12" ht="12.75" customHeight="1">
      <c r="A468" s="8" t="s">
        <v>2130</v>
      </c>
      <c r="B468" s="114" t="s">
        <v>2131</v>
      </c>
      <c r="C468" s="115" t="s">
        <v>1168</v>
      </c>
      <c r="D468" s="11" t="s">
        <v>19</v>
      </c>
      <c r="E468" s="12" t="s">
        <v>20</v>
      </c>
      <c r="F468" s="124" t="s">
        <v>21</v>
      </c>
      <c r="G468" s="13"/>
      <c r="H468" s="13"/>
      <c r="I468" s="115" t="s">
        <v>2132</v>
      </c>
      <c r="J468" s="126" t="s">
        <v>1170</v>
      </c>
      <c r="K468" s="16" t="s">
        <v>24</v>
      </c>
      <c r="L468" s="17" t="s">
        <v>2133</v>
      </c>
    </row>
    <row r="469" spans="1:12" ht="12.75" customHeight="1">
      <c r="A469" s="8" t="s">
        <v>2134</v>
      </c>
      <c r="B469" s="9" t="s">
        <v>2135</v>
      </c>
      <c r="C469" s="13" t="s">
        <v>2136</v>
      </c>
      <c r="D469" s="11" t="s">
        <v>19</v>
      </c>
      <c r="E469" s="12" t="s">
        <v>20</v>
      </c>
      <c r="F469" s="6" t="s">
        <v>21</v>
      </c>
      <c r="G469" s="13"/>
      <c r="H469" s="13"/>
      <c r="I469" s="13" t="s">
        <v>2137</v>
      </c>
      <c r="J469" s="15" t="s">
        <v>2138</v>
      </c>
      <c r="K469" s="14" t="s">
        <v>40</v>
      </c>
      <c r="L469" s="33"/>
    </row>
    <row r="470" spans="1:12" ht="12.75" customHeight="1">
      <c r="A470" s="8" t="s">
        <v>2139</v>
      </c>
      <c r="B470" s="9" t="s">
        <v>2140</v>
      </c>
      <c r="C470" s="13" t="s">
        <v>2141</v>
      </c>
      <c r="D470" s="11" t="s">
        <v>19</v>
      </c>
      <c r="E470" s="12" t="s">
        <v>20</v>
      </c>
      <c r="F470" s="6" t="s">
        <v>21</v>
      </c>
      <c r="G470" s="13"/>
      <c r="H470" s="13"/>
      <c r="I470" s="13" t="s">
        <v>2142</v>
      </c>
      <c r="J470" s="15" t="s">
        <v>2143</v>
      </c>
      <c r="K470" s="14" t="s">
        <v>40</v>
      </c>
      <c r="L470" s="33"/>
    </row>
    <row r="471" spans="1:12" ht="12.75" customHeight="1">
      <c r="A471" s="8" t="s">
        <v>2144</v>
      </c>
      <c r="B471" s="9" t="s">
        <v>2145</v>
      </c>
      <c r="C471" s="13" t="s">
        <v>2146</v>
      </c>
      <c r="D471" s="11" t="s">
        <v>19</v>
      </c>
      <c r="E471" s="12" t="s">
        <v>20</v>
      </c>
      <c r="F471" s="124" t="s">
        <v>21</v>
      </c>
      <c r="G471" s="13"/>
      <c r="H471" s="13"/>
      <c r="I471" s="13" t="s">
        <v>2147</v>
      </c>
      <c r="J471" s="18" t="s">
        <v>2148</v>
      </c>
      <c r="K471" s="14" t="s">
        <v>40</v>
      </c>
      <c r="L471" s="17"/>
    </row>
    <row r="472" spans="1:12" ht="12.75" customHeight="1">
      <c r="A472" s="8" t="s">
        <v>2149</v>
      </c>
      <c r="B472" s="9" t="s">
        <v>2150</v>
      </c>
      <c r="C472" s="13" t="s">
        <v>2151</v>
      </c>
      <c r="D472" s="11" t="s">
        <v>19</v>
      </c>
      <c r="E472" s="12" t="s">
        <v>20</v>
      </c>
      <c r="F472" s="124" t="s">
        <v>21</v>
      </c>
      <c r="G472" s="13"/>
      <c r="H472" s="13"/>
      <c r="I472" s="13" t="s">
        <v>2152</v>
      </c>
      <c r="J472" s="59" t="s">
        <v>2153</v>
      </c>
      <c r="K472" s="14" t="s">
        <v>54</v>
      </c>
      <c r="L472" s="17"/>
    </row>
    <row r="473" spans="1:12" ht="12.75" customHeight="1">
      <c r="A473" s="8" t="s">
        <v>2154</v>
      </c>
      <c r="B473" s="7" t="s">
        <v>2155</v>
      </c>
      <c r="C473" s="15" t="s">
        <v>2156</v>
      </c>
      <c r="D473" s="11" t="s">
        <v>19</v>
      </c>
      <c r="E473" s="12" t="s">
        <v>20</v>
      </c>
      <c r="F473" s="124" t="s">
        <v>21</v>
      </c>
      <c r="G473" s="13"/>
      <c r="H473" s="13"/>
      <c r="I473" s="15" t="s">
        <v>2157</v>
      </c>
      <c r="J473" s="15" t="s">
        <v>1191</v>
      </c>
      <c r="K473" s="14" t="s">
        <v>24</v>
      </c>
      <c r="L473" s="17" t="s">
        <v>1193</v>
      </c>
    </row>
    <row r="474" spans="1:12" ht="12.75" customHeight="1">
      <c r="A474" s="8" t="s">
        <v>2158</v>
      </c>
      <c r="B474" s="9" t="s">
        <v>2159</v>
      </c>
      <c r="C474" s="13" t="s">
        <v>1196</v>
      </c>
      <c r="D474" s="11" t="s">
        <v>19</v>
      </c>
      <c r="E474" s="12" t="s">
        <v>20</v>
      </c>
      <c r="F474" s="6" t="s">
        <v>21</v>
      </c>
      <c r="G474" s="13"/>
      <c r="H474" s="13"/>
      <c r="I474" s="13" t="s">
        <v>1198</v>
      </c>
      <c r="J474" s="15" t="s">
        <v>2138</v>
      </c>
      <c r="K474" s="14" t="s">
        <v>40</v>
      </c>
      <c r="L474" s="33"/>
    </row>
    <row r="475" spans="1:12" ht="12.75" customHeight="1">
      <c r="A475" s="8" t="s">
        <v>2160</v>
      </c>
      <c r="B475" s="9" t="s">
        <v>2161</v>
      </c>
      <c r="C475" s="13" t="s">
        <v>2162</v>
      </c>
      <c r="D475" s="11" t="s">
        <v>19</v>
      </c>
      <c r="E475" s="12" t="s">
        <v>20</v>
      </c>
      <c r="F475" s="6" t="s">
        <v>21</v>
      </c>
      <c r="G475" s="13"/>
      <c r="H475" s="13"/>
      <c r="I475" s="13" t="s">
        <v>1202</v>
      </c>
      <c r="J475" s="15" t="s">
        <v>2143</v>
      </c>
      <c r="K475" s="14" t="s">
        <v>40</v>
      </c>
      <c r="L475" s="33"/>
    </row>
    <row r="476" spans="1:12" ht="12.75" customHeight="1">
      <c r="A476" s="73" t="s">
        <v>2163</v>
      </c>
      <c r="B476" s="9" t="s">
        <v>2164</v>
      </c>
      <c r="C476" s="13" t="s">
        <v>2165</v>
      </c>
      <c r="D476" s="11" t="s">
        <v>26</v>
      </c>
      <c r="E476" s="12" t="s">
        <v>26</v>
      </c>
      <c r="F476" s="20" t="s">
        <v>27</v>
      </c>
      <c r="G476" s="13"/>
      <c r="H476" s="13"/>
      <c r="I476" s="14" t="s">
        <v>2166</v>
      </c>
      <c r="J476" s="18" t="s">
        <v>2167</v>
      </c>
      <c r="K476" s="14" t="s">
        <v>40</v>
      </c>
      <c r="L476" s="17"/>
    </row>
  </sheetData>
  <autoFilter ref="C1:C476" xr:uid="{00000000-0009-0000-0000-000001000000}"/>
  <hyperlinks>
    <hyperlink ref="J4" r:id="rId1" xr:uid="{00000000-0004-0000-0100-000006000000}"/>
    <hyperlink ref="J6" r:id="rId2" xr:uid="{00000000-0004-0000-0100-000007000000}"/>
    <hyperlink ref="J21" r:id="rId3" xr:uid="{00000000-0004-0000-0100-000008000000}"/>
    <hyperlink ref="A33" r:id="rId4" location="contact_id_identifier" xr:uid="{00000000-0004-0000-0100-000009000000}"/>
    <hyperlink ref="J35" r:id="rId5" xr:uid="{00000000-0004-0000-0100-00000A000000}"/>
    <hyperlink ref="A37" r:id="rId6" location="contact_id_type" xr:uid="{00000000-0004-0000-0100-00000B000000}"/>
    <hyperlink ref="A41" r:id="rId7" location="dmp_contact_mbox" xr:uid="{00000000-0004-0000-0100-00000C000000}"/>
    <hyperlink ref="A42" r:id="rId8" location="dmp_contact_name" xr:uid="{00000000-0004-0000-0100-00000D000000}"/>
    <hyperlink ref="J47" r:id="rId9" xr:uid="{00000000-0004-0000-0100-00000E000000}"/>
    <hyperlink ref="J53" r:id="rId10" xr:uid="{00000000-0004-0000-0100-00000F000000}"/>
    <hyperlink ref="A64" r:id="rId11" location="contributor_id_id" xr:uid="{00000000-0004-0000-0100-000012000000}"/>
    <hyperlink ref="A65" r:id="rId12" location="contributor_id_id" xr:uid="{00000000-0004-0000-0100-000013000000}"/>
    <hyperlink ref="J67" r:id="rId13" xr:uid="{00000000-0004-0000-0100-000014000000}"/>
    <hyperlink ref="A69" r:id="rId14" location="contributor_id_type" xr:uid="{00000000-0004-0000-0100-000015000000}"/>
    <hyperlink ref="A73" r:id="rId15" location="dmp_contributor_mbox" xr:uid="{00000000-0004-0000-0100-000016000000}"/>
    <hyperlink ref="A74" r:id="rId16" location="dmp_contributor_name" xr:uid="{00000000-0004-0000-0100-000017000000}"/>
    <hyperlink ref="A77" r:id="rId17" location="dmp_contributor_role" xr:uid="{00000000-0004-0000-0100-000018000000}"/>
    <hyperlink ref="J79" r:id="rId18" xr:uid="{00000000-0004-0000-0100-000019000000}"/>
    <hyperlink ref="J82" r:id="rId19" xr:uid="{00000000-0004-0000-0100-00001A000000}"/>
    <hyperlink ref="J83" r:id="rId20" xr:uid="{00000000-0004-0000-0100-00001B000000}"/>
    <hyperlink ref="A85" r:id="rId21" location="cost_unit" xr:uid="{00000000-0004-0000-0100-00001C000000}"/>
    <hyperlink ref="A86" r:id="rId22" location="cost_description" xr:uid="{00000000-0004-0000-0100-00001D000000}"/>
    <hyperlink ref="A87" r:id="rId23" location="cost_title" xr:uid="{00000000-0004-0000-0100-00001E000000}"/>
    <hyperlink ref="A88" r:id="rId24" location="cost_value" xr:uid="{00000000-0004-0000-0100-00001F000000}"/>
    <hyperlink ref="A89" r:id="rId25" location="dmp_created" xr:uid="{00000000-0004-0000-0100-000020000000}"/>
    <hyperlink ref="J94" r:id="rId26" xr:uid="{00000000-0004-0000-0100-000021000000}"/>
    <hyperlink ref="J112" r:id="rId27" xr:uid="{00000000-0004-0000-0100-000022000000}"/>
    <hyperlink ref="J125" r:id="rId28" xr:uid="{00000000-0004-0000-0100-000023000000}"/>
    <hyperlink ref="A133" r:id="rId29" location="dataset_quality_assurance" xr:uid="{00000000-0004-0000-0100-000024000000}"/>
    <hyperlink ref="A140" r:id="rId30" location="dataset_id_id" xr:uid="{00000000-0004-0000-0100-000025000000}"/>
    <hyperlink ref="J142" r:id="rId31" xr:uid="{00000000-0004-0000-0100-000026000000}"/>
    <hyperlink ref="A144" r:id="rId32" location="dataset_id_type" xr:uid="{00000000-0004-0000-0100-000027000000}"/>
    <hyperlink ref="A145" r:id="rId33" location="dataset_description" xr:uid="{00000000-0004-0000-0100-000028000000}"/>
    <hyperlink ref="J161" r:id="rId34" xr:uid="{00000000-0004-0000-0100-000029000000}"/>
    <hyperlink ref="A174" r:id="rId35" location="distribution_access_url" xr:uid="{00000000-0004-0000-0100-00002A000000}"/>
    <hyperlink ref="A175" r:id="rId36" location="distribution_available_until" xr:uid="{00000000-0004-0000-0100-00002B000000}"/>
    <hyperlink ref="A176" r:id="rId37" location="distribution_byte_size" xr:uid="{00000000-0004-0000-0100-00002C000000}"/>
    <hyperlink ref="C179" r:id="rId38" location="List_of_blocks" xr:uid="{00000000-0004-0000-0100-00002D000000}"/>
    <hyperlink ref="A187" r:id="rId39" location="distribution_data_access" xr:uid="{00000000-0004-0000-0100-00002E000000}"/>
    <hyperlink ref="C187" r:id="rId40" xr:uid="{00000000-0004-0000-0100-00002F000000}"/>
    <hyperlink ref="A191" r:id="rId41" location="distribution_description" xr:uid="{00000000-0004-0000-0100-000030000000}"/>
    <hyperlink ref="J196" r:id="rId42" xr:uid="{00000000-0004-0000-0100-000031000000}"/>
    <hyperlink ref="A199" r:id="rId43" location="distribution_download_url" xr:uid="{00000000-0004-0000-0100-000032000000}"/>
    <hyperlink ref="J199" r:id="rId44" xr:uid="{00000000-0004-0000-0100-000033000000}"/>
    <hyperlink ref="A202" r:id="rId45" location="distribution_format" xr:uid="{00000000-0004-0000-0100-000034000000}"/>
    <hyperlink ref="J227" r:id="rId46" xr:uid="{00000000-0004-0000-0100-000035000000}"/>
    <hyperlink ref="A231" r:id="rId47" location="license_ref" xr:uid="{00000000-0004-0000-0100-000036000000}"/>
    <hyperlink ref="J231" r:id="rId48" xr:uid="{00000000-0004-0000-0100-000037000000}"/>
    <hyperlink ref="A232" r:id="rId49" location="license_start_date" xr:uid="{00000000-0004-0000-0100-000038000000}"/>
    <hyperlink ref="A233" r:id="rId50" location=":~:text=linked%2Dopen%2Ddata-,Tim%20Berners%2DLee%2C%20the%20inventor%20of%20the%20Web%20and%20initiator,the%20Web%2C%20in%20whatever%20format." xr:uid="{00000000-0004-0000-0100-000039000000}"/>
    <hyperlink ref="A263" r:id="rId51" location="distribution_title" xr:uid="{00000000-0004-0000-0100-00003A000000}"/>
    <hyperlink ref="A278" r:id="rId52" location="dataset_issued" xr:uid="{00000000-0004-0000-0100-00003B000000}"/>
    <hyperlink ref="A279" r:id="rId53" location="dataset_keyword" xr:uid="{00000000-0004-0000-0100-00003C000000}"/>
    <hyperlink ref="A280" r:id="rId54" location="dataset_language" xr:uid="{00000000-0004-0000-0100-00003D000000}"/>
    <hyperlink ref="A282" r:id="rId55" location="metadata_description" xr:uid="{00000000-0004-0000-0100-00003E000000}"/>
    <hyperlink ref="A283" r:id="rId56" location="metadata_language" xr:uid="{00000000-0004-0000-0100-00003F000000}"/>
    <hyperlink ref="A285" r:id="rId57" location="metadata_id_id" xr:uid="{00000000-0004-0000-0100-000040000000}"/>
    <hyperlink ref="J287" r:id="rId58" xr:uid="{00000000-0004-0000-0100-000041000000}"/>
    <hyperlink ref="A289" r:id="rId59" location="metadata_id_type" xr:uid="{00000000-0004-0000-0100-000042000000}"/>
    <hyperlink ref="A291" r:id="rId60" location="dataset_personal_data" xr:uid="{00000000-0004-0000-0100-000043000000}"/>
    <hyperlink ref="A292" r:id="rId61" location="dataset_preservation" xr:uid="{00000000-0004-0000-0100-000044000000}"/>
    <hyperlink ref="J294" r:id="rId62" xr:uid="{00000000-0004-0000-0100-000046000000}"/>
    <hyperlink ref="J300" r:id="rId63" xr:uid="{00000000-0004-0000-0100-000048000000}"/>
    <hyperlink ref="A302" r:id="rId64" location="dataset_rights" xr:uid="{00000000-0004-0000-0100-000049000000}"/>
    <hyperlink ref="A304" r:id="rId65" location="sp_description" xr:uid="{00000000-0004-0000-0100-00004A000000}"/>
    <hyperlink ref="A311" r:id="rId66" location="sp_title" xr:uid="{00000000-0004-0000-0100-00004B000000}"/>
    <hyperlink ref="A312" r:id="rId67" location="dataset_sensitive_data" xr:uid="{00000000-0004-0000-0100-00004C000000}"/>
    <hyperlink ref="J315" r:id="rId68" xr:uid="{00000000-0004-0000-0100-00004D000000}"/>
    <hyperlink ref="C317" r:id="rId69" xr:uid="{00000000-0004-0000-0100-00004E000000}"/>
    <hyperlink ref="J317" r:id="rId70" xr:uid="{00000000-0004-0000-0100-00004F000000}"/>
    <hyperlink ref="J321" r:id="rId71" xr:uid="{00000000-0004-0000-0100-000050000000}"/>
    <hyperlink ref="A341" r:id="rId72" location="technical_resource_description" xr:uid="{00000000-0004-0000-0100-000051000000}"/>
    <hyperlink ref="A353" r:id="rId73" location="technical_resource_name" xr:uid="{00000000-0004-0000-0100-000052000000}"/>
    <hyperlink ref="J358" r:id="rId74" xr:uid="{00000000-0004-0000-0100-000053000000}"/>
    <hyperlink ref="A373" r:id="rId75" location="dataset_title" xr:uid="{00000000-0004-0000-0100-000054000000}"/>
    <hyperlink ref="A374" r:id="rId76" location="dataset_type" xr:uid="{00000000-0004-0000-0100-000055000000}"/>
    <hyperlink ref="C374" r:id="rId77" xr:uid="{00000000-0004-0000-0100-000056000000}"/>
    <hyperlink ref="A375" r:id="rId78" location="dmp_description" xr:uid="{00000000-0004-0000-0100-000057000000}"/>
    <hyperlink ref="A377" r:id="rId79" location="dmp_id_id" xr:uid="{00000000-0004-0000-0100-000058000000}"/>
    <hyperlink ref="J377" r:id="rId80" xr:uid="{00000000-0004-0000-0100-000059000000}"/>
    <hyperlink ref="J379" r:id="rId81" xr:uid="{00000000-0004-0000-0100-00005A000000}"/>
    <hyperlink ref="A381" r:id="rId82" location="dmp_id_type" xr:uid="{00000000-0004-0000-0100-00005B000000}"/>
    <hyperlink ref="A382" r:id="rId83" location="ethical_issues_description" xr:uid="{00000000-0004-0000-0100-00005C000000}"/>
    <hyperlink ref="A383" r:id="rId84" location="ethical_issues_exist" xr:uid="{00000000-0004-0000-0100-00005D000000}"/>
    <hyperlink ref="A384" r:id="rId85" location="ethical_issues_report" xr:uid="{00000000-0004-0000-0100-00005E000000}"/>
    <hyperlink ref="J384" r:id="rId86" xr:uid="{00000000-0004-0000-0100-00005F000000}"/>
    <hyperlink ref="L395" r:id="rId87" xr:uid="{00000000-0004-0000-0100-000060000000}"/>
    <hyperlink ref="C396" r:id="rId88" xr:uid="{00000000-0004-0000-0100-000061000000}"/>
    <hyperlink ref="L396" r:id="rId89" xr:uid="{00000000-0004-0000-0100-000062000000}"/>
    <hyperlink ref="A402" r:id="rId90" location="dmp_language" xr:uid="{00000000-0004-0000-0100-000063000000}"/>
    <hyperlink ref="J405" r:id="rId91" xr:uid="{00000000-0004-0000-0100-000064000000}"/>
    <hyperlink ref="J407" r:id="rId92" xr:uid="{00000000-0004-0000-0100-000065000000}"/>
    <hyperlink ref="A413" r:id="rId93" location="dmp_modified" xr:uid="{00000000-0004-0000-0100-000066000000}"/>
    <hyperlink ref="A418" r:id="rId94" location="project_description" xr:uid="{00000000-0004-0000-0100-000067000000}"/>
    <hyperlink ref="A419" r:id="rId95" location="project_end" xr:uid="{00000000-0004-0000-0100-000068000000}"/>
    <hyperlink ref="A420" r:id="rId96" location="funding_table" xr:uid="{00000000-0004-0000-0100-000069000000}"/>
    <hyperlink ref="A422" r:id="rId97" location="funder_id_id" xr:uid="{00000000-0004-0000-0100-00006A000000}"/>
    <hyperlink ref="J424" r:id="rId98" xr:uid="{00000000-0004-0000-0100-00006B000000}"/>
    <hyperlink ref="A426" r:id="rId99" location="funder_id_type" xr:uid="{00000000-0004-0000-0100-00006C000000}"/>
    <hyperlink ref="A427" r:id="rId100" location="funding_status" xr:uid="{00000000-0004-0000-0100-00006D000000}"/>
    <hyperlink ref="A429" r:id="rId101" location="grant_id_id" xr:uid="{00000000-0004-0000-0100-00006E000000}"/>
    <hyperlink ref="J431" r:id="rId102" xr:uid="{00000000-0004-0000-0100-00006F000000}"/>
    <hyperlink ref="A433" r:id="rId103" location="grant_id_type" xr:uid="{00000000-0004-0000-0100-000070000000}"/>
    <hyperlink ref="J440" r:id="rId104" xr:uid="{00000000-0004-0000-0100-000071000000}"/>
    <hyperlink ref="J452" r:id="rId105" xr:uid="{00000000-0004-0000-0100-000072000000}"/>
    <hyperlink ref="J457" r:id="rId106" xr:uid="{00000000-0004-0000-0100-000073000000}"/>
    <hyperlink ref="J459" r:id="rId107" xr:uid="{00000000-0004-0000-0100-000074000000}"/>
    <hyperlink ref="A466" r:id="rId108" location="project_start" xr:uid="{00000000-0004-0000-0100-000075000000}"/>
    <hyperlink ref="A467" r:id="rId109" location="project_title" xr:uid="{00000000-0004-0000-0100-000076000000}"/>
    <hyperlink ref="J472" r:id="rId110" xr:uid="{00000000-0004-0000-0100-000077000000}"/>
    <hyperlink ref="A476" r:id="rId111" location="dmp_title" xr:uid="{00000000-0004-0000-0100-000078000000}"/>
  </hyperlinks>
  <pageMargins left="0.7" right="0.7" top="0.75" bottom="0.75" header="0.3" footer="0.3"/>
  <drawing r:id="rId112"/>
  <legacyDrawing r:id="rId113"/>
  <tableParts count="1">
    <tablePart r:id="rId1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H1002"/>
  <sheetViews>
    <sheetView workbookViewId="0">
      <pane ySplit="1" topLeftCell="A2" activePane="bottomLeft" state="frozen"/>
      <selection pane="bottomLeft" activeCell="B3" sqref="B3"/>
    </sheetView>
  </sheetViews>
  <sheetFormatPr baseColWidth="10" defaultColWidth="12.5703125" defaultRowHeight="15.75" customHeight="1"/>
  <cols>
    <col min="2" max="2" width="39.42578125" customWidth="1"/>
    <col min="3" max="3" width="38.7109375" customWidth="1"/>
  </cols>
  <sheetData>
    <row r="1" spans="1:34" ht="51">
      <c r="A1" s="210" t="s">
        <v>2195</v>
      </c>
      <c r="B1" s="211" t="s">
        <v>2196</v>
      </c>
      <c r="C1" s="212" t="s">
        <v>2197</v>
      </c>
      <c r="D1" s="210" t="s">
        <v>2198</v>
      </c>
      <c r="E1" s="210"/>
      <c r="F1" s="210" t="s">
        <v>2199</v>
      </c>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row>
    <row r="2" spans="1:34" ht="12.75">
      <c r="A2" s="210" t="s">
        <v>2200</v>
      </c>
      <c r="B2" s="213"/>
      <c r="C2" s="214"/>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row>
    <row r="3" spans="1:34" ht="12.75">
      <c r="A3" s="210" t="s">
        <v>2201</v>
      </c>
      <c r="B3" s="213"/>
      <c r="C3" s="214"/>
      <c r="D3" s="210"/>
      <c r="E3" s="210"/>
      <c r="F3" s="210"/>
      <c r="G3" s="210"/>
      <c r="H3" s="210"/>
      <c r="I3" s="210"/>
      <c r="J3" s="210"/>
      <c r="K3" s="210"/>
      <c r="L3" s="210"/>
      <c r="M3" s="210"/>
      <c r="N3" s="210"/>
      <c r="O3" s="210"/>
      <c r="P3" s="210"/>
      <c r="Q3" s="210"/>
      <c r="R3" s="210"/>
      <c r="S3" s="210"/>
      <c r="T3" s="210"/>
      <c r="U3" s="210"/>
      <c r="V3" s="210"/>
      <c r="W3" s="210"/>
      <c r="X3" s="210"/>
      <c r="Y3" s="210"/>
      <c r="Z3" s="210"/>
      <c r="AA3" s="210"/>
      <c r="AB3" s="210"/>
      <c r="AC3" s="210"/>
      <c r="AD3" s="210"/>
      <c r="AE3" s="210"/>
      <c r="AF3" s="210"/>
      <c r="AG3" s="210"/>
      <c r="AH3" s="210"/>
    </row>
    <row r="4" spans="1:34" ht="12.75">
      <c r="A4" s="210" t="s">
        <v>2202</v>
      </c>
      <c r="B4" s="213" t="s">
        <v>2203</v>
      </c>
      <c r="C4" s="215" t="s">
        <v>2204</v>
      </c>
      <c r="D4" s="210" t="s">
        <v>2205</v>
      </c>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row>
    <row r="5" spans="1:34" ht="12.75">
      <c r="A5" s="210" t="s">
        <v>2206</v>
      </c>
      <c r="B5" s="216" t="s">
        <v>2207</v>
      </c>
      <c r="C5" s="215" t="s">
        <v>2204</v>
      </c>
      <c r="D5" s="210" t="s">
        <v>2205</v>
      </c>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row>
    <row r="6" spans="1:34" ht="12.75">
      <c r="A6" s="210" t="s">
        <v>2208</v>
      </c>
      <c r="B6" s="217" t="s">
        <v>2209</v>
      </c>
      <c r="C6" s="215" t="s">
        <v>2204</v>
      </c>
      <c r="D6" s="210" t="s">
        <v>2205</v>
      </c>
      <c r="E6" s="210"/>
      <c r="F6" s="210"/>
      <c r="G6" s="210"/>
      <c r="H6" s="210"/>
      <c r="I6" s="210"/>
      <c r="J6" s="210"/>
      <c r="K6" s="210"/>
      <c r="L6" s="210"/>
      <c r="M6" s="210"/>
      <c r="N6" s="210"/>
      <c r="O6" s="210"/>
      <c r="P6" s="210"/>
      <c r="Q6" s="210"/>
      <c r="R6" s="210"/>
      <c r="S6" s="210"/>
      <c r="T6" s="210"/>
      <c r="U6" s="210"/>
      <c r="V6" s="210"/>
      <c r="W6" s="210"/>
      <c r="X6" s="210"/>
      <c r="Y6" s="210"/>
      <c r="Z6" s="210"/>
      <c r="AA6" s="210"/>
      <c r="AB6" s="210"/>
      <c r="AC6" s="210"/>
      <c r="AD6" s="210"/>
      <c r="AE6" s="210"/>
      <c r="AF6" s="210"/>
      <c r="AG6" s="210"/>
      <c r="AH6" s="210"/>
    </row>
    <row r="7" spans="1:34" ht="12.75">
      <c r="A7" s="210" t="s">
        <v>2210</v>
      </c>
      <c r="B7" s="218" t="s">
        <v>2211</v>
      </c>
      <c r="C7" s="215" t="s">
        <v>2204</v>
      </c>
      <c r="D7" s="210" t="s">
        <v>2205</v>
      </c>
      <c r="E7" s="210"/>
      <c r="F7" s="210"/>
      <c r="G7" s="210"/>
      <c r="H7" s="210"/>
      <c r="I7" s="210"/>
      <c r="J7" s="210"/>
      <c r="K7" s="210"/>
      <c r="L7" s="210"/>
      <c r="M7" s="210"/>
      <c r="N7" s="210"/>
      <c r="O7" s="210"/>
      <c r="P7" s="210"/>
      <c r="Q7" s="210"/>
      <c r="R7" s="210"/>
      <c r="S7" s="210"/>
      <c r="T7" s="210"/>
      <c r="U7" s="210"/>
      <c r="V7" s="210"/>
      <c r="W7" s="210"/>
      <c r="X7" s="210"/>
      <c r="Y7" s="210"/>
      <c r="Z7" s="210"/>
      <c r="AA7" s="210"/>
      <c r="AB7" s="210"/>
      <c r="AC7" s="210"/>
      <c r="AD7" s="210"/>
      <c r="AE7" s="210"/>
      <c r="AF7" s="210"/>
      <c r="AG7" s="210"/>
      <c r="AH7" s="210"/>
    </row>
    <row r="8" spans="1:34" ht="12.75">
      <c r="A8" s="210" t="s">
        <v>2212</v>
      </c>
      <c r="B8" s="218" t="s">
        <v>2213</v>
      </c>
      <c r="C8" s="215" t="s">
        <v>2204</v>
      </c>
      <c r="D8" s="210" t="s">
        <v>2205</v>
      </c>
      <c r="E8" s="210"/>
      <c r="F8" s="210"/>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row>
    <row r="9" spans="1:34" ht="12.75">
      <c r="A9" s="210" t="s">
        <v>2214</v>
      </c>
      <c r="B9" s="218" t="s">
        <v>2215</v>
      </c>
      <c r="C9" s="215" t="s">
        <v>2204</v>
      </c>
      <c r="D9" s="210" t="s">
        <v>2205</v>
      </c>
      <c r="E9" s="210"/>
      <c r="F9" s="210"/>
      <c r="G9" s="210"/>
      <c r="H9" s="210"/>
      <c r="I9" s="210"/>
      <c r="J9" s="210"/>
      <c r="K9" s="210"/>
      <c r="L9" s="210"/>
      <c r="M9" s="210"/>
      <c r="N9" s="210"/>
      <c r="O9" s="210"/>
      <c r="P9" s="210"/>
      <c r="Q9" s="210"/>
      <c r="R9" s="210"/>
      <c r="S9" s="210"/>
      <c r="T9" s="210"/>
      <c r="U9" s="210"/>
      <c r="V9" s="210"/>
      <c r="W9" s="210"/>
      <c r="X9" s="210"/>
      <c r="Y9" s="210"/>
      <c r="Z9" s="210"/>
      <c r="AA9" s="210"/>
      <c r="AB9" s="210"/>
      <c r="AC9" s="210"/>
      <c r="AD9" s="210"/>
      <c r="AE9" s="210"/>
      <c r="AF9" s="210"/>
      <c r="AG9" s="210"/>
      <c r="AH9" s="210"/>
    </row>
    <row r="10" spans="1:34" ht="12.75">
      <c r="A10" s="210" t="s">
        <v>2216</v>
      </c>
      <c r="B10" s="217" t="s">
        <v>2217</v>
      </c>
      <c r="C10" s="215" t="s">
        <v>2204</v>
      </c>
      <c r="D10" s="210" t="s">
        <v>2205</v>
      </c>
      <c r="E10" s="210"/>
      <c r="F10" s="210"/>
      <c r="G10" s="210"/>
      <c r="H10" s="210"/>
      <c r="I10" s="210"/>
      <c r="J10" s="210"/>
      <c r="K10" s="210"/>
      <c r="L10" s="210"/>
      <c r="M10" s="210"/>
      <c r="N10" s="210"/>
      <c r="O10" s="210"/>
      <c r="P10" s="210"/>
      <c r="Q10" s="210"/>
      <c r="R10" s="210"/>
      <c r="S10" s="210"/>
      <c r="T10" s="210"/>
      <c r="U10" s="210"/>
      <c r="V10" s="210"/>
      <c r="W10" s="210"/>
      <c r="X10" s="210"/>
      <c r="Y10" s="210"/>
      <c r="Z10" s="210"/>
      <c r="AA10" s="210"/>
      <c r="AB10" s="210"/>
      <c r="AC10" s="210"/>
      <c r="AD10" s="210"/>
      <c r="AE10" s="210"/>
      <c r="AF10" s="210"/>
      <c r="AG10" s="210"/>
      <c r="AH10" s="210"/>
    </row>
    <row r="11" spans="1:34" ht="12.75">
      <c r="A11" s="210" t="s">
        <v>2218</v>
      </c>
      <c r="B11" s="217" t="s">
        <v>2219</v>
      </c>
      <c r="C11" s="215" t="s">
        <v>2204</v>
      </c>
      <c r="D11" s="210" t="s">
        <v>2205</v>
      </c>
      <c r="E11" s="210"/>
      <c r="F11" s="210"/>
      <c r="G11" s="210"/>
      <c r="H11" s="210"/>
      <c r="I11" s="210"/>
      <c r="J11" s="210"/>
      <c r="K11" s="210"/>
      <c r="L11" s="210"/>
      <c r="M11" s="210"/>
      <c r="N11" s="210"/>
      <c r="O11" s="210"/>
      <c r="P11" s="210"/>
      <c r="Q11" s="210"/>
      <c r="R11" s="210"/>
      <c r="S11" s="210"/>
      <c r="T11" s="210"/>
      <c r="U11" s="210"/>
      <c r="V11" s="210"/>
      <c r="W11" s="210"/>
      <c r="X11" s="210"/>
      <c r="Y11" s="210"/>
      <c r="Z11" s="210"/>
      <c r="AA11" s="210"/>
      <c r="AB11" s="210"/>
      <c r="AC11" s="210"/>
      <c r="AD11" s="210"/>
      <c r="AE11" s="210"/>
      <c r="AF11" s="210"/>
      <c r="AG11" s="210"/>
      <c r="AH11" s="210"/>
    </row>
    <row r="12" spans="1:34" ht="12.75">
      <c r="A12" s="210" t="s">
        <v>2220</v>
      </c>
      <c r="B12" s="218" t="s">
        <v>2221</v>
      </c>
      <c r="C12" s="215" t="s">
        <v>2204</v>
      </c>
      <c r="D12" s="210" t="s">
        <v>2205</v>
      </c>
      <c r="E12" s="210"/>
      <c r="F12" s="210"/>
      <c r="G12" s="210"/>
      <c r="H12" s="210"/>
      <c r="I12" s="210"/>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0"/>
      <c r="AH12" s="210"/>
    </row>
    <row r="13" spans="1:34" ht="12.75">
      <c r="A13" s="210" t="s">
        <v>2222</v>
      </c>
      <c r="B13" s="218" t="s">
        <v>2223</v>
      </c>
      <c r="C13" s="215" t="s">
        <v>2204</v>
      </c>
      <c r="D13" s="210" t="s">
        <v>2205</v>
      </c>
      <c r="E13" s="210"/>
      <c r="F13" s="210"/>
      <c r="G13" s="210"/>
      <c r="H13" s="210"/>
      <c r="I13" s="210"/>
      <c r="J13" s="210"/>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0"/>
      <c r="AH13" s="210"/>
    </row>
    <row r="14" spans="1:34" ht="12.75">
      <c r="A14" s="210" t="s">
        <v>2224</v>
      </c>
      <c r="B14" s="218" t="s">
        <v>2225</v>
      </c>
      <c r="C14" s="215" t="s">
        <v>2204</v>
      </c>
      <c r="D14" s="210" t="s">
        <v>2205</v>
      </c>
      <c r="E14" s="210"/>
      <c r="F14" s="210"/>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0"/>
      <c r="AE14" s="210"/>
      <c r="AF14" s="210"/>
      <c r="AG14" s="210"/>
      <c r="AH14" s="210"/>
    </row>
    <row r="15" spans="1:34" ht="12.75">
      <c r="A15" s="210">
        <v>5</v>
      </c>
      <c r="B15" s="219" t="s">
        <v>65</v>
      </c>
      <c r="C15" s="215" t="s">
        <v>2226</v>
      </c>
      <c r="D15" s="210" t="s">
        <v>2227</v>
      </c>
      <c r="E15" s="210"/>
      <c r="F15" s="210" t="s">
        <v>2228</v>
      </c>
      <c r="G15" s="210"/>
      <c r="H15" s="210"/>
      <c r="I15" s="210"/>
      <c r="J15" s="210"/>
      <c r="K15" s="210"/>
      <c r="L15" s="210"/>
      <c r="M15" s="210"/>
      <c r="N15" s="210"/>
      <c r="O15" s="210"/>
      <c r="P15" s="210"/>
      <c r="Q15" s="210"/>
      <c r="R15" s="210"/>
      <c r="S15" s="210"/>
      <c r="T15" s="210"/>
      <c r="U15" s="210"/>
      <c r="V15" s="210"/>
      <c r="W15" s="210"/>
      <c r="X15" s="210"/>
      <c r="Y15" s="210"/>
      <c r="Z15" s="210"/>
      <c r="AA15" s="210"/>
      <c r="AB15" s="210"/>
      <c r="AC15" s="210"/>
      <c r="AD15" s="210"/>
      <c r="AE15" s="210"/>
      <c r="AF15" s="210"/>
      <c r="AG15" s="210"/>
      <c r="AH15" s="210"/>
    </row>
    <row r="16" spans="1:34" ht="12.75">
      <c r="A16" s="210">
        <v>7</v>
      </c>
      <c r="B16" s="220" t="s">
        <v>2229</v>
      </c>
      <c r="C16" s="215" t="s">
        <v>2230</v>
      </c>
      <c r="D16" s="210" t="s">
        <v>2231</v>
      </c>
      <c r="E16" s="210"/>
      <c r="F16" s="210"/>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0"/>
      <c r="AF16" s="210"/>
      <c r="AG16" s="210"/>
      <c r="AH16" s="210"/>
    </row>
    <row r="17" spans="1:34" ht="12.75">
      <c r="A17" s="210">
        <v>8</v>
      </c>
      <c r="B17" s="221" t="s">
        <v>2232</v>
      </c>
      <c r="C17" s="215" t="s">
        <v>2230</v>
      </c>
      <c r="D17" s="210" t="s">
        <v>2231</v>
      </c>
      <c r="E17" s="210"/>
      <c r="F17" s="210"/>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0"/>
      <c r="AH17" s="210"/>
    </row>
    <row r="18" spans="1:34" ht="12.75">
      <c r="A18" s="210">
        <v>9</v>
      </c>
      <c r="B18" s="221" t="s">
        <v>2233</v>
      </c>
      <c r="C18" s="215" t="s">
        <v>2230</v>
      </c>
      <c r="D18" s="210" t="s">
        <v>2231</v>
      </c>
      <c r="E18" s="210"/>
      <c r="F18" s="210"/>
      <c r="G18" s="210"/>
      <c r="H18" s="210"/>
      <c r="I18" s="210"/>
      <c r="J18" s="210"/>
      <c r="K18" s="210"/>
      <c r="L18" s="210"/>
      <c r="M18" s="210"/>
      <c r="N18" s="210"/>
      <c r="O18" s="210"/>
      <c r="P18" s="210"/>
      <c r="Q18" s="210"/>
      <c r="R18" s="210"/>
      <c r="S18" s="210"/>
      <c r="T18" s="210"/>
      <c r="U18" s="210"/>
      <c r="V18" s="210"/>
      <c r="W18" s="210"/>
      <c r="X18" s="210"/>
      <c r="Y18" s="210"/>
      <c r="Z18" s="210"/>
      <c r="AA18" s="210"/>
      <c r="AB18" s="210"/>
      <c r="AC18" s="210"/>
      <c r="AD18" s="210"/>
      <c r="AE18" s="210"/>
      <c r="AF18" s="210"/>
      <c r="AG18" s="210"/>
      <c r="AH18" s="210"/>
    </row>
    <row r="19" spans="1:34" ht="12.75">
      <c r="A19" s="210">
        <v>11</v>
      </c>
      <c r="B19" s="220" t="s">
        <v>2234</v>
      </c>
      <c r="C19" s="215" t="s">
        <v>2230</v>
      </c>
      <c r="D19" s="210" t="s">
        <v>2231</v>
      </c>
      <c r="E19" s="210"/>
      <c r="F19" s="210"/>
      <c r="G19" s="210"/>
      <c r="H19" s="210"/>
      <c r="I19" s="210"/>
      <c r="J19" s="210"/>
      <c r="K19" s="210"/>
      <c r="L19" s="210"/>
      <c r="M19" s="210"/>
      <c r="N19" s="210"/>
      <c r="O19" s="210"/>
      <c r="P19" s="210"/>
      <c r="Q19" s="210"/>
      <c r="R19" s="210"/>
      <c r="S19" s="210"/>
      <c r="T19" s="210"/>
      <c r="U19" s="210"/>
      <c r="V19" s="210"/>
      <c r="W19" s="210"/>
      <c r="X19" s="210"/>
      <c r="Y19" s="210"/>
      <c r="Z19" s="210"/>
      <c r="AA19" s="210"/>
      <c r="AB19" s="210"/>
      <c r="AC19" s="210"/>
      <c r="AD19" s="210"/>
      <c r="AE19" s="210"/>
      <c r="AF19" s="210"/>
      <c r="AG19" s="210"/>
      <c r="AH19" s="210"/>
    </row>
    <row r="20" spans="1:34" ht="12.75">
      <c r="A20" s="210">
        <v>2</v>
      </c>
      <c r="B20" s="220" t="s">
        <v>2235</v>
      </c>
      <c r="C20" s="215" t="s">
        <v>2236</v>
      </c>
      <c r="D20" s="210" t="s">
        <v>2237</v>
      </c>
      <c r="E20" s="210"/>
      <c r="F20" s="210"/>
      <c r="G20" s="210"/>
      <c r="H20" s="210"/>
      <c r="I20" s="210"/>
      <c r="J20" s="210"/>
      <c r="K20" s="210"/>
      <c r="L20" s="210"/>
      <c r="M20" s="210"/>
      <c r="N20" s="210"/>
      <c r="O20" s="210"/>
      <c r="P20" s="210"/>
      <c r="Q20" s="210"/>
      <c r="R20" s="210"/>
      <c r="S20" s="210"/>
      <c r="T20" s="210"/>
      <c r="U20" s="210"/>
      <c r="V20" s="210"/>
      <c r="W20" s="210"/>
      <c r="X20" s="210"/>
      <c r="Y20" s="210"/>
      <c r="Z20" s="210"/>
      <c r="AA20" s="210"/>
      <c r="AB20" s="210"/>
      <c r="AC20" s="210"/>
      <c r="AD20" s="210"/>
      <c r="AE20" s="210"/>
      <c r="AF20" s="210"/>
      <c r="AG20" s="210"/>
      <c r="AH20" s="210"/>
    </row>
    <row r="21" spans="1:34" ht="12.75">
      <c r="A21" s="210">
        <v>18</v>
      </c>
      <c r="B21" s="220" t="s">
        <v>2238</v>
      </c>
      <c r="C21" s="215" t="s">
        <v>2239</v>
      </c>
      <c r="D21" s="210" t="s">
        <v>2240</v>
      </c>
      <c r="E21" s="220" t="s">
        <v>2238</v>
      </c>
      <c r="F21" s="222" t="s">
        <v>2241</v>
      </c>
      <c r="G21" s="223" t="s">
        <v>2242</v>
      </c>
      <c r="H21" s="223" t="s">
        <v>2243</v>
      </c>
      <c r="I21" s="224" t="s">
        <v>21</v>
      </c>
      <c r="J21" s="223"/>
      <c r="K21" s="225" t="s">
        <v>40</v>
      </c>
      <c r="L21" s="226"/>
      <c r="M21" s="227" t="s">
        <v>2244</v>
      </c>
      <c r="N21" s="210"/>
      <c r="O21" s="210"/>
      <c r="P21" s="210"/>
      <c r="Q21" s="210"/>
      <c r="R21" s="210"/>
      <c r="S21" s="210"/>
      <c r="T21" s="210"/>
      <c r="U21" s="210"/>
      <c r="V21" s="210"/>
      <c r="W21" s="210"/>
      <c r="X21" s="210"/>
      <c r="Y21" s="210"/>
      <c r="Z21" s="210"/>
      <c r="AA21" s="210"/>
      <c r="AB21" s="210"/>
      <c r="AC21" s="210"/>
      <c r="AD21" s="210"/>
      <c r="AE21" s="210"/>
      <c r="AF21" s="210"/>
      <c r="AG21" s="210"/>
      <c r="AH21" s="210"/>
    </row>
    <row r="22" spans="1:34" ht="12.75">
      <c r="A22" s="210">
        <v>18</v>
      </c>
      <c r="B22" s="220" t="s">
        <v>2245</v>
      </c>
      <c r="C22" s="215" t="s">
        <v>2236</v>
      </c>
      <c r="D22" s="210" t="s">
        <v>2246</v>
      </c>
      <c r="E22" s="210"/>
      <c r="F22" s="210"/>
      <c r="G22" s="210"/>
      <c r="H22" s="210"/>
      <c r="I22" s="210"/>
      <c r="J22" s="210"/>
      <c r="K22" s="210"/>
      <c r="L22" s="210"/>
      <c r="M22" s="210"/>
      <c r="N22" s="210"/>
      <c r="O22" s="210"/>
      <c r="P22" s="210"/>
      <c r="Q22" s="210"/>
      <c r="R22" s="210"/>
      <c r="S22" s="210"/>
      <c r="T22" s="210"/>
      <c r="U22" s="210"/>
      <c r="V22" s="210"/>
      <c r="W22" s="210"/>
      <c r="X22" s="210"/>
      <c r="Y22" s="210"/>
      <c r="Z22" s="210"/>
      <c r="AA22" s="210"/>
      <c r="AB22" s="210"/>
      <c r="AC22" s="210"/>
      <c r="AD22" s="210"/>
      <c r="AE22" s="210"/>
      <c r="AF22" s="210"/>
      <c r="AG22" s="210"/>
      <c r="AH22" s="210"/>
    </row>
    <row r="23" spans="1:34" ht="12.75">
      <c r="A23" s="210">
        <v>27</v>
      </c>
      <c r="B23" s="228" t="s">
        <v>2024</v>
      </c>
      <c r="C23" s="215" t="s">
        <v>2247</v>
      </c>
      <c r="D23" s="210" t="s">
        <v>2248</v>
      </c>
      <c r="E23" s="210"/>
      <c r="F23" s="210"/>
      <c r="G23" s="210"/>
      <c r="H23" s="210"/>
      <c r="I23" s="210"/>
      <c r="J23" s="210"/>
      <c r="K23" s="210"/>
      <c r="L23" s="210"/>
      <c r="M23" s="210"/>
      <c r="N23" s="210"/>
      <c r="O23" s="210"/>
      <c r="P23" s="210"/>
      <c r="Q23" s="210"/>
      <c r="R23" s="210"/>
      <c r="S23" s="210"/>
      <c r="T23" s="210"/>
      <c r="U23" s="210"/>
      <c r="V23" s="210"/>
      <c r="W23" s="210"/>
      <c r="X23" s="210"/>
      <c r="Y23" s="210"/>
      <c r="Z23" s="210"/>
      <c r="AA23" s="210"/>
      <c r="AB23" s="210"/>
      <c r="AC23" s="210"/>
      <c r="AD23" s="210"/>
      <c r="AE23" s="210"/>
      <c r="AF23" s="210"/>
      <c r="AG23" s="210"/>
      <c r="AH23" s="210"/>
    </row>
    <row r="24" spans="1:34" ht="12.75">
      <c r="A24" s="210">
        <v>28</v>
      </c>
      <c r="B24" s="229" t="s">
        <v>2027</v>
      </c>
      <c r="C24" s="215" t="s">
        <v>2247</v>
      </c>
      <c r="D24" s="210" t="s">
        <v>2248</v>
      </c>
      <c r="E24" s="210"/>
      <c r="F24" s="210"/>
      <c r="G24" s="210"/>
      <c r="H24" s="210"/>
      <c r="I24" s="210"/>
      <c r="J24" s="210"/>
      <c r="K24" s="210"/>
      <c r="L24" s="210"/>
      <c r="M24" s="210"/>
      <c r="N24" s="210"/>
      <c r="O24" s="210"/>
      <c r="P24" s="210"/>
      <c r="Q24" s="210"/>
      <c r="R24" s="210"/>
      <c r="S24" s="210"/>
      <c r="T24" s="210"/>
      <c r="U24" s="210"/>
      <c r="V24" s="210"/>
      <c r="W24" s="210"/>
      <c r="X24" s="210"/>
      <c r="Y24" s="210"/>
      <c r="Z24" s="210"/>
      <c r="AA24" s="210"/>
      <c r="AB24" s="210"/>
      <c r="AC24" s="210"/>
      <c r="AD24" s="210"/>
      <c r="AE24" s="210"/>
      <c r="AF24" s="210"/>
      <c r="AG24" s="210"/>
      <c r="AH24" s="210"/>
    </row>
    <row r="25" spans="1:34" ht="12.75">
      <c r="A25" s="210">
        <v>12</v>
      </c>
      <c r="B25" s="230" t="s">
        <v>2193</v>
      </c>
      <c r="C25" s="215" t="s">
        <v>2249</v>
      </c>
      <c r="D25" s="210" t="s">
        <v>2250</v>
      </c>
      <c r="E25" s="210"/>
      <c r="F25" s="210"/>
      <c r="G25" s="210"/>
      <c r="H25" s="210"/>
      <c r="I25" s="210"/>
      <c r="J25" s="210"/>
      <c r="K25" s="210"/>
      <c r="L25" s="210"/>
      <c r="M25" s="210"/>
      <c r="N25" s="210"/>
      <c r="O25" s="210"/>
      <c r="P25" s="210"/>
      <c r="Q25" s="210"/>
      <c r="R25" s="210"/>
      <c r="S25" s="210"/>
      <c r="T25" s="210"/>
      <c r="U25" s="210"/>
      <c r="V25" s="210"/>
      <c r="W25" s="210"/>
      <c r="X25" s="210"/>
      <c r="Y25" s="210"/>
      <c r="Z25" s="210"/>
      <c r="AA25" s="210"/>
      <c r="AB25" s="210"/>
      <c r="AC25" s="210"/>
      <c r="AD25" s="210"/>
      <c r="AE25" s="210"/>
      <c r="AF25" s="210"/>
      <c r="AG25" s="210"/>
      <c r="AH25" s="210"/>
    </row>
    <row r="26" spans="1:34" ht="12.75">
      <c r="A26" s="210">
        <v>13</v>
      </c>
      <c r="B26" s="231" t="s">
        <v>2194</v>
      </c>
      <c r="C26" s="215" t="s">
        <v>2251</v>
      </c>
      <c r="D26" s="210" t="s">
        <v>2252</v>
      </c>
      <c r="E26" s="210"/>
      <c r="F26" s="210"/>
      <c r="G26" s="210"/>
      <c r="H26" s="210"/>
      <c r="I26" s="210"/>
      <c r="J26" s="210"/>
      <c r="K26" s="210"/>
      <c r="L26" s="210"/>
      <c r="M26" s="210"/>
      <c r="N26" s="210"/>
      <c r="O26" s="210"/>
      <c r="P26" s="210"/>
      <c r="Q26" s="210"/>
      <c r="R26" s="210"/>
      <c r="S26" s="210"/>
      <c r="T26" s="210"/>
      <c r="U26" s="210"/>
      <c r="V26" s="210"/>
      <c r="W26" s="210"/>
      <c r="X26" s="210"/>
      <c r="Y26" s="210"/>
      <c r="Z26" s="210"/>
      <c r="AA26" s="210"/>
      <c r="AB26" s="210"/>
      <c r="AC26" s="210"/>
      <c r="AD26" s="210"/>
      <c r="AE26" s="210"/>
      <c r="AF26" s="210"/>
      <c r="AG26" s="210"/>
      <c r="AH26" s="210"/>
    </row>
    <row r="27" spans="1:34" ht="12.75">
      <c r="A27" s="210">
        <v>30</v>
      </c>
      <c r="B27" s="221" t="s">
        <v>2253</v>
      </c>
      <c r="C27" s="232" t="s">
        <v>2249</v>
      </c>
      <c r="D27" s="210" t="s">
        <v>2254</v>
      </c>
      <c r="E27" s="210"/>
      <c r="F27" s="210"/>
      <c r="G27" s="210"/>
      <c r="H27" s="210"/>
      <c r="I27" s="210"/>
      <c r="J27" s="210"/>
      <c r="K27" s="210"/>
      <c r="L27" s="210"/>
      <c r="M27" s="210"/>
      <c r="N27" s="210"/>
      <c r="O27" s="210"/>
      <c r="P27" s="210"/>
      <c r="Q27" s="210"/>
      <c r="R27" s="210"/>
      <c r="S27" s="210"/>
      <c r="T27" s="210"/>
      <c r="U27" s="210"/>
      <c r="V27" s="210"/>
      <c r="W27" s="210"/>
      <c r="X27" s="210"/>
      <c r="Y27" s="210"/>
      <c r="Z27" s="210"/>
      <c r="AA27" s="210"/>
      <c r="AB27" s="210"/>
      <c r="AC27" s="210"/>
      <c r="AD27" s="210"/>
      <c r="AE27" s="210"/>
      <c r="AF27" s="210"/>
      <c r="AG27" s="210"/>
      <c r="AH27" s="210"/>
    </row>
    <row r="28" spans="1:34" ht="12.75">
      <c r="A28" s="210">
        <v>31</v>
      </c>
      <c r="B28" s="221" t="s">
        <v>2255</v>
      </c>
      <c r="C28" s="232" t="s">
        <v>2249</v>
      </c>
      <c r="D28" s="210" t="s">
        <v>2254</v>
      </c>
      <c r="E28" s="210"/>
      <c r="F28" s="210"/>
      <c r="G28" s="210"/>
      <c r="H28" s="210"/>
      <c r="I28" s="210"/>
      <c r="J28" s="210"/>
      <c r="K28" s="210"/>
      <c r="L28" s="210"/>
      <c r="M28" s="210"/>
      <c r="N28" s="210"/>
      <c r="O28" s="210"/>
      <c r="P28" s="210"/>
      <c r="Q28" s="210"/>
      <c r="R28" s="210"/>
      <c r="S28" s="210"/>
      <c r="T28" s="210"/>
      <c r="U28" s="210"/>
      <c r="V28" s="210"/>
      <c r="W28" s="210"/>
      <c r="X28" s="210"/>
      <c r="Y28" s="210"/>
      <c r="Z28" s="210"/>
      <c r="AA28" s="210"/>
      <c r="AB28" s="210"/>
      <c r="AC28" s="210"/>
      <c r="AD28" s="210"/>
      <c r="AE28" s="210"/>
      <c r="AF28" s="210"/>
      <c r="AG28" s="210"/>
      <c r="AH28" s="210"/>
    </row>
    <row r="29" spans="1:34" ht="12.75">
      <c r="A29" s="210">
        <v>32</v>
      </c>
      <c r="B29" s="221" t="s">
        <v>2044</v>
      </c>
      <c r="C29" s="232" t="s">
        <v>2249</v>
      </c>
      <c r="D29" s="210" t="s">
        <v>2254</v>
      </c>
      <c r="E29" s="210"/>
      <c r="F29" s="210"/>
      <c r="G29" s="210"/>
      <c r="H29" s="210"/>
      <c r="I29" s="210"/>
      <c r="J29" s="210"/>
      <c r="K29" s="210"/>
      <c r="L29" s="210"/>
      <c r="M29" s="210"/>
      <c r="N29" s="210"/>
      <c r="O29" s="210"/>
      <c r="P29" s="210"/>
      <c r="Q29" s="210"/>
      <c r="R29" s="210"/>
      <c r="S29" s="210"/>
      <c r="T29" s="210"/>
      <c r="U29" s="210"/>
      <c r="V29" s="210"/>
      <c r="W29" s="210"/>
      <c r="X29" s="210"/>
      <c r="Y29" s="210"/>
      <c r="Z29" s="210"/>
      <c r="AA29" s="210"/>
      <c r="AB29" s="210"/>
      <c r="AC29" s="210"/>
      <c r="AD29" s="210"/>
      <c r="AE29" s="210"/>
      <c r="AF29" s="210"/>
      <c r="AG29" s="210"/>
      <c r="AH29" s="210"/>
    </row>
    <row r="30" spans="1:34" ht="12.75">
      <c r="A30" s="210">
        <v>33</v>
      </c>
      <c r="B30" s="233" t="s">
        <v>2049</v>
      </c>
      <c r="C30" s="215" t="s">
        <v>2256</v>
      </c>
      <c r="D30" s="210" t="s">
        <v>2248</v>
      </c>
      <c r="E30" s="210"/>
      <c r="F30" s="210"/>
      <c r="G30" s="210"/>
      <c r="H30" s="210"/>
      <c r="I30" s="210"/>
      <c r="J30" s="210"/>
      <c r="K30" s="210"/>
      <c r="L30" s="210"/>
      <c r="M30" s="210"/>
      <c r="N30" s="210"/>
      <c r="O30" s="210"/>
      <c r="P30" s="210"/>
      <c r="Q30" s="210"/>
      <c r="R30" s="210"/>
      <c r="S30" s="210"/>
      <c r="T30" s="210"/>
      <c r="U30" s="210"/>
      <c r="V30" s="210"/>
      <c r="W30" s="210"/>
      <c r="X30" s="210"/>
      <c r="Y30" s="210"/>
      <c r="Z30" s="210"/>
      <c r="AA30" s="210"/>
      <c r="AB30" s="210"/>
      <c r="AC30" s="210"/>
      <c r="AD30" s="210"/>
      <c r="AE30" s="210"/>
      <c r="AF30" s="210"/>
      <c r="AG30" s="210"/>
      <c r="AH30" s="210"/>
    </row>
    <row r="31" spans="1:34" ht="12.75">
      <c r="A31" s="210">
        <v>46</v>
      </c>
      <c r="B31" s="233" t="s">
        <v>266</v>
      </c>
      <c r="C31" s="215" t="s">
        <v>2256</v>
      </c>
      <c r="D31" s="210" t="s">
        <v>2248</v>
      </c>
      <c r="E31" s="210"/>
      <c r="F31" s="210"/>
      <c r="G31" s="210"/>
      <c r="H31" s="210"/>
      <c r="I31" s="210"/>
      <c r="J31" s="210"/>
      <c r="K31" s="210"/>
      <c r="L31" s="210"/>
      <c r="M31" s="210"/>
      <c r="N31" s="210"/>
      <c r="O31" s="210"/>
      <c r="P31" s="210"/>
      <c r="Q31" s="210"/>
      <c r="R31" s="210"/>
      <c r="S31" s="210"/>
      <c r="T31" s="210"/>
      <c r="U31" s="210"/>
      <c r="V31" s="210"/>
      <c r="W31" s="210"/>
      <c r="X31" s="210"/>
      <c r="Y31" s="210"/>
      <c r="Z31" s="210"/>
      <c r="AA31" s="210"/>
      <c r="AB31" s="210"/>
      <c r="AC31" s="210"/>
      <c r="AD31" s="210"/>
      <c r="AE31" s="210"/>
      <c r="AF31" s="210"/>
      <c r="AG31" s="210"/>
      <c r="AH31" s="210"/>
    </row>
    <row r="32" spans="1:34" ht="12.75">
      <c r="A32" s="210">
        <v>47</v>
      </c>
      <c r="B32" s="234" t="s">
        <v>2185</v>
      </c>
      <c r="C32" s="215" t="s">
        <v>2256</v>
      </c>
      <c r="D32" s="210" t="s">
        <v>2248</v>
      </c>
      <c r="E32" s="210"/>
      <c r="F32" s="210"/>
      <c r="G32" s="210"/>
      <c r="H32" s="210"/>
      <c r="I32" s="210"/>
      <c r="J32" s="210"/>
      <c r="K32" s="210"/>
      <c r="L32" s="210"/>
      <c r="M32" s="210"/>
      <c r="N32" s="210"/>
      <c r="O32" s="210"/>
      <c r="P32" s="210"/>
      <c r="Q32" s="210"/>
      <c r="R32" s="210"/>
      <c r="S32" s="210"/>
      <c r="T32" s="210"/>
      <c r="U32" s="210"/>
      <c r="V32" s="210"/>
      <c r="W32" s="210"/>
      <c r="X32" s="210"/>
      <c r="Y32" s="210"/>
      <c r="Z32" s="210"/>
      <c r="AA32" s="210"/>
      <c r="AB32" s="210"/>
      <c r="AC32" s="210"/>
      <c r="AD32" s="210"/>
      <c r="AE32" s="210"/>
      <c r="AF32" s="210"/>
      <c r="AG32" s="210"/>
      <c r="AH32" s="210"/>
    </row>
    <row r="33" spans="1:34" ht="12.75">
      <c r="A33" s="210">
        <v>48</v>
      </c>
      <c r="B33" s="234" t="s">
        <v>2186</v>
      </c>
      <c r="C33" s="215" t="s">
        <v>2257</v>
      </c>
      <c r="D33" s="210" t="s">
        <v>2248</v>
      </c>
      <c r="E33" s="210"/>
      <c r="F33" s="210"/>
      <c r="G33" s="210"/>
      <c r="H33" s="210"/>
      <c r="I33" s="210"/>
      <c r="J33" s="210"/>
      <c r="K33" s="210"/>
      <c r="L33" s="210"/>
      <c r="M33" s="210"/>
      <c r="N33" s="210"/>
      <c r="O33" s="210"/>
      <c r="P33" s="210"/>
      <c r="Q33" s="210"/>
      <c r="R33" s="210"/>
      <c r="S33" s="210"/>
      <c r="T33" s="210"/>
      <c r="U33" s="210"/>
      <c r="V33" s="210"/>
      <c r="W33" s="210"/>
      <c r="X33" s="210"/>
      <c r="Y33" s="210"/>
      <c r="Z33" s="210"/>
      <c r="AA33" s="210"/>
      <c r="AB33" s="210"/>
      <c r="AC33" s="210"/>
      <c r="AD33" s="210"/>
      <c r="AE33" s="210"/>
      <c r="AF33" s="210"/>
      <c r="AG33" s="210"/>
      <c r="AH33" s="210"/>
    </row>
    <row r="34" spans="1:34" ht="12.75">
      <c r="A34" s="210">
        <v>49</v>
      </c>
      <c r="B34" s="235" t="s">
        <v>2187</v>
      </c>
      <c r="C34" s="232" t="s">
        <v>2258</v>
      </c>
      <c r="D34" s="210" t="s">
        <v>2259</v>
      </c>
      <c r="E34" s="210"/>
      <c r="F34" s="210"/>
      <c r="G34" s="210"/>
      <c r="H34" s="210"/>
      <c r="I34" s="210"/>
      <c r="J34" s="210"/>
      <c r="K34" s="210"/>
      <c r="L34" s="210"/>
      <c r="M34" s="210"/>
      <c r="N34" s="210"/>
      <c r="O34" s="210"/>
      <c r="P34" s="210"/>
      <c r="Q34" s="210"/>
      <c r="R34" s="210"/>
      <c r="S34" s="210"/>
      <c r="T34" s="210"/>
      <c r="U34" s="210"/>
      <c r="V34" s="210"/>
      <c r="W34" s="210"/>
      <c r="X34" s="210"/>
      <c r="Y34" s="210"/>
      <c r="Z34" s="210"/>
      <c r="AA34" s="210"/>
      <c r="AB34" s="210"/>
      <c r="AC34" s="210"/>
      <c r="AD34" s="210"/>
      <c r="AE34" s="210"/>
      <c r="AF34" s="210"/>
      <c r="AG34" s="210"/>
      <c r="AH34" s="210"/>
    </row>
    <row r="35" spans="1:34" ht="12.75">
      <c r="A35" s="210">
        <v>50</v>
      </c>
      <c r="B35" s="235" t="s">
        <v>2188</v>
      </c>
      <c r="C35" s="232" t="s">
        <v>2258</v>
      </c>
      <c r="D35" s="210" t="s">
        <v>2259</v>
      </c>
      <c r="E35" s="210"/>
      <c r="F35" s="210"/>
      <c r="G35" s="210"/>
      <c r="H35" s="210"/>
      <c r="I35" s="210"/>
      <c r="J35" s="210"/>
      <c r="K35" s="210"/>
      <c r="L35" s="210"/>
      <c r="M35" s="210"/>
      <c r="N35" s="210"/>
      <c r="O35" s="210"/>
      <c r="P35" s="210"/>
      <c r="Q35" s="210"/>
      <c r="R35" s="210"/>
      <c r="S35" s="210"/>
      <c r="T35" s="210"/>
      <c r="U35" s="210"/>
      <c r="V35" s="210"/>
      <c r="W35" s="210"/>
      <c r="X35" s="210"/>
      <c r="Y35" s="210"/>
      <c r="Z35" s="210"/>
      <c r="AA35" s="210"/>
      <c r="AB35" s="210"/>
      <c r="AC35" s="210"/>
      <c r="AD35" s="210"/>
      <c r="AE35" s="210"/>
      <c r="AF35" s="210"/>
      <c r="AG35" s="210"/>
      <c r="AH35" s="210"/>
    </row>
    <row r="36" spans="1:34" ht="12.75">
      <c r="A36" s="210">
        <v>54</v>
      </c>
      <c r="B36" s="221" t="s">
        <v>2260</v>
      </c>
      <c r="C36" s="215" t="s">
        <v>2249</v>
      </c>
      <c r="D36" s="210" t="s">
        <v>2254</v>
      </c>
      <c r="E36" s="210"/>
      <c r="F36" s="210"/>
      <c r="G36" s="210"/>
      <c r="H36" s="210"/>
      <c r="I36" s="210"/>
      <c r="J36" s="210"/>
      <c r="K36" s="210"/>
      <c r="L36" s="210"/>
      <c r="M36" s="210"/>
      <c r="N36" s="210"/>
      <c r="O36" s="210"/>
      <c r="P36" s="210"/>
      <c r="Q36" s="210"/>
      <c r="R36" s="210"/>
      <c r="S36" s="210"/>
      <c r="T36" s="210"/>
      <c r="U36" s="210"/>
      <c r="V36" s="210"/>
      <c r="W36" s="210"/>
      <c r="X36" s="210"/>
      <c r="Y36" s="210"/>
      <c r="Z36" s="210"/>
      <c r="AA36" s="210"/>
      <c r="AB36" s="210"/>
      <c r="AC36" s="210"/>
      <c r="AD36" s="210"/>
      <c r="AE36" s="210"/>
      <c r="AF36" s="210"/>
      <c r="AG36" s="210"/>
      <c r="AH36" s="210"/>
    </row>
    <row r="37" spans="1:34" ht="12.75">
      <c r="A37" s="210">
        <v>55</v>
      </c>
      <c r="B37" s="221" t="s">
        <v>2261</v>
      </c>
      <c r="C37" s="215" t="s">
        <v>2249</v>
      </c>
      <c r="D37" s="210" t="s">
        <v>2254</v>
      </c>
      <c r="E37" s="210"/>
      <c r="F37" s="210"/>
      <c r="G37" s="210"/>
      <c r="H37" s="210"/>
      <c r="I37" s="210"/>
      <c r="J37" s="210"/>
      <c r="K37" s="210"/>
      <c r="L37" s="210"/>
      <c r="M37" s="210"/>
      <c r="N37" s="210"/>
      <c r="O37" s="210"/>
      <c r="P37" s="210"/>
      <c r="Q37" s="210"/>
      <c r="R37" s="210"/>
      <c r="S37" s="210"/>
      <c r="T37" s="210"/>
      <c r="U37" s="210"/>
      <c r="V37" s="210"/>
      <c r="W37" s="210"/>
      <c r="X37" s="210"/>
      <c r="Y37" s="210"/>
      <c r="Z37" s="210"/>
      <c r="AA37" s="210"/>
      <c r="AB37" s="210"/>
      <c r="AC37" s="210"/>
      <c r="AD37" s="210"/>
      <c r="AE37" s="210"/>
      <c r="AF37" s="210"/>
      <c r="AG37" s="210"/>
      <c r="AH37" s="210"/>
    </row>
    <row r="38" spans="1:34" ht="12.75">
      <c r="A38" s="210">
        <v>53</v>
      </c>
      <c r="B38" s="233" t="s">
        <v>2262</v>
      </c>
      <c r="C38" s="215" t="s">
        <v>2263</v>
      </c>
      <c r="D38" s="210" t="s">
        <v>2248</v>
      </c>
      <c r="E38" s="210"/>
      <c r="F38" s="210"/>
      <c r="G38" s="210"/>
      <c r="H38" s="210"/>
      <c r="I38" s="210"/>
      <c r="J38" s="210"/>
      <c r="K38" s="210"/>
      <c r="L38" s="210"/>
      <c r="M38" s="210"/>
      <c r="N38" s="210"/>
      <c r="O38" s="210"/>
      <c r="P38" s="210"/>
      <c r="Q38" s="210"/>
      <c r="R38" s="210"/>
      <c r="S38" s="210"/>
      <c r="T38" s="210"/>
      <c r="U38" s="210"/>
      <c r="V38" s="210"/>
      <c r="W38" s="210"/>
      <c r="X38" s="210"/>
      <c r="Y38" s="210"/>
      <c r="Z38" s="210"/>
      <c r="AA38" s="210"/>
      <c r="AB38" s="210"/>
      <c r="AC38" s="210"/>
      <c r="AD38" s="210"/>
      <c r="AE38" s="210"/>
      <c r="AF38" s="210"/>
      <c r="AG38" s="210"/>
      <c r="AH38" s="210"/>
    </row>
    <row r="39" spans="1:34" ht="12.75">
      <c r="A39" s="210">
        <v>56</v>
      </c>
      <c r="B39" s="233" t="s">
        <v>2174</v>
      </c>
      <c r="C39" s="215" t="s">
        <v>2263</v>
      </c>
      <c r="D39" s="210" t="s">
        <v>2248</v>
      </c>
      <c r="E39" s="210"/>
      <c r="F39" s="210"/>
      <c r="G39" s="210"/>
      <c r="H39" s="210"/>
      <c r="I39" s="210"/>
      <c r="J39" s="210"/>
      <c r="K39" s="210"/>
      <c r="L39" s="210"/>
      <c r="M39" s="210"/>
      <c r="N39" s="210"/>
      <c r="O39" s="210"/>
      <c r="P39" s="210"/>
      <c r="Q39" s="210"/>
      <c r="R39" s="210"/>
      <c r="S39" s="210"/>
      <c r="T39" s="210"/>
      <c r="U39" s="210"/>
      <c r="V39" s="210"/>
      <c r="W39" s="210"/>
      <c r="X39" s="210"/>
      <c r="Y39" s="210"/>
      <c r="Z39" s="210"/>
      <c r="AA39" s="210"/>
      <c r="AB39" s="210"/>
      <c r="AC39" s="210"/>
      <c r="AD39" s="210"/>
      <c r="AE39" s="210"/>
      <c r="AF39" s="210"/>
      <c r="AG39" s="210"/>
      <c r="AH39" s="210"/>
    </row>
    <row r="40" spans="1:34" ht="12.75">
      <c r="A40" s="210">
        <v>58</v>
      </c>
      <c r="B40" s="233" t="s">
        <v>2176</v>
      </c>
      <c r="C40" s="215" t="s">
        <v>2263</v>
      </c>
      <c r="D40" s="210" t="s">
        <v>2248</v>
      </c>
      <c r="E40" s="210"/>
      <c r="F40" s="210"/>
      <c r="G40" s="210"/>
      <c r="H40" s="210"/>
      <c r="I40" s="210"/>
      <c r="J40" s="210"/>
      <c r="K40" s="210"/>
      <c r="L40" s="210"/>
      <c r="M40" s="210"/>
      <c r="N40" s="210"/>
      <c r="O40" s="210"/>
      <c r="P40" s="210"/>
      <c r="Q40" s="210"/>
      <c r="R40" s="210"/>
      <c r="S40" s="210"/>
      <c r="T40" s="210"/>
      <c r="U40" s="210"/>
      <c r="V40" s="210"/>
      <c r="W40" s="210"/>
      <c r="X40" s="210"/>
      <c r="Y40" s="210"/>
      <c r="Z40" s="210"/>
      <c r="AA40" s="210"/>
      <c r="AB40" s="210"/>
      <c r="AC40" s="210"/>
      <c r="AD40" s="210"/>
      <c r="AE40" s="210"/>
      <c r="AF40" s="210"/>
      <c r="AG40" s="210"/>
      <c r="AH40" s="210"/>
    </row>
    <row r="41" spans="1:34" ht="12.75">
      <c r="A41" s="210">
        <v>59</v>
      </c>
      <c r="B41" s="221" t="s">
        <v>2177</v>
      </c>
      <c r="C41" s="232" t="s">
        <v>2258</v>
      </c>
      <c r="D41" s="210" t="s">
        <v>2259</v>
      </c>
      <c r="E41" s="210"/>
      <c r="F41" s="210"/>
      <c r="G41" s="210"/>
      <c r="H41" s="210"/>
      <c r="I41" s="210"/>
      <c r="J41" s="210"/>
      <c r="K41" s="210"/>
      <c r="L41" s="210"/>
      <c r="M41" s="210"/>
      <c r="N41" s="210"/>
      <c r="O41" s="210"/>
      <c r="P41" s="210"/>
      <c r="Q41" s="210"/>
      <c r="R41" s="210"/>
      <c r="S41" s="210"/>
      <c r="T41" s="210"/>
      <c r="U41" s="210"/>
      <c r="V41" s="210"/>
      <c r="W41" s="210"/>
      <c r="X41" s="210"/>
      <c r="Y41" s="210"/>
      <c r="Z41" s="210"/>
      <c r="AA41" s="210"/>
      <c r="AB41" s="210"/>
      <c r="AC41" s="210"/>
      <c r="AD41" s="210"/>
      <c r="AE41" s="210"/>
      <c r="AF41" s="210"/>
      <c r="AG41" s="210"/>
      <c r="AH41" s="210"/>
    </row>
    <row r="42" spans="1:34" ht="12.75">
      <c r="A42" s="210">
        <v>60</v>
      </c>
      <c r="B42" s="221" t="s">
        <v>2178</v>
      </c>
      <c r="C42" s="232" t="s">
        <v>2258</v>
      </c>
      <c r="D42" s="210" t="s">
        <v>2259</v>
      </c>
      <c r="E42" s="210"/>
      <c r="F42" s="210"/>
      <c r="G42" s="210"/>
      <c r="H42" s="210"/>
      <c r="I42" s="210"/>
      <c r="J42" s="210"/>
      <c r="K42" s="210"/>
      <c r="L42" s="210"/>
      <c r="M42" s="210"/>
      <c r="N42" s="210"/>
      <c r="O42" s="210"/>
      <c r="P42" s="210"/>
      <c r="Q42" s="210"/>
      <c r="R42" s="210"/>
      <c r="S42" s="210"/>
      <c r="T42" s="210"/>
      <c r="U42" s="210"/>
      <c r="V42" s="210"/>
      <c r="W42" s="210"/>
      <c r="X42" s="210"/>
      <c r="Y42" s="210"/>
      <c r="Z42" s="210"/>
      <c r="AA42" s="210"/>
      <c r="AB42" s="210"/>
      <c r="AC42" s="210"/>
      <c r="AD42" s="210"/>
      <c r="AE42" s="210"/>
      <c r="AF42" s="210"/>
      <c r="AG42" s="210"/>
      <c r="AH42" s="210"/>
    </row>
    <row r="43" spans="1:34" ht="12.75">
      <c r="A43" s="210">
        <v>62</v>
      </c>
      <c r="B43" s="236" t="s">
        <v>2264</v>
      </c>
      <c r="C43" s="215" t="s">
        <v>2263</v>
      </c>
      <c r="D43" s="210" t="s">
        <v>2248</v>
      </c>
      <c r="E43" s="210"/>
      <c r="F43" s="210"/>
      <c r="G43" s="210"/>
      <c r="H43" s="210"/>
      <c r="I43" s="210"/>
      <c r="J43" s="210"/>
      <c r="K43" s="210"/>
      <c r="L43" s="210"/>
      <c r="M43" s="210"/>
      <c r="N43" s="210"/>
      <c r="O43" s="210"/>
      <c r="P43" s="210"/>
      <c r="Q43" s="210"/>
      <c r="R43" s="210"/>
      <c r="S43" s="210"/>
      <c r="T43" s="210"/>
      <c r="U43" s="210"/>
      <c r="V43" s="210"/>
      <c r="W43" s="210"/>
      <c r="X43" s="210"/>
      <c r="Y43" s="210"/>
      <c r="Z43" s="210"/>
      <c r="AA43" s="210"/>
      <c r="AB43" s="210"/>
      <c r="AC43" s="210"/>
      <c r="AD43" s="210"/>
      <c r="AE43" s="210"/>
      <c r="AF43" s="210"/>
      <c r="AG43" s="210"/>
      <c r="AH43" s="210"/>
    </row>
    <row r="44" spans="1:34" ht="12.75">
      <c r="A44" s="210">
        <v>61</v>
      </c>
      <c r="B44" s="221" t="s">
        <v>2179</v>
      </c>
      <c r="C44" s="215" t="s">
        <v>2265</v>
      </c>
      <c r="D44" s="210" t="s">
        <v>2190</v>
      </c>
      <c r="E44" s="210"/>
      <c r="F44" s="210"/>
      <c r="G44" s="210"/>
      <c r="H44" s="210"/>
      <c r="I44" s="210"/>
      <c r="J44" s="210"/>
      <c r="K44" s="210"/>
      <c r="L44" s="210"/>
      <c r="M44" s="210"/>
      <c r="N44" s="210"/>
      <c r="O44" s="210"/>
      <c r="P44" s="210"/>
      <c r="Q44" s="210"/>
      <c r="R44" s="210"/>
      <c r="S44" s="210"/>
      <c r="T44" s="210"/>
      <c r="U44" s="210"/>
      <c r="V44" s="210"/>
      <c r="W44" s="210"/>
      <c r="X44" s="210"/>
      <c r="Y44" s="210"/>
      <c r="Z44" s="210"/>
      <c r="AA44" s="210"/>
      <c r="AB44" s="210"/>
      <c r="AC44" s="210"/>
      <c r="AD44" s="210"/>
      <c r="AE44" s="210"/>
      <c r="AF44" s="210"/>
      <c r="AG44" s="210"/>
      <c r="AH44" s="210"/>
    </row>
    <row r="45" spans="1:34" ht="12.75">
      <c r="A45" s="210">
        <v>63</v>
      </c>
      <c r="B45" s="235" t="s">
        <v>2266</v>
      </c>
      <c r="C45" s="232" t="s">
        <v>2267</v>
      </c>
      <c r="D45" s="210" t="s">
        <v>2259</v>
      </c>
      <c r="E45" s="210"/>
      <c r="F45" s="210"/>
      <c r="G45" s="210"/>
      <c r="H45" s="210"/>
      <c r="I45" s="210"/>
      <c r="J45" s="210"/>
      <c r="K45" s="210"/>
      <c r="L45" s="210"/>
      <c r="M45" s="210"/>
      <c r="N45" s="210"/>
      <c r="O45" s="210"/>
      <c r="P45" s="210"/>
      <c r="Q45" s="210"/>
      <c r="R45" s="210"/>
      <c r="S45" s="210"/>
      <c r="T45" s="210"/>
      <c r="U45" s="210"/>
      <c r="V45" s="210"/>
      <c r="W45" s="210"/>
      <c r="X45" s="210"/>
      <c r="Y45" s="210"/>
      <c r="Z45" s="210"/>
      <c r="AA45" s="210"/>
      <c r="AB45" s="210"/>
      <c r="AC45" s="210"/>
      <c r="AD45" s="210"/>
      <c r="AE45" s="210"/>
      <c r="AF45" s="210"/>
      <c r="AG45" s="210"/>
      <c r="AH45" s="210"/>
    </row>
    <row r="46" spans="1:34" ht="12.75">
      <c r="A46" s="210">
        <v>64</v>
      </c>
      <c r="B46" s="237" t="s">
        <v>2268</v>
      </c>
      <c r="C46" s="232" t="s">
        <v>2267</v>
      </c>
      <c r="D46" s="210" t="s">
        <v>2259</v>
      </c>
      <c r="E46" s="210"/>
      <c r="F46" s="210"/>
      <c r="G46" s="210"/>
      <c r="H46" s="210"/>
      <c r="I46" s="210"/>
      <c r="J46" s="210"/>
      <c r="K46" s="210"/>
      <c r="L46" s="210"/>
      <c r="M46" s="210"/>
      <c r="N46" s="210"/>
      <c r="O46" s="210"/>
      <c r="P46" s="210"/>
      <c r="Q46" s="210"/>
      <c r="R46" s="210"/>
      <c r="S46" s="210"/>
      <c r="T46" s="210"/>
      <c r="U46" s="210"/>
      <c r="V46" s="210"/>
      <c r="W46" s="210"/>
      <c r="X46" s="210"/>
      <c r="Y46" s="210"/>
      <c r="Z46" s="210"/>
      <c r="AA46" s="210"/>
      <c r="AB46" s="210"/>
      <c r="AC46" s="210"/>
      <c r="AD46" s="210"/>
      <c r="AE46" s="210"/>
      <c r="AF46" s="210"/>
      <c r="AG46" s="210"/>
      <c r="AH46" s="210"/>
    </row>
    <row r="47" spans="1:34" ht="12.75">
      <c r="A47" s="210">
        <v>68</v>
      </c>
      <c r="B47" s="234" t="s">
        <v>2180</v>
      </c>
      <c r="C47" s="215" t="s">
        <v>2263</v>
      </c>
      <c r="D47" s="210" t="s">
        <v>2248</v>
      </c>
      <c r="E47" s="210"/>
      <c r="F47" s="210"/>
      <c r="G47" s="210"/>
      <c r="H47" s="210"/>
      <c r="I47" s="210"/>
      <c r="J47" s="210"/>
      <c r="K47" s="210"/>
      <c r="L47" s="210"/>
      <c r="M47" s="210"/>
      <c r="N47" s="210"/>
      <c r="O47" s="210"/>
      <c r="P47" s="210"/>
      <c r="Q47" s="210"/>
      <c r="R47" s="210"/>
      <c r="S47" s="210"/>
      <c r="T47" s="210"/>
      <c r="U47" s="210"/>
      <c r="V47" s="210"/>
      <c r="W47" s="210"/>
      <c r="X47" s="210"/>
      <c r="Y47" s="210"/>
      <c r="Z47" s="210"/>
      <c r="AA47" s="210"/>
      <c r="AB47" s="210"/>
      <c r="AC47" s="210"/>
      <c r="AD47" s="210"/>
      <c r="AE47" s="210"/>
      <c r="AF47" s="210"/>
      <c r="AG47" s="210"/>
      <c r="AH47" s="210"/>
    </row>
    <row r="48" spans="1:34" ht="12.75">
      <c r="A48" s="210">
        <v>70</v>
      </c>
      <c r="B48" s="234" t="s">
        <v>2182</v>
      </c>
      <c r="C48" s="215" t="s">
        <v>2263</v>
      </c>
      <c r="D48" s="210" t="s">
        <v>2248</v>
      </c>
      <c r="E48" s="210"/>
      <c r="F48" s="210"/>
      <c r="G48" s="210"/>
      <c r="H48" s="210"/>
      <c r="I48" s="210"/>
      <c r="J48" s="210"/>
      <c r="K48" s="210"/>
      <c r="L48" s="210"/>
      <c r="M48" s="210"/>
      <c r="N48" s="210"/>
      <c r="O48" s="210"/>
      <c r="P48" s="210"/>
      <c r="Q48" s="210"/>
      <c r="R48" s="210"/>
      <c r="S48" s="210"/>
      <c r="T48" s="210"/>
      <c r="U48" s="210"/>
      <c r="V48" s="210"/>
      <c r="W48" s="210"/>
      <c r="X48" s="210"/>
      <c r="Y48" s="210"/>
      <c r="Z48" s="210"/>
      <c r="AA48" s="210"/>
      <c r="AB48" s="210"/>
      <c r="AC48" s="210"/>
      <c r="AD48" s="210"/>
      <c r="AE48" s="210"/>
      <c r="AF48" s="210"/>
      <c r="AG48" s="210"/>
      <c r="AH48" s="210"/>
    </row>
    <row r="49" spans="1:34" ht="12.75">
      <c r="A49" s="210">
        <v>71</v>
      </c>
      <c r="B49" s="235" t="s">
        <v>2183</v>
      </c>
      <c r="C49" s="232" t="s">
        <v>2267</v>
      </c>
      <c r="D49" s="210" t="s">
        <v>2259</v>
      </c>
      <c r="E49" s="210"/>
      <c r="F49" s="210"/>
      <c r="G49" s="210"/>
      <c r="H49" s="210"/>
      <c r="I49" s="210"/>
      <c r="J49" s="210"/>
      <c r="K49" s="210"/>
      <c r="L49" s="210"/>
      <c r="M49" s="210"/>
      <c r="N49" s="210"/>
      <c r="O49" s="210"/>
      <c r="P49" s="210"/>
      <c r="Q49" s="210"/>
      <c r="R49" s="210"/>
      <c r="S49" s="210"/>
      <c r="T49" s="210"/>
      <c r="U49" s="210"/>
      <c r="V49" s="210"/>
      <c r="W49" s="210"/>
      <c r="X49" s="210"/>
      <c r="Y49" s="210"/>
      <c r="Z49" s="210"/>
      <c r="AA49" s="210"/>
      <c r="AB49" s="210"/>
      <c r="AC49" s="210"/>
      <c r="AD49" s="210"/>
      <c r="AE49" s="210"/>
      <c r="AF49" s="210"/>
      <c r="AG49" s="210"/>
      <c r="AH49" s="210"/>
    </row>
    <row r="50" spans="1:34" ht="12.75">
      <c r="A50" s="210">
        <v>72</v>
      </c>
      <c r="B50" s="235" t="s">
        <v>2184</v>
      </c>
      <c r="C50" s="232" t="s">
        <v>2267</v>
      </c>
      <c r="D50" s="210" t="s">
        <v>2259</v>
      </c>
      <c r="E50" s="210"/>
      <c r="F50" s="210"/>
      <c r="G50" s="210"/>
      <c r="H50" s="210"/>
      <c r="I50" s="210"/>
      <c r="J50" s="210"/>
      <c r="K50" s="210"/>
      <c r="L50" s="210"/>
      <c r="M50" s="210"/>
      <c r="N50" s="210"/>
      <c r="O50" s="210"/>
      <c r="P50" s="210"/>
      <c r="Q50" s="210"/>
      <c r="R50" s="210"/>
      <c r="S50" s="210"/>
      <c r="T50" s="210"/>
      <c r="U50" s="210"/>
      <c r="V50" s="210"/>
      <c r="W50" s="210"/>
      <c r="X50" s="210"/>
      <c r="Y50" s="210"/>
      <c r="Z50" s="210"/>
      <c r="AA50" s="210"/>
      <c r="AB50" s="210"/>
      <c r="AC50" s="210"/>
      <c r="AD50" s="210"/>
      <c r="AE50" s="210"/>
      <c r="AF50" s="210"/>
      <c r="AG50" s="210"/>
      <c r="AH50" s="210"/>
    </row>
    <row r="51" spans="1:34" ht="12.75">
      <c r="A51" s="210">
        <v>74</v>
      </c>
      <c r="B51" s="221" t="s">
        <v>2269</v>
      </c>
      <c r="C51" s="215" t="s">
        <v>2265</v>
      </c>
      <c r="D51" s="210"/>
      <c r="E51" s="210"/>
      <c r="F51" s="210"/>
      <c r="G51" s="210"/>
      <c r="H51" s="210"/>
      <c r="I51" s="210"/>
      <c r="J51" s="210"/>
      <c r="K51" s="210"/>
      <c r="L51" s="210"/>
      <c r="M51" s="210"/>
      <c r="N51" s="210"/>
      <c r="O51" s="210"/>
      <c r="P51" s="210"/>
      <c r="Q51" s="210"/>
      <c r="R51" s="210"/>
      <c r="S51" s="210"/>
      <c r="T51" s="210"/>
      <c r="U51" s="210"/>
      <c r="V51" s="210"/>
      <c r="W51" s="210"/>
      <c r="X51" s="210"/>
      <c r="Y51" s="210"/>
      <c r="Z51" s="210"/>
      <c r="AA51" s="210"/>
      <c r="AB51" s="210"/>
      <c r="AC51" s="210"/>
      <c r="AD51" s="210"/>
      <c r="AE51" s="210"/>
      <c r="AF51" s="210"/>
      <c r="AG51" s="210"/>
      <c r="AH51" s="210"/>
    </row>
    <row r="52" spans="1:34" ht="12.75">
      <c r="A52" s="210">
        <v>75</v>
      </c>
      <c r="B52" s="221" t="s">
        <v>2270</v>
      </c>
      <c r="C52" s="215" t="s">
        <v>2265</v>
      </c>
      <c r="D52" s="210"/>
      <c r="E52" s="210"/>
      <c r="F52" s="210"/>
      <c r="G52" s="210"/>
      <c r="H52" s="210"/>
      <c r="I52" s="210"/>
      <c r="J52" s="210"/>
      <c r="K52" s="210"/>
      <c r="L52" s="210"/>
      <c r="M52" s="210"/>
      <c r="N52" s="210"/>
      <c r="O52" s="210"/>
      <c r="P52" s="210"/>
      <c r="Q52" s="210"/>
      <c r="R52" s="210"/>
      <c r="S52" s="210"/>
      <c r="T52" s="210"/>
      <c r="U52" s="210"/>
      <c r="V52" s="210"/>
      <c r="W52" s="210"/>
      <c r="X52" s="210"/>
      <c r="Y52" s="210"/>
      <c r="Z52" s="210"/>
      <c r="AA52" s="210"/>
      <c r="AB52" s="210"/>
      <c r="AC52" s="210"/>
      <c r="AD52" s="210"/>
      <c r="AE52" s="210"/>
      <c r="AF52" s="210"/>
      <c r="AG52" s="210"/>
      <c r="AH52" s="210"/>
    </row>
    <row r="53" spans="1:34" ht="12.75">
      <c r="A53" s="210">
        <v>76</v>
      </c>
      <c r="B53" s="238" t="s">
        <v>2271</v>
      </c>
      <c r="C53" s="215" t="s">
        <v>2272</v>
      </c>
      <c r="D53" s="210" t="s">
        <v>2273</v>
      </c>
      <c r="E53" s="210"/>
      <c r="F53" s="210"/>
      <c r="G53" s="210"/>
      <c r="H53" s="210"/>
      <c r="I53" s="210"/>
      <c r="J53" s="210"/>
      <c r="K53" s="210"/>
      <c r="L53" s="210"/>
      <c r="M53" s="210"/>
      <c r="N53" s="210"/>
      <c r="O53" s="210"/>
      <c r="P53" s="210"/>
      <c r="Q53" s="210"/>
      <c r="R53" s="210"/>
      <c r="S53" s="210"/>
      <c r="T53" s="210"/>
      <c r="U53" s="210"/>
      <c r="V53" s="210"/>
      <c r="W53" s="210"/>
      <c r="X53" s="210"/>
      <c r="Y53" s="210"/>
      <c r="Z53" s="210"/>
      <c r="AA53" s="210"/>
      <c r="AB53" s="210"/>
      <c r="AC53" s="210"/>
      <c r="AD53" s="210"/>
      <c r="AE53" s="210"/>
      <c r="AF53" s="210"/>
      <c r="AG53" s="210"/>
      <c r="AH53" s="210"/>
    </row>
    <row r="54" spans="1:34" ht="12.75">
      <c r="A54" s="210">
        <v>73</v>
      </c>
      <c r="B54" s="233" t="s">
        <v>2274</v>
      </c>
      <c r="C54" s="215" t="s">
        <v>2263</v>
      </c>
      <c r="D54" s="210" t="s">
        <v>2248</v>
      </c>
      <c r="E54" s="210"/>
      <c r="F54" s="210"/>
      <c r="G54" s="210"/>
      <c r="H54" s="210"/>
      <c r="I54" s="210"/>
      <c r="J54" s="210"/>
      <c r="K54" s="210"/>
      <c r="L54" s="210"/>
      <c r="M54" s="210"/>
      <c r="N54" s="210"/>
      <c r="O54" s="210"/>
      <c r="P54" s="210"/>
      <c r="Q54" s="210"/>
      <c r="R54" s="210"/>
      <c r="S54" s="210"/>
      <c r="T54" s="210"/>
      <c r="U54" s="210"/>
      <c r="V54" s="210"/>
      <c r="W54" s="210"/>
      <c r="X54" s="210"/>
      <c r="Y54" s="210"/>
      <c r="Z54" s="210"/>
      <c r="AA54" s="210"/>
      <c r="AB54" s="210"/>
      <c r="AC54" s="210"/>
      <c r="AD54" s="210"/>
      <c r="AE54" s="210"/>
      <c r="AF54" s="210"/>
      <c r="AG54" s="210"/>
      <c r="AH54" s="210"/>
    </row>
    <row r="55" spans="1:34" ht="12.75">
      <c r="A55" s="210">
        <v>77</v>
      </c>
      <c r="B55" s="239" t="s">
        <v>2168</v>
      </c>
      <c r="C55" s="232" t="s">
        <v>2275</v>
      </c>
      <c r="D55" s="210" t="s">
        <v>2276</v>
      </c>
      <c r="E55" s="210"/>
      <c r="F55" s="210"/>
      <c r="G55" s="210"/>
      <c r="H55" s="210"/>
      <c r="I55" s="210"/>
      <c r="J55" s="210"/>
      <c r="K55" s="210"/>
      <c r="L55" s="210"/>
      <c r="M55" s="210"/>
      <c r="N55" s="210"/>
      <c r="O55" s="210"/>
      <c r="P55" s="210"/>
      <c r="Q55" s="210"/>
      <c r="R55" s="210"/>
      <c r="S55" s="210"/>
      <c r="T55" s="210"/>
      <c r="U55" s="210"/>
      <c r="V55" s="210"/>
      <c r="W55" s="210"/>
      <c r="X55" s="210"/>
      <c r="Y55" s="210"/>
      <c r="Z55" s="210"/>
      <c r="AA55" s="210"/>
      <c r="AB55" s="210"/>
      <c r="AC55" s="210"/>
      <c r="AD55" s="210"/>
      <c r="AE55" s="210"/>
      <c r="AF55" s="210"/>
      <c r="AG55" s="210"/>
      <c r="AH55" s="210"/>
    </row>
    <row r="56" spans="1:34" ht="12.75">
      <c r="A56" s="210">
        <v>78</v>
      </c>
      <c r="B56" s="239" t="s">
        <v>330</v>
      </c>
      <c r="C56" s="232" t="s">
        <v>2275</v>
      </c>
      <c r="D56" s="210" t="s">
        <v>2276</v>
      </c>
      <c r="E56" s="210"/>
      <c r="F56" s="210"/>
      <c r="G56" s="210"/>
      <c r="H56" s="210"/>
      <c r="I56" s="210"/>
      <c r="J56" s="210"/>
      <c r="K56" s="210"/>
      <c r="L56" s="210"/>
      <c r="M56" s="210"/>
      <c r="N56" s="210"/>
      <c r="O56" s="210"/>
      <c r="P56" s="210"/>
      <c r="Q56" s="210"/>
      <c r="R56" s="210"/>
      <c r="S56" s="210"/>
      <c r="T56" s="210"/>
      <c r="U56" s="210"/>
      <c r="V56" s="210"/>
      <c r="W56" s="210"/>
      <c r="X56" s="210"/>
      <c r="Y56" s="210"/>
      <c r="Z56" s="210"/>
      <c r="AA56" s="210"/>
      <c r="AB56" s="210"/>
      <c r="AC56" s="210"/>
      <c r="AD56" s="210"/>
      <c r="AE56" s="210"/>
      <c r="AF56" s="210"/>
      <c r="AG56" s="210"/>
      <c r="AH56" s="210"/>
    </row>
    <row r="57" spans="1:34" ht="12.75">
      <c r="A57" s="210">
        <v>80</v>
      </c>
      <c r="B57" s="239" t="s">
        <v>364</v>
      </c>
      <c r="C57" s="215" t="s">
        <v>2275</v>
      </c>
      <c r="D57" s="210" t="s">
        <v>2276</v>
      </c>
      <c r="E57" s="210"/>
      <c r="F57" s="210"/>
      <c r="G57" s="210"/>
      <c r="H57" s="210"/>
      <c r="I57" s="210"/>
      <c r="J57" s="210"/>
      <c r="K57" s="210"/>
      <c r="L57" s="210"/>
      <c r="M57" s="210"/>
      <c r="N57" s="210"/>
      <c r="O57" s="210"/>
      <c r="P57" s="210"/>
      <c r="Q57" s="210"/>
      <c r="R57" s="210"/>
      <c r="S57" s="210"/>
      <c r="T57" s="210"/>
      <c r="U57" s="210"/>
      <c r="V57" s="210"/>
      <c r="W57" s="210"/>
      <c r="X57" s="210"/>
      <c r="Y57" s="210"/>
      <c r="Z57" s="210"/>
      <c r="AA57" s="210"/>
      <c r="AB57" s="210"/>
      <c r="AC57" s="210"/>
      <c r="AD57" s="210"/>
      <c r="AE57" s="210"/>
      <c r="AF57" s="210"/>
      <c r="AG57" s="210"/>
      <c r="AH57" s="210"/>
    </row>
    <row r="58" spans="1:34" ht="12.75">
      <c r="A58" s="210">
        <v>81</v>
      </c>
      <c r="B58" s="239" t="s">
        <v>380</v>
      </c>
      <c r="C58" s="215" t="s">
        <v>2275</v>
      </c>
      <c r="D58" s="210" t="s">
        <v>2276</v>
      </c>
      <c r="E58" s="210"/>
      <c r="F58" s="210"/>
      <c r="G58" s="210"/>
      <c r="H58" s="210"/>
      <c r="I58" s="210"/>
      <c r="J58" s="210"/>
      <c r="K58" s="210"/>
      <c r="L58" s="210"/>
      <c r="M58" s="210"/>
      <c r="N58" s="210"/>
      <c r="O58" s="210"/>
      <c r="P58" s="210"/>
      <c r="Q58" s="210"/>
      <c r="R58" s="210"/>
      <c r="S58" s="210"/>
      <c r="T58" s="210"/>
      <c r="U58" s="210"/>
      <c r="V58" s="210"/>
      <c r="W58" s="210"/>
      <c r="X58" s="210"/>
      <c r="Y58" s="210"/>
      <c r="Z58" s="210"/>
      <c r="AA58" s="210"/>
      <c r="AB58" s="210"/>
      <c r="AC58" s="210"/>
      <c r="AD58" s="210"/>
      <c r="AE58" s="210"/>
      <c r="AF58" s="210"/>
      <c r="AG58" s="210"/>
      <c r="AH58" s="210"/>
    </row>
    <row r="59" spans="1:34" ht="12.75">
      <c r="A59" s="210">
        <v>82</v>
      </c>
      <c r="B59" s="221" t="s">
        <v>2277</v>
      </c>
      <c r="C59" s="232" t="s">
        <v>2275</v>
      </c>
      <c r="D59" s="210" t="s">
        <v>2276</v>
      </c>
      <c r="E59" s="210"/>
      <c r="F59" s="210"/>
      <c r="G59" s="210"/>
      <c r="H59" s="210"/>
      <c r="I59" s="210"/>
      <c r="J59" s="210"/>
      <c r="K59" s="210"/>
      <c r="L59" s="210"/>
      <c r="M59" s="210"/>
      <c r="N59" s="210"/>
      <c r="O59" s="210"/>
      <c r="P59" s="210"/>
      <c r="Q59" s="210"/>
      <c r="R59" s="210"/>
      <c r="S59" s="210"/>
      <c r="T59" s="210"/>
      <c r="U59" s="210"/>
      <c r="V59" s="210"/>
      <c r="W59" s="210"/>
      <c r="X59" s="210"/>
      <c r="Y59" s="210"/>
      <c r="Z59" s="210"/>
      <c r="AA59" s="210"/>
      <c r="AB59" s="210"/>
      <c r="AC59" s="210"/>
      <c r="AD59" s="210"/>
      <c r="AE59" s="210"/>
      <c r="AF59" s="210"/>
      <c r="AG59" s="210"/>
      <c r="AH59" s="210"/>
    </row>
    <row r="60" spans="1:34" ht="12.75">
      <c r="A60" s="240">
        <v>45057</v>
      </c>
      <c r="B60" s="221" t="s">
        <v>65</v>
      </c>
      <c r="C60" s="215" t="s">
        <v>2278</v>
      </c>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c r="AB60" s="210"/>
      <c r="AC60" s="210"/>
      <c r="AD60" s="210"/>
      <c r="AE60" s="210"/>
      <c r="AF60" s="210"/>
      <c r="AG60" s="210"/>
      <c r="AH60" s="210"/>
    </row>
    <row r="61" spans="1:34" ht="12.75">
      <c r="A61" s="210">
        <v>85</v>
      </c>
      <c r="B61" s="241" t="s">
        <v>2279</v>
      </c>
      <c r="C61" s="215" t="s">
        <v>2280</v>
      </c>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c r="AB61" s="210"/>
      <c r="AC61" s="210"/>
      <c r="AD61" s="210"/>
      <c r="AE61" s="210"/>
      <c r="AF61" s="210"/>
      <c r="AG61" s="210"/>
      <c r="AH61" s="210"/>
    </row>
    <row r="62" spans="1:34" ht="12.75">
      <c r="A62" s="210">
        <v>86</v>
      </c>
      <c r="B62" s="241" t="s">
        <v>2281</v>
      </c>
      <c r="C62" s="215" t="s">
        <v>2280</v>
      </c>
      <c r="D62" s="210"/>
      <c r="E62" s="210"/>
      <c r="F62" s="210"/>
      <c r="G62" s="210"/>
      <c r="H62" s="210"/>
      <c r="I62" s="210"/>
      <c r="J62" s="210"/>
      <c r="K62" s="210"/>
      <c r="L62" s="210"/>
      <c r="M62" s="210"/>
      <c r="N62" s="210"/>
      <c r="O62" s="210"/>
      <c r="P62" s="210"/>
      <c r="Q62" s="210"/>
      <c r="R62" s="210"/>
      <c r="S62" s="210"/>
      <c r="T62" s="210"/>
      <c r="U62" s="210"/>
      <c r="V62" s="210"/>
      <c r="W62" s="210"/>
      <c r="X62" s="210"/>
      <c r="Y62" s="210"/>
      <c r="Z62" s="210"/>
      <c r="AA62" s="210"/>
      <c r="AB62" s="210"/>
      <c r="AC62" s="210"/>
      <c r="AD62" s="210"/>
      <c r="AE62" s="210"/>
      <c r="AF62" s="210"/>
      <c r="AG62" s="210"/>
      <c r="AH62" s="210"/>
    </row>
    <row r="63" spans="1:34" ht="12.75">
      <c r="A63" s="210">
        <v>88</v>
      </c>
      <c r="B63" s="221" t="s">
        <v>2189</v>
      </c>
      <c r="C63" s="215" t="s">
        <v>2263</v>
      </c>
      <c r="D63" s="210" t="s">
        <v>2248</v>
      </c>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210"/>
      <c r="AH63" s="210"/>
    </row>
    <row r="64" spans="1:34" ht="12.75">
      <c r="A64" s="210" t="s">
        <v>2282</v>
      </c>
      <c r="B64" s="210" t="s">
        <v>2283</v>
      </c>
      <c r="C64" s="215" t="s">
        <v>2284</v>
      </c>
      <c r="D64" s="210" t="s">
        <v>2285</v>
      </c>
      <c r="E64" s="210"/>
      <c r="F64" s="210"/>
      <c r="G64" s="210"/>
      <c r="H64" s="210"/>
      <c r="I64" s="210"/>
      <c r="J64" s="210"/>
      <c r="K64" s="210"/>
      <c r="L64" s="210"/>
      <c r="M64" s="210"/>
      <c r="N64" s="210"/>
      <c r="O64" s="210"/>
      <c r="P64" s="210"/>
      <c r="Q64" s="210"/>
      <c r="R64" s="210"/>
      <c r="S64" s="210"/>
      <c r="T64" s="210"/>
      <c r="U64" s="210"/>
      <c r="V64" s="210"/>
      <c r="W64" s="210"/>
      <c r="X64" s="210"/>
      <c r="Y64" s="210"/>
      <c r="Z64" s="210"/>
      <c r="AA64" s="210"/>
      <c r="AB64" s="210"/>
      <c r="AC64" s="210"/>
      <c r="AD64" s="210"/>
      <c r="AE64" s="210"/>
      <c r="AF64" s="210"/>
      <c r="AG64" s="210"/>
      <c r="AH64" s="210"/>
    </row>
    <row r="65" spans="1:34" ht="12.75">
      <c r="A65" s="210">
        <v>104</v>
      </c>
      <c r="B65" s="242" t="s">
        <v>2169</v>
      </c>
      <c r="C65" s="232" t="s">
        <v>2275</v>
      </c>
      <c r="D65" s="210" t="s">
        <v>2286</v>
      </c>
      <c r="E65" s="210"/>
      <c r="F65" s="210"/>
      <c r="G65" s="210"/>
      <c r="H65" s="210"/>
      <c r="I65" s="210"/>
      <c r="J65" s="210"/>
      <c r="K65" s="210"/>
      <c r="L65" s="210"/>
      <c r="M65" s="210"/>
      <c r="N65" s="210"/>
      <c r="O65" s="210"/>
      <c r="P65" s="210"/>
      <c r="Q65" s="210"/>
      <c r="R65" s="210"/>
      <c r="S65" s="210"/>
      <c r="T65" s="210"/>
      <c r="U65" s="210"/>
      <c r="V65" s="210"/>
      <c r="W65" s="210"/>
      <c r="X65" s="210"/>
      <c r="Y65" s="210"/>
      <c r="Z65" s="210"/>
      <c r="AA65" s="210"/>
      <c r="AB65" s="210"/>
      <c r="AC65" s="210"/>
      <c r="AD65" s="210"/>
      <c r="AE65" s="210"/>
      <c r="AF65" s="210"/>
      <c r="AG65" s="210"/>
      <c r="AH65" s="210"/>
    </row>
    <row r="66" spans="1:34" ht="12.75">
      <c r="A66" s="210">
        <v>105</v>
      </c>
      <c r="B66" s="236" t="s">
        <v>1927</v>
      </c>
      <c r="C66" s="215" t="s">
        <v>2287</v>
      </c>
      <c r="D66" s="210" t="s">
        <v>2288</v>
      </c>
      <c r="E66" s="210"/>
      <c r="F66" s="210"/>
      <c r="G66" s="210"/>
      <c r="H66" s="210"/>
      <c r="I66" s="210"/>
      <c r="J66" s="210"/>
      <c r="K66" s="210"/>
      <c r="L66" s="210"/>
      <c r="M66" s="210"/>
      <c r="N66" s="210"/>
      <c r="O66" s="210"/>
      <c r="P66" s="210"/>
      <c r="Q66" s="210"/>
      <c r="R66" s="210"/>
      <c r="S66" s="210"/>
      <c r="T66" s="210"/>
      <c r="U66" s="210"/>
      <c r="V66" s="210"/>
      <c r="W66" s="210"/>
      <c r="X66" s="210"/>
      <c r="Y66" s="210"/>
      <c r="Z66" s="210"/>
      <c r="AA66" s="210"/>
      <c r="AB66" s="210"/>
      <c r="AC66" s="210"/>
      <c r="AD66" s="210"/>
      <c r="AE66" s="210"/>
      <c r="AF66" s="210"/>
      <c r="AG66" s="210"/>
      <c r="AH66" s="210"/>
    </row>
    <row r="67" spans="1:34" ht="12.75">
      <c r="A67" s="210">
        <v>106</v>
      </c>
      <c r="B67" s="243" t="s">
        <v>2170</v>
      </c>
      <c r="C67" s="215" t="s">
        <v>2287</v>
      </c>
      <c r="D67" s="210" t="s">
        <v>2288</v>
      </c>
      <c r="E67" s="210"/>
      <c r="F67" s="210"/>
      <c r="G67" s="210"/>
      <c r="H67" s="210"/>
      <c r="I67" s="210"/>
      <c r="J67" s="210"/>
      <c r="K67" s="210"/>
      <c r="L67" s="210"/>
      <c r="M67" s="210"/>
      <c r="N67" s="210"/>
      <c r="O67" s="210"/>
      <c r="P67" s="210"/>
      <c r="Q67" s="210"/>
      <c r="R67" s="210"/>
      <c r="S67" s="210"/>
      <c r="T67" s="210"/>
      <c r="U67" s="210"/>
      <c r="V67" s="210"/>
      <c r="W67" s="210"/>
      <c r="X67" s="210"/>
      <c r="Y67" s="210"/>
      <c r="Z67" s="210"/>
      <c r="AA67" s="210"/>
      <c r="AB67" s="210"/>
      <c r="AC67" s="210"/>
      <c r="AD67" s="210"/>
      <c r="AE67" s="210"/>
      <c r="AF67" s="210"/>
      <c r="AG67" s="210"/>
      <c r="AH67" s="210"/>
    </row>
    <row r="68" spans="1:34" ht="12.75">
      <c r="A68" s="210">
        <v>107</v>
      </c>
      <c r="B68" s="239" t="s">
        <v>1941</v>
      </c>
      <c r="C68" s="215" t="s">
        <v>2287</v>
      </c>
      <c r="D68" s="210" t="s">
        <v>2288</v>
      </c>
      <c r="E68" s="210"/>
      <c r="F68" s="210"/>
      <c r="G68" s="210"/>
      <c r="H68" s="210"/>
      <c r="I68" s="210"/>
      <c r="J68" s="210"/>
      <c r="K68" s="210"/>
      <c r="L68" s="210"/>
      <c r="M68" s="210"/>
      <c r="N68" s="210"/>
      <c r="O68" s="210"/>
      <c r="P68" s="210"/>
      <c r="Q68" s="210"/>
      <c r="R68" s="210"/>
      <c r="S68" s="210"/>
      <c r="T68" s="210"/>
      <c r="U68" s="210"/>
      <c r="V68" s="210"/>
      <c r="W68" s="210"/>
      <c r="X68" s="210"/>
      <c r="Y68" s="210"/>
      <c r="Z68" s="210"/>
      <c r="AA68" s="210"/>
      <c r="AB68" s="210"/>
      <c r="AC68" s="210"/>
      <c r="AD68" s="210"/>
      <c r="AE68" s="210"/>
      <c r="AF68" s="210"/>
      <c r="AG68" s="210"/>
      <c r="AH68" s="210"/>
    </row>
    <row r="69" spans="1:34" ht="12.75">
      <c r="A69" s="210">
        <v>108</v>
      </c>
      <c r="B69" s="239" t="s">
        <v>2289</v>
      </c>
      <c r="C69" s="215" t="s">
        <v>2290</v>
      </c>
      <c r="D69" s="210" t="s">
        <v>2291</v>
      </c>
      <c r="E69" s="210"/>
      <c r="F69" s="210"/>
      <c r="G69" s="210"/>
      <c r="H69" s="210"/>
      <c r="I69" s="210"/>
      <c r="J69" s="210"/>
      <c r="K69" s="210"/>
      <c r="L69" s="210"/>
      <c r="M69" s="210"/>
      <c r="N69" s="210"/>
      <c r="O69" s="210"/>
      <c r="P69" s="210"/>
      <c r="Q69" s="210"/>
      <c r="R69" s="210"/>
      <c r="S69" s="210"/>
      <c r="T69" s="210"/>
      <c r="U69" s="210"/>
      <c r="V69" s="210"/>
      <c r="W69" s="210"/>
      <c r="X69" s="210"/>
      <c r="Y69" s="210"/>
      <c r="Z69" s="210"/>
      <c r="AA69" s="210"/>
      <c r="AB69" s="210"/>
      <c r="AC69" s="210"/>
      <c r="AD69" s="210"/>
      <c r="AE69" s="210"/>
      <c r="AF69" s="210"/>
      <c r="AG69" s="210"/>
      <c r="AH69" s="210"/>
    </row>
    <row r="70" spans="1:34" ht="12.75">
      <c r="A70" s="210">
        <v>109</v>
      </c>
      <c r="B70" s="244" t="s">
        <v>1960</v>
      </c>
      <c r="C70" s="215" t="s">
        <v>2292</v>
      </c>
      <c r="D70" s="210" t="s">
        <v>2293</v>
      </c>
      <c r="E70" s="210"/>
      <c r="F70" s="210"/>
      <c r="G70" s="210"/>
      <c r="H70" s="210"/>
      <c r="I70" s="210"/>
      <c r="J70" s="210"/>
      <c r="K70" s="210"/>
      <c r="L70" s="210"/>
      <c r="M70" s="210"/>
      <c r="N70" s="210"/>
      <c r="O70" s="210"/>
      <c r="P70" s="210"/>
      <c r="Q70" s="210"/>
      <c r="R70" s="210"/>
      <c r="S70" s="210"/>
      <c r="T70" s="210"/>
      <c r="U70" s="210"/>
      <c r="V70" s="210"/>
      <c r="W70" s="210"/>
      <c r="X70" s="210"/>
      <c r="Y70" s="210"/>
      <c r="Z70" s="210"/>
      <c r="AA70" s="210"/>
      <c r="AB70" s="210"/>
      <c r="AC70" s="210"/>
      <c r="AD70" s="210"/>
      <c r="AE70" s="210"/>
      <c r="AF70" s="210"/>
      <c r="AG70" s="210"/>
      <c r="AH70" s="210"/>
    </row>
    <row r="71" spans="1:34" ht="12.75">
      <c r="A71" s="210">
        <v>110</v>
      </c>
      <c r="B71" s="245" t="s">
        <v>2171</v>
      </c>
      <c r="C71" s="215" t="s">
        <v>2287</v>
      </c>
      <c r="D71" s="210" t="s">
        <v>2288</v>
      </c>
      <c r="E71" s="210"/>
      <c r="F71" s="210"/>
      <c r="G71" s="210"/>
      <c r="H71" s="210"/>
      <c r="I71" s="210"/>
      <c r="J71" s="210"/>
      <c r="K71" s="210"/>
      <c r="L71" s="210"/>
      <c r="M71" s="210"/>
      <c r="N71" s="210"/>
      <c r="O71" s="210"/>
      <c r="P71" s="210"/>
      <c r="Q71" s="210"/>
      <c r="R71" s="210"/>
      <c r="S71" s="210"/>
      <c r="T71" s="210"/>
      <c r="U71" s="210"/>
      <c r="V71" s="210"/>
      <c r="W71" s="210"/>
      <c r="X71" s="210"/>
      <c r="Y71" s="210"/>
      <c r="Z71" s="210"/>
      <c r="AA71" s="210"/>
      <c r="AB71" s="210"/>
      <c r="AC71" s="210"/>
      <c r="AD71" s="210"/>
      <c r="AE71" s="210"/>
      <c r="AF71" s="210"/>
      <c r="AG71" s="210"/>
      <c r="AH71" s="210"/>
    </row>
    <row r="72" spans="1:34" ht="12.75">
      <c r="A72" s="210">
        <v>111</v>
      </c>
      <c r="B72" s="246" t="s">
        <v>1973</v>
      </c>
      <c r="C72" s="215" t="s">
        <v>2287</v>
      </c>
      <c r="D72" s="210" t="s">
        <v>2288</v>
      </c>
      <c r="E72" s="210"/>
      <c r="F72" s="210"/>
      <c r="G72" s="210"/>
      <c r="H72" s="210"/>
      <c r="I72" s="210"/>
      <c r="J72" s="210"/>
      <c r="K72" s="210"/>
      <c r="L72" s="210"/>
      <c r="M72" s="210"/>
      <c r="N72" s="210"/>
      <c r="O72" s="210"/>
      <c r="P72" s="210"/>
      <c r="Q72" s="210"/>
      <c r="R72" s="210"/>
      <c r="S72" s="210"/>
      <c r="T72" s="210"/>
      <c r="U72" s="210"/>
      <c r="V72" s="210"/>
      <c r="W72" s="210"/>
      <c r="X72" s="210"/>
      <c r="Y72" s="210"/>
      <c r="Z72" s="210"/>
      <c r="AA72" s="210"/>
      <c r="AB72" s="210"/>
      <c r="AC72" s="210"/>
      <c r="AD72" s="210"/>
      <c r="AE72" s="210"/>
      <c r="AF72" s="210"/>
      <c r="AG72" s="210"/>
      <c r="AH72" s="210"/>
    </row>
    <row r="73" spans="1:34" ht="12.75">
      <c r="A73" s="210">
        <v>112</v>
      </c>
      <c r="B73" s="236" t="s">
        <v>1987</v>
      </c>
      <c r="C73" s="215" t="s">
        <v>2294</v>
      </c>
      <c r="D73" s="210" t="s">
        <v>2295</v>
      </c>
      <c r="E73" s="210"/>
      <c r="F73" s="210"/>
      <c r="G73" s="210"/>
      <c r="H73" s="210"/>
      <c r="I73" s="210"/>
      <c r="J73" s="210"/>
      <c r="K73" s="210"/>
      <c r="L73" s="210"/>
      <c r="M73" s="210"/>
      <c r="N73" s="210"/>
      <c r="O73" s="210"/>
      <c r="P73" s="210"/>
      <c r="Q73" s="210"/>
      <c r="R73" s="210"/>
      <c r="S73" s="210"/>
      <c r="T73" s="210"/>
      <c r="U73" s="210"/>
      <c r="V73" s="210"/>
      <c r="W73" s="210"/>
      <c r="X73" s="210"/>
      <c r="Y73" s="210"/>
      <c r="Z73" s="210"/>
      <c r="AA73" s="210"/>
      <c r="AB73" s="210"/>
      <c r="AC73" s="210"/>
      <c r="AD73" s="210"/>
      <c r="AE73" s="210"/>
      <c r="AF73" s="210"/>
      <c r="AG73" s="210"/>
      <c r="AH73" s="210"/>
    </row>
    <row r="74" spans="1:34" ht="12.75">
      <c r="A74" s="210">
        <v>114</v>
      </c>
      <c r="B74" s="237" t="s">
        <v>2296</v>
      </c>
      <c r="C74" s="215" t="s">
        <v>2290</v>
      </c>
      <c r="D74" s="210" t="s">
        <v>2297</v>
      </c>
      <c r="E74" s="210"/>
      <c r="F74" s="210"/>
      <c r="G74" s="210"/>
      <c r="H74" s="210"/>
      <c r="I74" s="210"/>
      <c r="J74" s="210"/>
      <c r="K74" s="210"/>
      <c r="L74" s="210"/>
      <c r="M74" s="210"/>
      <c r="N74" s="210"/>
      <c r="O74" s="210"/>
      <c r="P74" s="210"/>
      <c r="Q74" s="210"/>
      <c r="R74" s="210"/>
      <c r="S74" s="210"/>
      <c r="T74" s="210"/>
      <c r="U74" s="210"/>
      <c r="V74" s="210"/>
      <c r="W74" s="210"/>
      <c r="X74" s="210"/>
      <c r="Y74" s="210"/>
      <c r="Z74" s="210"/>
      <c r="AA74" s="210"/>
      <c r="AB74" s="210"/>
      <c r="AC74" s="210"/>
      <c r="AD74" s="210"/>
      <c r="AE74" s="210"/>
      <c r="AF74" s="210"/>
      <c r="AG74" s="210"/>
      <c r="AH74" s="210"/>
    </row>
    <row r="75" spans="1:34" ht="12.75">
      <c r="A75" s="210">
        <v>115</v>
      </c>
      <c r="B75" s="247" t="s">
        <v>1994</v>
      </c>
      <c r="C75" s="215" t="s">
        <v>2298</v>
      </c>
      <c r="D75" s="210" t="s">
        <v>2299</v>
      </c>
      <c r="E75" s="210"/>
      <c r="F75" s="210"/>
      <c r="G75" s="210"/>
      <c r="H75" s="210"/>
      <c r="I75" s="210"/>
      <c r="J75" s="210"/>
      <c r="K75" s="210"/>
      <c r="L75" s="210"/>
      <c r="M75" s="210"/>
      <c r="N75" s="210"/>
      <c r="O75" s="210"/>
      <c r="P75" s="210"/>
      <c r="Q75" s="210"/>
      <c r="R75" s="210"/>
      <c r="S75" s="210"/>
      <c r="T75" s="210"/>
      <c r="U75" s="210"/>
      <c r="V75" s="210"/>
      <c r="W75" s="210"/>
      <c r="X75" s="210"/>
      <c r="Y75" s="210"/>
      <c r="Z75" s="210"/>
      <c r="AA75" s="210"/>
      <c r="AB75" s="210"/>
      <c r="AC75" s="210"/>
      <c r="AD75" s="210"/>
      <c r="AE75" s="210"/>
      <c r="AF75" s="210"/>
      <c r="AG75" s="210"/>
      <c r="AH75" s="210"/>
    </row>
    <row r="76" spans="1:34" ht="12.75">
      <c r="A76" s="210">
        <v>129</v>
      </c>
      <c r="B76" s="248" t="s">
        <v>1775</v>
      </c>
      <c r="C76" s="215" t="s">
        <v>2300</v>
      </c>
      <c r="D76" s="210"/>
      <c r="E76" s="210" t="s">
        <v>2301</v>
      </c>
      <c r="F76" s="210"/>
      <c r="G76" s="210"/>
      <c r="H76" s="210"/>
      <c r="I76" s="210"/>
      <c r="J76" s="210"/>
      <c r="K76" s="210"/>
      <c r="L76" s="210"/>
      <c r="M76" s="210"/>
      <c r="N76" s="210"/>
      <c r="O76" s="210"/>
      <c r="P76" s="210"/>
      <c r="Q76" s="210"/>
      <c r="R76" s="210"/>
      <c r="S76" s="210"/>
      <c r="T76" s="210"/>
      <c r="U76" s="210"/>
      <c r="V76" s="210"/>
      <c r="W76" s="210"/>
      <c r="X76" s="210"/>
      <c r="Y76" s="210"/>
      <c r="Z76" s="210"/>
      <c r="AA76" s="210"/>
      <c r="AB76" s="210"/>
      <c r="AC76" s="210"/>
      <c r="AD76" s="210"/>
      <c r="AE76" s="210"/>
      <c r="AF76" s="210"/>
      <c r="AG76" s="210"/>
      <c r="AH76" s="210"/>
    </row>
    <row r="77" spans="1:34" ht="12.75">
      <c r="A77" s="210">
        <v>133</v>
      </c>
      <c r="B77" s="249" t="s">
        <v>1789</v>
      </c>
      <c r="C77" s="215" t="s">
        <v>2302</v>
      </c>
      <c r="D77" s="210"/>
      <c r="E77" s="210"/>
      <c r="F77" s="210"/>
      <c r="G77" s="210"/>
      <c r="H77" s="210"/>
      <c r="I77" s="210"/>
      <c r="J77" s="210"/>
      <c r="K77" s="210"/>
      <c r="L77" s="210"/>
      <c r="M77" s="210"/>
      <c r="N77" s="210"/>
      <c r="O77" s="210"/>
      <c r="P77" s="210"/>
      <c r="Q77" s="210"/>
      <c r="R77" s="210"/>
      <c r="S77" s="210"/>
      <c r="T77" s="210"/>
      <c r="U77" s="210"/>
      <c r="V77" s="210"/>
      <c r="W77" s="210"/>
      <c r="X77" s="210"/>
      <c r="Y77" s="210"/>
      <c r="Z77" s="210"/>
      <c r="AA77" s="210"/>
      <c r="AB77" s="210"/>
      <c r="AC77" s="210"/>
      <c r="AD77" s="210"/>
      <c r="AE77" s="210"/>
      <c r="AF77" s="210"/>
      <c r="AG77" s="210"/>
      <c r="AH77" s="210"/>
    </row>
    <row r="78" spans="1:34" ht="12.75">
      <c r="A78" s="210">
        <v>135</v>
      </c>
      <c r="B78" s="249" t="s">
        <v>2303</v>
      </c>
      <c r="C78" s="215" t="s">
        <v>2298</v>
      </c>
      <c r="D78" s="210" t="s">
        <v>2299</v>
      </c>
      <c r="E78" s="210"/>
      <c r="F78" s="210"/>
      <c r="G78" s="210"/>
      <c r="H78" s="210"/>
      <c r="I78" s="210"/>
      <c r="J78" s="210"/>
      <c r="K78" s="210"/>
      <c r="L78" s="210"/>
      <c r="M78" s="210"/>
      <c r="N78" s="210"/>
      <c r="O78" s="210"/>
      <c r="P78" s="210"/>
      <c r="Q78" s="210"/>
      <c r="R78" s="210"/>
      <c r="S78" s="210"/>
      <c r="T78" s="210"/>
      <c r="U78" s="210"/>
      <c r="V78" s="210"/>
      <c r="W78" s="210"/>
      <c r="X78" s="210"/>
      <c r="Y78" s="210"/>
      <c r="Z78" s="210"/>
      <c r="AA78" s="210"/>
      <c r="AB78" s="210"/>
      <c r="AC78" s="210"/>
      <c r="AD78" s="210"/>
      <c r="AE78" s="210"/>
      <c r="AF78" s="210"/>
      <c r="AG78" s="210"/>
      <c r="AH78" s="210"/>
    </row>
    <row r="79" spans="1:34" ht="12.75" customHeight="1">
      <c r="A79" s="210">
        <v>142</v>
      </c>
      <c r="B79" s="249" t="s">
        <v>2223</v>
      </c>
      <c r="C79" s="215" t="s">
        <v>2304</v>
      </c>
      <c r="D79" s="210"/>
      <c r="E79" s="210"/>
      <c r="F79" s="210"/>
      <c r="G79" s="249" t="s">
        <v>2223</v>
      </c>
      <c r="H79" s="225"/>
      <c r="I79" s="225" t="s">
        <v>2305</v>
      </c>
      <c r="J79" s="250" t="s">
        <v>2306</v>
      </c>
      <c r="K79" s="251" t="s">
        <v>44</v>
      </c>
      <c r="L79" s="223" t="s">
        <v>2307</v>
      </c>
      <c r="M79" s="252" t="s">
        <v>24</v>
      </c>
      <c r="N79" s="253" t="s">
        <v>374</v>
      </c>
      <c r="O79" s="254" t="s">
        <v>2308</v>
      </c>
      <c r="P79" s="255" t="s">
        <v>2309</v>
      </c>
      <c r="Q79" s="256"/>
      <c r="R79" s="224" t="s">
        <v>19</v>
      </c>
      <c r="S79" s="224">
        <v>1</v>
      </c>
      <c r="T79" s="257" t="s">
        <v>2310</v>
      </c>
      <c r="U79" s="258"/>
      <c r="V79" s="225"/>
      <c r="W79" s="225"/>
      <c r="X79" s="225"/>
      <c r="Y79" s="225"/>
      <c r="Z79" s="225"/>
      <c r="AA79" s="225"/>
      <c r="AB79" s="250" t="s">
        <v>2311</v>
      </c>
      <c r="AC79" s="225" t="s">
        <v>2312</v>
      </c>
      <c r="AD79" s="225"/>
      <c r="AE79" s="225"/>
      <c r="AF79" s="225"/>
      <c r="AG79" s="225"/>
      <c r="AH79" s="225"/>
    </row>
    <row r="80" spans="1:34" ht="12.75" customHeight="1">
      <c r="A80" s="210" t="s">
        <v>2313</v>
      </c>
      <c r="B80" s="210" t="s">
        <v>19</v>
      </c>
      <c r="C80" s="215" t="s">
        <v>2314</v>
      </c>
      <c r="D80" s="210"/>
      <c r="E80" s="210"/>
      <c r="F80" s="210"/>
      <c r="G80" s="221" t="s">
        <v>2315</v>
      </c>
      <c r="H80" s="259" t="s">
        <v>2316</v>
      </c>
      <c r="I80" s="225" t="s">
        <v>2317</v>
      </c>
      <c r="J80" s="225"/>
      <c r="K80" s="260" t="s">
        <v>44</v>
      </c>
      <c r="L80" s="223"/>
      <c r="M80" s="225" t="s">
        <v>40</v>
      </c>
      <c r="N80" s="261" t="s">
        <v>2318</v>
      </c>
      <c r="O80" s="254" t="s">
        <v>2319</v>
      </c>
      <c r="P80" s="262"/>
      <c r="Q80" s="210"/>
      <c r="R80" s="224" t="s">
        <v>19</v>
      </c>
      <c r="S80" s="224">
        <v>1</v>
      </c>
      <c r="T80" s="225"/>
      <c r="U80" s="258" t="s">
        <v>620</v>
      </c>
      <c r="V80" s="225"/>
      <c r="W80" s="225"/>
      <c r="X80" s="225"/>
      <c r="Y80" s="225"/>
      <c r="Z80" s="225"/>
      <c r="AA80" s="225" t="s">
        <v>2320</v>
      </c>
      <c r="AB80" s="223"/>
      <c r="AC80" s="225"/>
      <c r="AD80" s="250"/>
      <c r="AE80" s="225"/>
      <c r="AF80" s="225"/>
      <c r="AG80" s="225"/>
      <c r="AH80" s="225"/>
    </row>
    <row r="81" spans="1:34" ht="12.75" customHeight="1">
      <c r="A81" s="210"/>
      <c r="B81" s="210"/>
      <c r="C81" s="210"/>
      <c r="D81" s="210"/>
      <c r="E81" s="210"/>
      <c r="F81" s="210"/>
      <c r="G81" s="263" t="s">
        <v>2321</v>
      </c>
      <c r="H81" s="259" t="s">
        <v>2322</v>
      </c>
      <c r="I81" s="225" t="s">
        <v>2323</v>
      </c>
      <c r="J81" s="225"/>
      <c r="K81" s="260"/>
      <c r="L81" s="223"/>
      <c r="M81" s="225"/>
      <c r="N81" s="226"/>
      <c r="O81" s="254" t="s">
        <v>2324</v>
      </c>
      <c r="P81" s="262"/>
      <c r="Q81" s="210"/>
      <c r="R81" s="224" t="s">
        <v>19</v>
      </c>
      <c r="S81" s="224" t="s">
        <v>20</v>
      </c>
      <c r="T81" s="225"/>
      <c r="U81" s="258"/>
      <c r="V81" s="225"/>
      <c r="W81" s="225"/>
      <c r="X81" s="225"/>
      <c r="Y81" s="225"/>
      <c r="Z81" s="225"/>
      <c r="AA81" s="225"/>
      <c r="AB81" s="223"/>
      <c r="AC81" s="225"/>
      <c r="AD81" s="250"/>
      <c r="AE81" s="225"/>
      <c r="AF81" s="225"/>
      <c r="AG81" s="225"/>
      <c r="AH81" s="225"/>
    </row>
    <row r="82" spans="1:34" ht="12.75" customHeight="1">
      <c r="A82" s="210"/>
      <c r="B82" s="210"/>
      <c r="C82" s="210"/>
      <c r="D82" s="210"/>
      <c r="E82" s="210"/>
      <c r="F82" s="264" t="s">
        <v>2325</v>
      </c>
      <c r="G82" s="265" t="s">
        <v>2326</v>
      </c>
      <c r="H82" s="266" t="s">
        <v>2327</v>
      </c>
      <c r="I82" s="267" t="s">
        <v>2328</v>
      </c>
      <c r="J82" s="267" t="s">
        <v>2329</v>
      </c>
      <c r="K82" s="268" t="s">
        <v>21</v>
      </c>
      <c r="L82" s="267"/>
      <c r="M82" s="267" t="s">
        <v>40</v>
      </c>
      <c r="N82" s="261"/>
      <c r="O82" s="254" t="s">
        <v>2308</v>
      </c>
      <c r="P82" s="262"/>
      <c r="Q82" s="269" t="s">
        <v>2330</v>
      </c>
      <c r="R82" s="270" t="s">
        <v>19</v>
      </c>
      <c r="S82" s="270" t="s">
        <v>20</v>
      </c>
      <c r="T82" s="267"/>
      <c r="U82" s="261"/>
      <c r="V82" s="267"/>
      <c r="W82" s="267"/>
      <c r="X82" s="267"/>
      <c r="Y82" s="267"/>
      <c r="Z82" s="267"/>
      <c r="AA82" s="267"/>
      <c r="AB82" s="267"/>
      <c r="AC82" s="271"/>
      <c r="AD82" s="271"/>
      <c r="AE82" s="271"/>
      <c r="AF82" s="272"/>
      <c r="AG82" s="272"/>
      <c r="AH82" s="271"/>
    </row>
    <row r="83" spans="1:34" ht="12.75" customHeight="1">
      <c r="A83" s="210"/>
      <c r="B83" s="210"/>
      <c r="C83" s="210"/>
      <c r="D83" s="210"/>
      <c r="E83" s="210"/>
      <c r="F83" s="273" t="s">
        <v>2331</v>
      </c>
      <c r="G83" s="274" t="s">
        <v>2332</v>
      </c>
      <c r="H83" s="275" t="s">
        <v>2333</v>
      </c>
      <c r="I83" s="267" t="s">
        <v>2332</v>
      </c>
      <c r="J83" s="267"/>
      <c r="K83" s="268"/>
      <c r="L83" s="266"/>
      <c r="M83" s="267"/>
      <c r="N83" s="261"/>
      <c r="O83" s="276" t="s">
        <v>2244</v>
      </c>
      <c r="P83" s="262"/>
      <c r="Q83" s="277" t="s">
        <v>2334</v>
      </c>
      <c r="R83" s="224" t="s">
        <v>19</v>
      </c>
      <c r="S83" s="224" t="s">
        <v>20</v>
      </c>
      <c r="T83" s="278"/>
      <c r="U83" s="279"/>
      <c r="V83" s="223"/>
      <c r="W83" s="223"/>
      <c r="X83" s="278"/>
      <c r="Y83" s="278"/>
      <c r="Z83" s="278"/>
      <c r="AA83" s="278"/>
      <c r="AB83" s="223"/>
      <c r="AC83" s="280"/>
      <c r="AD83" s="225"/>
      <c r="AE83" s="225"/>
      <c r="AF83" s="225"/>
      <c r="AG83" s="225"/>
      <c r="AH83" s="225"/>
    </row>
    <row r="84" spans="1:34" ht="12.75" customHeight="1">
      <c r="A84" s="210">
        <v>164</v>
      </c>
      <c r="B84" s="281" t="s">
        <v>2335</v>
      </c>
      <c r="C84" s="210" t="s">
        <v>2336</v>
      </c>
      <c r="D84" s="210"/>
      <c r="E84" s="210"/>
      <c r="F84" s="210"/>
      <c r="G84" s="281" t="s">
        <v>2335</v>
      </c>
      <c r="H84" s="282" t="s">
        <v>2333</v>
      </c>
      <c r="I84" s="223" t="s">
        <v>2337</v>
      </c>
      <c r="J84" s="223"/>
      <c r="K84" s="260"/>
      <c r="L84" s="223"/>
      <c r="M84" s="267" t="s">
        <v>40</v>
      </c>
      <c r="N84" s="283"/>
      <c r="O84" s="254" t="s">
        <v>2319</v>
      </c>
      <c r="P84" s="262"/>
      <c r="Q84" s="284" t="s">
        <v>2338</v>
      </c>
      <c r="R84" s="224" t="s">
        <v>19</v>
      </c>
      <c r="S84" s="224" t="s">
        <v>20</v>
      </c>
      <c r="T84" s="278"/>
      <c r="U84" s="279"/>
      <c r="V84" s="223"/>
      <c r="W84" s="223"/>
      <c r="X84" s="278"/>
      <c r="Y84" s="278"/>
      <c r="Z84" s="278"/>
      <c r="AA84" s="278"/>
      <c r="AB84" s="223"/>
      <c r="AC84" s="225"/>
      <c r="AD84" s="225"/>
      <c r="AE84" s="225"/>
      <c r="AF84" s="225"/>
      <c r="AG84" s="225"/>
      <c r="AH84" s="225"/>
    </row>
    <row r="85" spans="1:34" ht="12.75">
      <c r="A85" s="210">
        <v>167</v>
      </c>
      <c r="B85" s="239" t="s">
        <v>2339</v>
      </c>
      <c r="C85" s="210" t="s">
        <v>2340</v>
      </c>
      <c r="D85" s="210" t="s">
        <v>2341</v>
      </c>
      <c r="E85" s="210"/>
      <c r="F85" s="210"/>
      <c r="G85" s="210"/>
      <c r="H85" s="210"/>
      <c r="I85" s="210"/>
      <c r="J85" s="210"/>
      <c r="K85" s="210"/>
      <c r="L85" s="210"/>
      <c r="M85" s="210"/>
      <c r="N85" s="210"/>
      <c r="O85" s="210"/>
      <c r="P85" s="210"/>
      <c r="Q85" s="210"/>
      <c r="R85" s="210"/>
      <c r="S85" s="210"/>
      <c r="T85" s="210"/>
      <c r="U85" s="210"/>
      <c r="V85" s="210"/>
      <c r="W85" s="210"/>
      <c r="X85" s="210"/>
      <c r="Y85" s="210"/>
      <c r="Z85" s="210"/>
      <c r="AA85" s="210"/>
      <c r="AB85" s="210"/>
      <c r="AC85" s="210"/>
      <c r="AD85" s="210"/>
      <c r="AE85" s="210"/>
      <c r="AF85" s="210"/>
      <c r="AG85" s="210"/>
      <c r="AH85" s="210"/>
    </row>
    <row r="86" spans="1:34" ht="12.75">
      <c r="A86" s="210">
        <v>168</v>
      </c>
      <c r="B86" s="238" t="s">
        <v>1328</v>
      </c>
      <c r="C86" s="210" t="s">
        <v>2340</v>
      </c>
      <c r="D86" s="210" t="s">
        <v>2341</v>
      </c>
      <c r="E86" s="210"/>
      <c r="F86" s="210"/>
      <c r="G86" s="210"/>
      <c r="H86" s="210"/>
      <c r="I86" s="210"/>
      <c r="J86" s="210"/>
      <c r="K86" s="210"/>
      <c r="L86" s="210"/>
      <c r="M86" s="210"/>
      <c r="N86" s="210"/>
      <c r="O86" s="210"/>
      <c r="P86" s="210"/>
      <c r="Q86" s="210"/>
      <c r="R86" s="210"/>
      <c r="S86" s="210"/>
      <c r="T86" s="210"/>
      <c r="U86" s="210"/>
      <c r="V86" s="210"/>
      <c r="W86" s="210"/>
      <c r="X86" s="210"/>
      <c r="Y86" s="210"/>
      <c r="Z86" s="210"/>
      <c r="AA86" s="210"/>
      <c r="AB86" s="210"/>
      <c r="AC86" s="210"/>
      <c r="AD86" s="210"/>
      <c r="AE86" s="210"/>
      <c r="AF86" s="210"/>
      <c r="AG86" s="210"/>
      <c r="AH86" s="210"/>
    </row>
    <row r="87" spans="1:34" ht="12.75">
      <c r="A87" s="210">
        <v>171</v>
      </c>
      <c r="B87" s="210" t="s">
        <v>446</v>
      </c>
      <c r="C87" s="210" t="s">
        <v>2342</v>
      </c>
      <c r="D87" s="210" t="s">
        <v>2343</v>
      </c>
      <c r="E87" s="210"/>
      <c r="F87" s="210"/>
      <c r="G87" s="210"/>
      <c r="H87" s="210"/>
      <c r="I87" s="210"/>
      <c r="J87" s="210"/>
      <c r="K87" s="210"/>
      <c r="L87" s="210"/>
      <c r="M87" s="210"/>
      <c r="N87" s="210"/>
      <c r="O87" s="210"/>
      <c r="P87" s="210"/>
      <c r="Q87" s="210"/>
      <c r="R87" s="210"/>
      <c r="S87" s="210"/>
      <c r="T87" s="210"/>
      <c r="U87" s="210"/>
      <c r="V87" s="210"/>
      <c r="W87" s="210"/>
      <c r="X87" s="210"/>
      <c r="Y87" s="210"/>
      <c r="Z87" s="210"/>
      <c r="AA87" s="210"/>
      <c r="AB87" s="210"/>
      <c r="AC87" s="210"/>
      <c r="AD87" s="210"/>
      <c r="AE87" s="210"/>
      <c r="AF87" s="210"/>
      <c r="AG87" s="210"/>
      <c r="AH87" s="210"/>
    </row>
    <row r="88" spans="1:34" ht="12.75">
      <c r="A88" s="210">
        <v>187</v>
      </c>
      <c r="B88" s="236" t="s">
        <v>2344</v>
      </c>
      <c r="C88" s="210" t="s">
        <v>2345</v>
      </c>
      <c r="D88" s="210" t="s">
        <v>2346</v>
      </c>
      <c r="E88" s="210"/>
      <c r="F88" s="210"/>
      <c r="G88" s="210"/>
      <c r="H88" s="210"/>
      <c r="I88" s="210"/>
      <c r="J88" s="210"/>
      <c r="K88" s="210"/>
      <c r="L88" s="210"/>
      <c r="M88" s="210"/>
      <c r="N88" s="210"/>
      <c r="O88" s="210"/>
      <c r="P88" s="210"/>
      <c r="Q88" s="210"/>
      <c r="R88" s="210"/>
      <c r="S88" s="210"/>
      <c r="T88" s="210"/>
      <c r="U88" s="210"/>
      <c r="V88" s="210"/>
      <c r="W88" s="210"/>
      <c r="X88" s="210"/>
      <c r="Y88" s="210"/>
      <c r="Z88" s="210"/>
      <c r="AA88" s="210"/>
      <c r="AB88" s="210"/>
      <c r="AC88" s="210"/>
      <c r="AD88" s="210"/>
      <c r="AE88" s="210"/>
      <c r="AF88" s="210"/>
      <c r="AG88" s="210"/>
      <c r="AH88" s="210"/>
    </row>
    <row r="89" spans="1:34" ht="12.75">
      <c r="A89" s="210">
        <v>199</v>
      </c>
      <c r="B89" s="285" t="s">
        <v>1456</v>
      </c>
      <c r="C89" s="210" t="s">
        <v>2347</v>
      </c>
      <c r="D89" s="210" t="s">
        <v>2348</v>
      </c>
      <c r="E89" s="210"/>
      <c r="F89" s="210"/>
      <c r="G89" s="210"/>
      <c r="H89" s="210"/>
      <c r="I89" s="210"/>
      <c r="J89" s="210"/>
      <c r="K89" s="210"/>
      <c r="L89" s="210"/>
      <c r="M89" s="210"/>
      <c r="N89" s="210"/>
      <c r="O89" s="210"/>
      <c r="P89" s="210"/>
      <c r="Q89" s="210"/>
      <c r="R89" s="210"/>
      <c r="S89" s="210"/>
      <c r="T89" s="210"/>
      <c r="U89" s="210"/>
      <c r="V89" s="210"/>
      <c r="W89" s="210"/>
      <c r="X89" s="210"/>
      <c r="Y89" s="210"/>
      <c r="Z89" s="210"/>
      <c r="AA89" s="210"/>
      <c r="AB89" s="210"/>
      <c r="AC89" s="210"/>
      <c r="AD89" s="210"/>
      <c r="AE89" s="210"/>
      <c r="AF89" s="210"/>
      <c r="AG89" s="210"/>
      <c r="AH89" s="210"/>
    </row>
    <row r="90" spans="1:34" ht="12.75">
      <c r="A90" s="210">
        <v>200</v>
      </c>
      <c r="B90" s="286" t="s">
        <v>2349</v>
      </c>
      <c r="C90" s="210" t="s">
        <v>2350</v>
      </c>
      <c r="D90" s="210" t="s">
        <v>2351</v>
      </c>
      <c r="E90" s="210"/>
      <c r="F90" s="210"/>
      <c r="G90" s="210"/>
      <c r="H90" s="210"/>
      <c r="I90" s="210"/>
      <c r="J90" s="210"/>
      <c r="K90" s="210"/>
      <c r="L90" s="210"/>
      <c r="M90" s="210"/>
      <c r="N90" s="210"/>
      <c r="O90" s="210"/>
      <c r="P90" s="210"/>
      <c r="Q90" s="210"/>
      <c r="R90" s="210"/>
      <c r="S90" s="210"/>
      <c r="T90" s="210"/>
      <c r="U90" s="210"/>
      <c r="V90" s="210"/>
      <c r="W90" s="210"/>
      <c r="X90" s="210"/>
      <c r="Y90" s="210"/>
      <c r="Z90" s="210"/>
      <c r="AA90" s="210"/>
      <c r="AB90" s="210"/>
      <c r="AC90" s="210"/>
      <c r="AD90" s="210"/>
      <c r="AE90" s="210"/>
      <c r="AF90" s="210"/>
      <c r="AG90" s="210"/>
      <c r="AH90" s="210"/>
    </row>
    <row r="91" spans="1:34" ht="12.75">
      <c r="A91" s="210">
        <v>201</v>
      </c>
      <c r="B91" s="287" t="s">
        <v>2352</v>
      </c>
      <c r="C91" s="210" t="s">
        <v>2353</v>
      </c>
      <c r="D91" s="210" t="s">
        <v>2351</v>
      </c>
      <c r="E91" s="210"/>
      <c r="F91" s="210"/>
      <c r="G91" s="210"/>
      <c r="H91" s="210"/>
      <c r="I91" s="210"/>
      <c r="J91" s="210"/>
      <c r="K91" s="210"/>
      <c r="L91" s="210"/>
      <c r="M91" s="210"/>
      <c r="N91" s="210"/>
      <c r="O91" s="210"/>
      <c r="P91" s="210"/>
      <c r="Q91" s="210"/>
      <c r="R91" s="210"/>
      <c r="S91" s="210"/>
      <c r="T91" s="210"/>
      <c r="U91" s="210"/>
      <c r="V91" s="210"/>
      <c r="W91" s="210"/>
      <c r="X91" s="210"/>
      <c r="Y91" s="210"/>
      <c r="Z91" s="210"/>
      <c r="AA91" s="210"/>
      <c r="AB91" s="210"/>
      <c r="AC91" s="210"/>
      <c r="AD91" s="210"/>
      <c r="AE91" s="210"/>
      <c r="AF91" s="210"/>
      <c r="AG91" s="210"/>
      <c r="AH91" s="210"/>
    </row>
    <row r="92" spans="1:34" ht="12.75">
      <c r="A92" s="210">
        <v>202</v>
      </c>
      <c r="B92" s="220" t="s">
        <v>2354</v>
      </c>
      <c r="C92" s="210" t="s">
        <v>2340</v>
      </c>
      <c r="D92" s="210" t="s">
        <v>2173</v>
      </c>
      <c r="E92" s="210"/>
      <c r="F92" s="210"/>
      <c r="G92" s="210"/>
      <c r="H92" s="210"/>
      <c r="I92" s="210"/>
      <c r="J92" s="210"/>
      <c r="K92" s="210"/>
      <c r="L92" s="210"/>
      <c r="M92" s="210"/>
      <c r="N92" s="210"/>
      <c r="O92" s="210"/>
      <c r="P92" s="210"/>
      <c r="Q92" s="210"/>
      <c r="R92" s="210"/>
      <c r="S92" s="210"/>
      <c r="T92" s="210"/>
      <c r="U92" s="210"/>
      <c r="V92" s="210"/>
      <c r="W92" s="210"/>
      <c r="X92" s="210"/>
      <c r="Y92" s="210"/>
      <c r="Z92" s="210"/>
      <c r="AA92" s="210"/>
      <c r="AB92" s="210"/>
      <c r="AC92" s="210"/>
      <c r="AD92" s="210"/>
      <c r="AE92" s="210"/>
      <c r="AF92" s="210"/>
      <c r="AG92" s="210"/>
      <c r="AH92" s="210"/>
    </row>
    <row r="93" spans="1:34" ht="12.75">
      <c r="A93" s="210">
        <v>204</v>
      </c>
      <c r="B93" s="220" t="s">
        <v>2355</v>
      </c>
      <c r="C93" s="210" t="s">
        <v>2340</v>
      </c>
      <c r="D93" s="210" t="s">
        <v>2173</v>
      </c>
      <c r="E93" s="210"/>
      <c r="F93" s="210"/>
      <c r="G93" s="210"/>
      <c r="H93" s="210"/>
      <c r="I93" s="210"/>
      <c r="J93" s="210"/>
      <c r="K93" s="210"/>
      <c r="L93" s="210"/>
      <c r="M93" s="210"/>
      <c r="N93" s="210"/>
      <c r="O93" s="210"/>
      <c r="P93" s="210"/>
      <c r="Q93" s="210"/>
      <c r="R93" s="210"/>
      <c r="S93" s="210"/>
      <c r="T93" s="210"/>
      <c r="U93" s="210"/>
      <c r="V93" s="210"/>
      <c r="W93" s="210"/>
      <c r="X93" s="210"/>
      <c r="Y93" s="210"/>
      <c r="Z93" s="210"/>
      <c r="AA93" s="210"/>
      <c r="AB93" s="210"/>
      <c r="AC93" s="210"/>
      <c r="AD93" s="210"/>
      <c r="AE93" s="210"/>
      <c r="AF93" s="210"/>
      <c r="AG93" s="210"/>
      <c r="AH93" s="210"/>
    </row>
    <row r="94" spans="1:34" ht="12.75">
      <c r="A94" s="210">
        <v>205</v>
      </c>
      <c r="B94" s="220" t="s">
        <v>2356</v>
      </c>
      <c r="C94" s="210" t="s">
        <v>2340</v>
      </c>
      <c r="D94" s="210" t="s">
        <v>2173</v>
      </c>
      <c r="E94" s="210"/>
      <c r="F94" s="210"/>
      <c r="G94" s="210"/>
      <c r="H94" s="210"/>
      <c r="I94" s="210"/>
      <c r="J94" s="210"/>
      <c r="K94" s="210"/>
      <c r="L94" s="210"/>
      <c r="M94" s="210"/>
      <c r="N94" s="210"/>
      <c r="O94" s="210"/>
      <c r="P94" s="210"/>
      <c r="Q94" s="210"/>
      <c r="R94" s="210"/>
      <c r="S94" s="210"/>
      <c r="T94" s="210"/>
      <c r="U94" s="210"/>
      <c r="V94" s="210"/>
      <c r="W94" s="210"/>
      <c r="X94" s="210"/>
      <c r="Y94" s="210"/>
      <c r="Z94" s="210"/>
      <c r="AA94" s="210"/>
      <c r="AB94" s="210"/>
      <c r="AC94" s="210"/>
      <c r="AD94" s="210"/>
      <c r="AE94" s="210"/>
      <c r="AF94" s="210"/>
      <c r="AG94" s="210"/>
      <c r="AH94" s="210"/>
    </row>
    <row r="95" spans="1:34" ht="12.75">
      <c r="A95" s="210" t="s">
        <v>2357</v>
      </c>
      <c r="B95" s="237" t="s">
        <v>2358</v>
      </c>
      <c r="C95" s="210" t="s">
        <v>2359</v>
      </c>
      <c r="D95" s="210" t="s">
        <v>2360</v>
      </c>
      <c r="E95" s="210"/>
      <c r="F95" s="210"/>
      <c r="G95" s="210"/>
      <c r="H95" s="210"/>
      <c r="I95" s="210"/>
      <c r="J95" s="210"/>
      <c r="K95" s="210"/>
      <c r="L95" s="210"/>
      <c r="M95" s="210"/>
      <c r="N95" s="210"/>
      <c r="O95" s="210"/>
      <c r="P95" s="210"/>
      <c r="Q95" s="210"/>
      <c r="R95" s="210"/>
      <c r="S95" s="210"/>
      <c r="T95" s="210"/>
      <c r="U95" s="210"/>
      <c r="V95" s="210"/>
      <c r="W95" s="210"/>
      <c r="X95" s="210"/>
      <c r="Y95" s="210"/>
      <c r="Z95" s="210"/>
      <c r="AA95" s="210"/>
      <c r="AB95" s="210"/>
      <c r="AC95" s="210"/>
      <c r="AD95" s="210"/>
      <c r="AE95" s="210"/>
      <c r="AF95" s="210"/>
      <c r="AG95" s="210"/>
      <c r="AH95" s="210"/>
    </row>
    <row r="96" spans="1:34" ht="12.75">
      <c r="A96" s="210" t="s">
        <v>2357</v>
      </c>
      <c r="B96" s="237" t="s">
        <v>2361</v>
      </c>
      <c r="C96" s="210" t="s">
        <v>2359</v>
      </c>
      <c r="D96" s="210" t="s">
        <v>2360</v>
      </c>
      <c r="E96" s="210"/>
      <c r="F96" s="210"/>
      <c r="G96" s="210"/>
      <c r="H96" s="210"/>
      <c r="I96" s="210"/>
      <c r="J96" s="210"/>
      <c r="K96" s="210"/>
      <c r="L96" s="210"/>
      <c r="M96" s="210"/>
      <c r="N96" s="210"/>
      <c r="O96" s="210"/>
      <c r="P96" s="210"/>
      <c r="Q96" s="210"/>
      <c r="R96" s="210"/>
      <c r="S96" s="210"/>
      <c r="T96" s="210"/>
      <c r="U96" s="210"/>
      <c r="V96" s="210"/>
      <c r="W96" s="210"/>
      <c r="X96" s="210"/>
      <c r="Y96" s="210"/>
      <c r="Z96" s="210"/>
      <c r="AA96" s="210"/>
      <c r="AB96" s="210"/>
      <c r="AC96" s="210"/>
      <c r="AD96" s="210"/>
      <c r="AE96" s="210"/>
      <c r="AF96" s="210"/>
      <c r="AG96" s="210"/>
      <c r="AH96" s="210"/>
    </row>
    <row r="97" spans="1:34" ht="12.75">
      <c r="A97" s="210" t="s">
        <v>2357</v>
      </c>
      <c r="B97" s="221" t="s">
        <v>2362</v>
      </c>
      <c r="C97" s="210" t="s">
        <v>2359</v>
      </c>
      <c r="D97" s="210" t="s">
        <v>2360</v>
      </c>
      <c r="E97" s="210"/>
      <c r="F97" s="210"/>
      <c r="G97" s="210"/>
      <c r="H97" s="210"/>
      <c r="I97" s="210"/>
      <c r="J97" s="210"/>
      <c r="K97" s="210"/>
      <c r="L97" s="210"/>
      <c r="M97" s="210"/>
      <c r="N97" s="210"/>
      <c r="O97" s="210"/>
      <c r="P97" s="210"/>
      <c r="Q97" s="210"/>
      <c r="R97" s="210"/>
      <c r="S97" s="210"/>
      <c r="T97" s="210"/>
      <c r="U97" s="210"/>
      <c r="V97" s="210"/>
      <c r="W97" s="210"/>
      <c r="X97" s="210"/>
      <c r="Y97" s="210"/>
      <c r="Z97" s="210"/>
      <c r="AA97" s="210"/>
      <c r="AB97" s="210"/>
      <c r="AC97" s="210"/>
      <c r="AD97" s="210"/>
      <c r="AE97" s="210"/>
      <c r="AF97" s="210"/>
      <c r="AG97" s="210"/>
      <c r="AH97" s="210"/>
    </row>
    <row r="98" spans="1:34" ht="12.75">
      <c r="A98" s="210" t="s">
        <v>2357</v>
      </c>
      <c r="B98" s="220" t="s">
        <v>2363</v>
      </c>
      <c r="C98" s="210" t="s">
        <v>2359</v>
      </c>
      <c r="D98" s="210" t="s">
        <v>2360</v>
      </c>
      <c r="E98" s="210"/>
      <c r="F98" s="210"/>
      <c r="G98" s="210"/>
      <c r="H98" s="210"/>
      <c r="I98" s="210"/>
      <c r="J98" s="210"/>
      <c r="K98" s="210"/>
      <c r="L98" s="210"/>
      <c r="M98" s="210"/>
      <c r="N98" s="210"/>
      <c r="O98" s="210"/>
      <c r="P98" s="210"/>
      <c r="Q98" s="210"/>
      <c r="R98" s="210"/>
      <c r="S98" s="210"/>
      <c r="T98" s="210"/>
      <c r="U98" s="210"/>
      <c r="V98" s="210"/>
      <c r="W98" s="210"/>
      <c r="X98" s="210"/>
      <c r="Y98" s="210"/>
      <c r="Z98" s="210"/>
      <c r="AA98" s="210"/>
      <c r="AB98" s="210"/>
      <c r="AC98" s="210"/>
      <c r="AD98" s="210"/>
      <c r="AE98" s="210"/>
      <c r="AF98" s="210"/>
      <c r="AG98" s="210"/>
      <c r="AH98" s="210"/>
    </row>
    <row r="99" spans="1:34" ht="12.75">
      <c r="A99" s="210" t="s">
        <v>2357</v>
      </c>
      <c r="B99" s="220" t="s">
        <v>2364</v>
      </c>
      <c r="C99" s="210" t="s">
        <v>2359</v>
      </c>
      <c r="D99" s="210" t="s">
        <v>2360</v>
      </c>
      <c r="E99" s="210"/>
      <c r="F99" s="210"/>
      <c r="G99" s="210"/>
      <c r="H99" s="210"/>
      <c r="I99" s="210"/>
      <c r="J99" s="210"/>
      <c r="K99" s="210"/>
      <c r="L99" s="210"/>
      <c r="M99" s="210"/>
      <c r="N99" s="210"/>
      <c r="O99" s="210"/>
      <c r="P99" s="210"/>
      <c r="Q99" s="210"/>
      <c r="R99" s="210"/>
      <c r="S99" s="210"/>
      <c r="T99" s="210"/>
      <c r="U99" s="210"/>
      <c r="V99" s="210"/>
      <c r="W99" s="210"/>
      <c r="X99" s="210"/>
      <c r="Y99" s="210"/>
      <c r="Z99" s="210"/>
      <c r="AA99" s="210"/>
      <c r="AB99" s="210"/>
      <c r="AC99" s="210"/>
      <c r="AD99" s="210"/>
      <c r="AE99" s="210"/>
      <c r="AF99" s="210"/>
      <c r="AG99" s="210"/>
      <c r="AH99" s="210"/>
    </row>
    <row r="100" spans="1:34" ht="12.75">
      <c r="A100" s="210" t="s">
        <v>2357</v>
      </c>
      <c r="B100" s="229" t="s">
        <v>2365</v>
      </c>
      <c r="C100" s="210" t="s">
        <v>2359</v>
      </c>
      <c r="D100" s="210" t="s">
        <v>2360</v>
      </c>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c r="AA100" s="210"/>
      <c r="AB100" s="210"/>
      <c r="AC100" s="210"/>
      <c r="AD100" s="210"/>
      <c r="AE100" s="210"/>
      <c r="AF100" s="210"/>
      <c r="AG100" s="210"/>
      <c r="AH100" s="210"/>
    </row>
    <row r="101" spans="1:34" ht="12.75">
      <c r="A101" s="210" t="s">
        <v>2357</v>
      </c>
      <c r="B101" s="229" t="s">
        <v>2366</v>
      </c>
      <c r="C101" s="210" t="s">
        <v>2359</v>
      </c>
      <c r="D101" s="210" t="s">
        <v>2360</v>
      </c>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210"/>
      <c r="AH101" s="210"/>
    </row>
    <row r="102" spans="1:34" ht="12.75">
      <c r="A102" s="210" t="s">
        <v>2357</v>
      </c>
      <c r="B102" s="237" t="s">
        <v>2367</v>
      </c>
      <c r="C102" s="210" t="s">
        <v>2359</v>
      </c>
      <c r="D102" s="210" t="s">
        <v>2360</v>
      </c>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210"/>
      <c r="AH102" s="210"/>
    </row>
    <row r="103" spans="1:34" ht="12.75">
      <c r="A103" s="216" t="s">
        <v>2368</v>
      </c>
      <c r="B103" s="237" t="s">
        <v>2369</v>
      </c>
      <c r="C103" s="210" t="s">
        <v>2359</v>
      </c>
      <c r="D103" s="210" t="s">
        <v>2370</v>
      </c>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c r="AA103" s="210"/>
      <c r="AB103" s="210"/>
      <c r="AC103" s="210"/>
      <c r="AD103" s="210"/>
      <c r="AE103" s="210"/>
      <c r="AF103" s="210"/>
      <c r="AG103" s="210"/>
      <c r="AH103" s="210"/>
    </row>
    <row r="104" spans="1:34" ht="12.75">
      <c r="A104" s="216" t="s">
        <v>2368</v>
      </c>
      <c r="B104" s="237" t="s">
        <v>2371</v>
      </c>
      <c r="C104" s="210" t="s">
        <v>2359</v>
      </c>
      <c r="D104" s="210" t="s">
        <v>2370</v>
      </c>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c r="AE104" s="210"/>
      <c r="AF104" s="210"/>
      <c r="AG104" s="210"/>
      <c r="AH104" s="210"/>
    </row>
    <row r="105" spans="1:34" ht="12.75">
      <c r="A105" s="216" t="s">
        <v>2368</v>
      </c>
      <c r="B105" s="229" t="s">
        <v>2372</v>
      </c>
      <c r="C105" s="210" t="s">
        <v>2359</v>
      </c>
      <c r="D105" s="210" t="s">
        <v>2370</v>
      </c>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c r="AA105" s="210"/>
      <c r="AB105" s="210"/>
      <c r="AC105" s="210"/>
      <c r="AD105" s="210"/>
      <c r="AE105" s="210"/>
      <c r="AF105" s="210"/>
      <c r="AG105" s="210"/>
      <c r="AH105" s="210"/>
    </row>
    <row r="106" spans="1:34" ht="12.75">
      <c r="A106" s="216" t="s">
        <v>2368</v>
      </c>
      <c r="B106" s="229" t="s">
        <v>2373</v>
      </c>
      <c r="C106" s="210" t="s">
        <v>2359</v>
      </c>
      <c r="D106" s="210" t="s">
        <v>2370</v>
      </c>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c r="AA106" s="210"/>
      <c r="AB106" s="210"/>
      <c r="AC106" s="210"/>
      <c r="AD106" s="210"/>
      <c r="AE106" s="210"/>
      <c r="AF106" s="210"/>
      <c r="AG106" s="210"/>
      <c r="AH106" s="210"/>
    </row>
    <row r="107" spans="1:34" ht="12.75">
      <c r="A107" s="210">
        <v>239</v>
      </c>
      <c r="B107" s="237" t="s">
        <v>2374</v>
      </c>
      <c r="C107" s="210" t="s">
        <v>2359</v>
      </c>
      <c r="D107" s="210" t="s">
        <v>2370</v>
      </c>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c r="AA107" s="210"/>
      <c r="AB107" s="210"/>
      <c r="AC107" s="210"/>
      <c r="AD107" s="210"/>
      <c r="AE107" s="210"/>
      <c r="AF107" s="210"/>
      <c r="AG107" s="210"/>
      <c r="AH107" s="210"/>
    </row>
    <row r="108" spans="1:34" ht="12.75">
      <c r="A108" s="210" t="s">
        <v>2375</v>
      </c>
      <c r="B108" s="210" t="s">
        <v>19</v>
      </c>
      <c r="C108" s="210" t="s">
        <v>2376</v>
      </c>
      <c r="D108" s="210" t="s">
        <v>2377</v>
      </c>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c r="AE108" s="210"/>
      <c r="AF108" s="210"/>
      <c r="AG108" s="210"/>
      <c r="AH108" s="210"/>
    </row>
    <row r="109" spans="1:34" ht="12.75">
      <c r="A109" s="210" t="s">
        <v>2378</v>
      </c>
      <c r="B109" s="210" t="s">
        <v>19</v>
      </c>
      <c r="C109" s="210" t="s">
        <v>2376</v>
      </c>
      <c r="D109" s="210" t="s">
        <v>2377</v>
      </c>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c r="AA109" s="210"/>
      <c r="AB109" s="210"/>
      <c r="AC109" s="210"/>
      <c r="AD109" s="210"/>
      <c r="AE109" s="210"/>
      <c r="AF109" s="210"/>
      <c r="AG109" s="210"/>
      <c r="AH109" s="210"/>
    </row>
    <row r="110" spans="1:34" ht="12.75">
      <c r="A110" s="210">
        <v>292</v>
      </c>
      <c r="B110" s="233" t="s">
        <v>2379</v>
      </c>
      <c r="C110" s="210" t="s">
        <v>2380</v>
      </c>
      <c r="D110" s="210" t="s">
        <v>2381</v>
      </c>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210"/>
      <c r="AH110" s="210"/>
    </row>
    <row r="111" spans="1:34" ht="12.75">
      <c r="A111" s="210">
        <v>288</v>
      </c>
      <c r="B111" s="236" t="s">
        <v>2382</v>
      </c>
      <c r="C111" s="210" t="s">
        <v>2380</v>
      </c>
      <c r="D111" s="210" t="s">
        <v>2381</v>
      </c>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c r="AE111" s="210"/>
      <c r="AF111" s="210"/>
      <c r="AG111" s="210"/>
      <c r="AH111" s="210"/>
    </row>
    <row r="112" spans="1:34" ht="12.75">
      <c r="A112" s="210">
        <v>274</v>
      </c>
      <c r="B112" s="288" t="s">
        <v>711</v>
      </c>
      <c r="C112" s="210" t="s">
        <v>2380</v>
      </c>
      <c r="D112" s="210" t="s">
        <v>2381</v>
      </c>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c r="AA112" s="210"/>
      <c r="AB112" s="210"/>
      <c r="AC112" s="210"/>
      <c r="AD112" s="210"/>
      <c r="AE112" s="210"/>
      <c r="AF112" s="210"/>
      <c r="AG112" s="210"/>
      <c r="AH112" s="210"/>
    </row>
    <row r="113" spans="1:34" ht="12.75">
      <c r="A113" s="210">
        <v>249</v>
      </c>
      <c r="B113" s="233" t="s">
        <v>1129</v>
      </c>
      <c r="C113" s="210" t="s">
        <v>2383</v>
      </c>
      <c r="D113" s="210" t="s">
        <v>2381</v>
      </c>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c r="AA113" s="210"/>
      <c r="AB113" s="210"/>
      <c r="AC113" s="210"/>
      <c r="AD113" s="210"/>
      <c r="AE113" s="210"/>
      <c r="AF113" s="210"/>
      <c r="AG113" s="210"/>
      <c r="AH113" s="210"/>
    </row>
    <row r="114" spans="1:34" ht="12.75">
      <c r="A114" s="210"/>
      <c r="B114" s="210" t="s">
        <v>2384</v>
      </c>
      <c r="C114" s="210" t="s">
        <v>2385</v>
      </c>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c r="AA114" s="210"/>
      <c r="AB114" s="210"/>
      <c r="AC114" s="210"/>
      <c r="AD114" s="210"/>
      <c r="AE114" s="210"/>
      <c r="AF114" s="210"/>
      <c r="AG114" s="210"/>
      <c r="AH114" s="210"/>
    </row>
    <row r="115" spans="1:34" ht="12.75">
      <c r="A115" s="210">
        <v>169</v>
      </c>
      <c r="B115" s="239" t="s">
        <v>2386</v>
      </c>
      <c r="C115" s="210" t="s">
        <v>2387</v>
      </c>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c r="AA115" s="210"/>
      <c r="AB115" s="210"/>
      <c r="AC115" s="210"/>
      <c r="AD115" s="210"/>
      <c r="AE115" s="210"/>
      <c r="AF115" s="210"/>
      <c r="AG115" s="210"/>
      <c r="AH115" s="210"/>
    </row>
    <row r="116" spans="1:34" ht="12.75">
      <c r="A116" s="210">
        <v>21</v>
      </c>
      <c r="B116" s="289" t="s">
        <v>2233</v>
      </c>
      <c r="C116" s="210" t="s">
        <v>2388</v>
      </c>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c r="AA116" s="210"/>
      <c r="AB116" s="210"/>
      <c r="AC116" s="210"/>
      <c r="AD116" s="210"/>
      <c r="AE116" s="210"/>
      <c r="AF116" s="210"/>
      <c r="AG116" s="210"/>
      <c r="AH116" s="210"/>
    </row>
    <row r="117" spans="1:34" ht="12.75">
      <c r="A117" s="210">
        <v>40</v>
      </c>
      <c r="B117" s="230" t="s">
        <v>2389</v>
      </c>
      <c r="C117" s="210" t="s">
        <v>2390</v>
      </c>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c r="AA117" s="210"/>
      <c r="AB117" s="210"/>
      <c r="AC117" s="210"/>
      <c r="AD117" s="210"/>
      <c r="AE117" s="210"/>
      <c r="AF117" s="210"/>
      <c r="AG117" s="210"/>
      <c r="AH117" s="210"/>
    </row>
    <row r="118" spans="1:34" ht="12.75">
      <c r="A118" s="210">
        <v>78</v>
      </c>
      <c r="B118" s="290" t="s">
        <v>2391</v>
      </c>
      <c r="C118" s="210" t="s">
        <v>2390</v>
      </c>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c r="AA118" s="210"/>
      <c r="AB118" s="210"/>
      <c r="AC118" s="210"/>
      <c r="AD118" s="210"/>
      <c r="AE118" s="210"/>
      <c r="AF118" s="210"/>
      <c r="AG118" s="210"/>
      <c r="AH118" s="210"/>
    </row>
    <row r="119" spans="1:34" ht="12.75">
      <c r="A119" s="210">
        <v>27</v>
      </c>
      <c r="B119" s="228" t="s">
        <v>2024</v>
      </c>
      <c r="C119" s="210" t="s">
        <v>2392</v>
      </c>
      <c r="D119" s="210" t="s">
        <v>2393</v>
      </c>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c r="AA119" s="210"/>
      <c r="AB119" s="210"/>
      <c r="AC119" s="210"/>
      <c r="AD119" s="210"/>
      <c r="AE119" s="210"/>
      <c r="AF119" s="210"/>
      <c r="AG119" s="210"/>
      <c r="AH119" s="210"/>
    </row>
    <row r="120" spans="1:34" ht="12.75">
      <c r="A120" s="210" t="s">
        <v>19</v>
      </c>
      <c r="B120" s="210" t="s">
        <v>2394</v>
      </c>
      <c r="C120" s="210" t="s">
        <v>2395</v>
      </c>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c r="AA120" s="210"/>
      <c r="AB120" s="210"/>
      <c r="AC120" s="210"/>
      <c r="AD120" s="210"/>
      <c r="AE120" s="210"/>
      <c r="AF120" s="210"/>
      <c r="AG120" s="210"/>
      <c r="AH120" s="210"/>
    </row>
    <row r="121" spans="1:34" ht="12.75">
      <c r="A121" s="210">
        <v>47</v>
      </c>
      <c r="B121" s="234" t="s">
        <v>266</v>
      </c>
      <c r="C121" s="210" t="s">
        <v>2392</v>
      </c>
      <c r="D121" s="210" t="s">
        <v>2396</v>
      </c>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c r="AA121" s="210"/>
      <c r="AB121" s="210"/>
      <c r="AC121" s="210"/>
      <c r="AD121" s="210"/>
      <c r="AE121" s="210"/>
      <c r="AF121" s="210"/>
      <c r="AG121" s="210"/>
      <c r="AH121" s="210"/>
    </row>
    <row r="122" spans="1:34" ht="14.25" customHeight="1">
      <c r="A122" s="210">
        <v>235</v>
      </c>
      <c r="B122" s="210" t="s">
        <v>2397</v>
      </c>
      <c r="C122" s="223" t="s">
        <v>2398</v>
      </c>
      <c r="D122" s="291"/>
      <c r="E122" s="237" t="s">
        <v>882</v>
      </c>
      <c r="F122" s="292" t="s">
        <v>2399</v>
      </c>
      <c r="G122" s="226" t="s">
        <v>883</v>
      </c>
      <c r="H122" s="223" t="s">
        <v>2400</v>
      </c>
      <c r="I122" s="260" t="s">
        <v>44</v>
      </c>
      <c r="J122" s="223" t="s">
        <v>2307</v>
      </c>
      <c r="K122" s="225" t="s">
        <v>219</v>
      </c>
      <c r="L122" s="258">
        <v>15</v>
      </c>
      <c r="M122" s="293" t="s">
        <v>2308</v>
      </c>
      <c r="N122" s="262"/>
      <c r="O122" s="256"/>
      <c r="P122" s="224" t="s">
        <v>19</v>
      </c>
      <c r="Q122" s="224">
        <v>1</v>
      </c>
      <c r="R122" s="225"/>
      <c r="S122" s="294"/>
      <c r="T122" s="225"/>
      <c r="U122" s="225"/>
      <c r="V122" s="225"/>
      <c r="W122" s="225"/>
      <c r="X122" s="225"/>
      <c r="Y122" s="225"/>
      <c r="Z122" s="223"/>
      <c r="AA122" s="225" t="s">
        <v>2312</v>
      </c>
      <c r="AB122" s="225"/>
      <c r="AC122" s="225"/>
      <c r="AD122" s="225"/>
      <c r="AE122" s="225"/>
      <c r="AF122" s="225"/>
      <c r="AG122" s="210"/>
      <c r="AH122" s="210"/>
    </row>
    <row r="123" spans="1:34" ht="12.75" customHeight="1">
      <c r="A123" s="210">
        <v>236</v>
      </c>
      <c r="B123" s="210" t="s">
        <v>2397</v>
      </c>
      <c r="C123" s="223" t="s">
        <v>2398</v>
      </c>
      <c r="D123" s="291"/>
      <c r="E123" s="237" t="s">
        <v>886</v>
      </c>
      <c r="F123" s="292" t="s">
        <v>2401</v>
      </c>
      <c r="G123" s="226" t="s">
        <v>887</v>
      </c>
      <c r="H123" s="223" t="s">
        <v>2402</v>
      </c>
      <c r="I123" s="260" t="s">
        <v>44</v>
      </c>
      <c r="J123" s="223" t="s">
        <v>2403</v>
      </c>
      <c r="K123" s="252" t="s">
        <v>24</v>
      </c>
      <c r="L123" s="253" t="s">
        <v>2404</v>
      </c>
      <c r="M123" s="293" t="s">
        <v>2405</v>
      </c>
      <c r="N123" s="262"/>
      <c r="O123" s="256"/>
      <c r="P123" s="224" t="s">
        <v>19</v>
      </c>
      <c r="Q123" s="224">
        <v>1</v>
      </c>
      <c r="R123" s="225"/>
      <c r="S123" s="294"/>
      <c r="T123" s="225"/>
      <c r="U123" s="225"/>
      <c r="V123" s="225"/>
      <c r="W123" s="225"/>
      <c r="X123" s="225"/>
      <c r="Y123" s="225"/>
      <c r="Z123" s="223"/>
      <c r="AA123" s="225" t="s">
        <v>2312</v>
      </c>
      <c r="AB123" s="225"/>
      <c r="AC123" s="225"/>
      <c r="AD123" s="225"/>
      <c r="AE123" s="225"/>
      <c r="AF123" s="225"/>
      <c r="AG123" s="210"/>
      <c r="AH123" s="210"/>
    </row>
    <row r="124" spans="1:34" ht="12.75">
      <c r="A124" s="210"/>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c r="AA124" s="210"/>
      <c r="AB124" s="210"/>
      <c r="AC124" s="210"/>
      <c r="AD124" s="210"/>
      <c r="AE124" s="210"/>
      <c r="AF124" s="210"/>
      <c r="AG124" s="210"/>
      <c r="AH124" s="210"/>
    </row>
    <row r="125" spans="1:34" ht="12.75">
      <c r="A125" s="210"/>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c r="AA125" s="210"/>
      <c r="AB125" s="210"/>
      <c r="AC125" s="210"/>
      <c r="AD125" s="210"/>
      <c r="AE125" s="210"/>
      <c r="AF125" s="210"/>
      <c r="AG125" s="210"/>
      <c r="AH125" s="210"/>
    </row>
    <row r="126" spans="1:34" ht="12.75">
      <c r="A126" s="210"/>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c r="AA126" s="210"/>
      <c r="AB126" s="210"/>
      <c r="AC126" s="210"/>
      <c r="AD126" s="210"/>
      <c r="AE126" s="210"/>
      <c r="AF126" s="210"/>
      <c r="AG126" s="210"/>
      <c r="AH126" s="210"/>
    </row>
    <row r="127" spans="1:34" ht="12.75">
      <c r="A127" s="210"/>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c r="AA127" s="210"/>
      <c r="AB127" s="210"/>
      <c r="AC127" s="210"/>
      <c r="AD127" s="210"/>
      <c r="AE127" s="210"/>
      <c r="AF127" s="210"/>
      <c r="AG127" s="210"/>
      <c r="AH127" s="210"/>
    </row>
    <row r="128" spans="1:34" ht="12.75">
      <c r="A128" s="210"/>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c r="AA128" s="210"/>
      <c r="AB128" s="210"/>
      <c r="AC128" s="210"/>
      <c r="AD128" s="210"/>
      <c r="AE128" s="210"/>
      <c r="AF128" s="210"/>
      <c r="AG128" s="210"/>
      <c r="AH128" s="210"/>
    </row>
    <row r="129" spans="1:34" ht="12.75">
      <c r="A129" s="210"/>
      <c r="B129" s="210"/>
      <c r="C129" s="210"/>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c r="AA129" s="210"/>
      <c r="AB129" s="210"/>
      <c r="AC129" s="210"/>
      <c r="AD129" s="210"/>
      <c r="AE129" s="210"/>
      <c r="AF129" s="210"/>
      <c r="AG129" s="210"/>
      <c r="AH129" s="210"/>
    </row>
    <row r="130" spans="1:34" ht="12.75">
      <c r="A130" s="210"/>
      <c r="B130" s="210"/>
      <c r="C130" s="210"/>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c r="AA130" s="210"/>
      <c r="AB130" s="210"/>
      <c r="AC130" s="210"/>
      <c r="AD130" s="210"/>
      <c r="AE130" s="210"/>
      <c r="AF130" s="210"/>
      <c r="AG130" s="210"/>
      <c r="AH130" s="210"/>
    </row>
    <row r="131" spans="1:34" ht="12.75">
      <c r="A131" s="210"/>
      <c r="B131" s="210"/>
      <c r="C131" s="210"/>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c r="AA131" s="210"/>
      <c r="AB131" s="210"/>
      <c r="AC131" s="210"/>
      <c r="AD131" s="210"/>
      <c r="AE131" s="210"/>
      <c r="AF131" s="210"/>
      <c r="AG131" s="210"/>
      <c r="AH131" s="210"/>
    </row>
    <row r="132" spans="1:34" ht="12.75">
      <c r="A132" s="210"/>
      <c r="B132" s="210"/>
      <c r="C132" s="210"/>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c r="AA132" s="210"/>
      <c r="AB132" s="210"/>
      <c r="AC132" s="210"/>
      <c r="AD132" s="210"/>
      <c r="AE132" s="210"/>
      <c r="AF132" s="210"/>
      <c r="AG132" s="210"/>
      <c r="AH132" s="210"/>
    </row>
    <row r="133" spans="1:34" ht="12.75">
      <c r="A133" s="210"/>
      <c r="B133" s="210"/>
      <c r="C133" s="210"/>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c r="AA133" s="210"/>
      <c r="AB133" s="210"/>
      <c r="AC133" s="210"/>
      <c r="AD133" s="210"/>
      <c r="AE133" s="210"/>
      <c r="AF133" s="210"/>
      <c r="AG133" s="210"/>
      <c r="AH133" s="210"/>
    </row>
    <row r="134" spans="1:34" ht="12.75">
      <c r="A134" s="210"/>
      <c r="B134" s="210"/>
      <c r="C134" s="210"/>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c r="AA134" s="210"/>
      <c r="AB134" s="210"/>
      <c r="AC134" s="210"/>
      <c r="AD134" s="210"/>
      <c r="AE134" s="210"/>
      <c r="AF134" s="210"/>
      <c r="AG134" s="210"/>
      <c r="AH134" s="210"/>
    </row>
    <row r="135" spans="1:34" ht="12.75">
      <c r="A135" s="210"/>
      <c r="B135" s="210"/>
      <c r="C135" s="210"/>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c r="AA135" s="210"/>
      <c r="AB135" s="210"/>
      <c r="AC135" s="210"/>
      <c r="AD135" s="210"/>
      <c r="AE135" s="210"/>
      <c r="AF135" s="210"/>
      <c r="AG135" s="210"/>
      <c r="AH135" s="210"/>
    </row>
    <row r="136" spans="1:34" ht="12.75">
      <c r="A136" s="210"/>
      <c r="B136" s="210"/>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c r="AA136" s="210"/>
      <c r="AB136" s="210"/>
      <c r="AC136" s="210"/>
      <c r="AD136" s="210"/>
      <c r="AE136" s="210"/>
      <c r="AF136" s="210"/>
      <c r="AG136" s="210"/>
      <c r="AH136" s="210"/>
    </row>
    <row r="137" spans="1:34" ht="12.75">
      <c r="A137" s="210"/>
      <c r="B137" s="210"/>
      <c r="C137" s="210"/>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c r="AA137" s="210"/>
      <c r="AB137" s="210"/>
      <c r="AC137" s="210"/>
      <c r="AD137" s="210"/>
      <c r="AE137" s="210"/>
      <c r="AF137" s="210"/>
      <c r="AG137" s="210"/>
      <c r="AH137" s="210"/>
    </row>
    <row r="138" spans="1:34" ht="12.75">
      <c r="A138" s="210"/>
      <c r="B138" s="210"/>
      <c r="C138" s="210"/>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c r="AA138" s="210"/>
      <c r="AB138" s="210"/>
      <c r="AC138" s="210"/>
      <c r="AD138" s="210"/>
      <c r="AE138" s="210"/>
      <c r="AF138" s="210"/>
      <c r="AG138" s="210"/>
      <c r="AH138" s="210"/>
    </row>
    <row r="139" spans="1:34" ht="12.75">
      <c r="A139" s="210"/>
      <c r="B139" s="210"/>
      <c r="C139" s="210"/>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c r="AA139" s="210"/>
      <c r="AB139" s="210"/>
      <c r="AC139" s="210"/>
      <c r="AD139" s="210"/>
      <c r="AE139" s="210"/>
      <c r="AF139" s="210"/>
      <c r="AG139" s="210"/>
      <c r="AH139" s="210"/>
    </row>
    <row r="140" spans="1:34" ht="12.75">
      <c r="A140" s="210"/>
      <c r="B140" s="210"/>
      <c r="C140" s="210"/>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c r="AA140" s="210"/>
      <c r="AB140" s="210"/>
      <c r="AC140" s="210"/>
      <c r="AD140" s="210"/>
      <c r="AE140" s="210"/>
      <c r="AF140" s="210"/>
      <c r="AG140" s="210"/>
      <c r="AH140" s="210"/>
    </row>
    <row r="141" spans="1:34" ht="12.75">
      <c r="A141" s="210"/>
      <c r="B141" s="210"/>
      <c r="C141" s="210"/>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c r="AA141" s="210"/>
      <c r="AB141" s="210"/>
      <c r="AC141" s="210"/>
      <c r="AD141" s="210"/>
      <c r="AE141" s="210"/>
      <c r="AF141" s="210"/>
      <c r="AG141" s="210"/>
      <c r="AH141" s="210"/>
    </row>
    <row r="142" spans="1:34" ht="12.75">
      <c r="A142" s="210"/>
      <c r="B142" s="210"/>
      <c r="C142" s="210"/>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c r="AA142" s="210"/>
      <c r="AB142" s="210"/>
      <c r="AC142" s="210"/>
      <c r="AD142" s="210"/>
      <c r="AE142" s="210"/>
      <c r="AF142" s="210"/>
      <c r="AG142" s="210"/>
      <c r="AH142" s="210"/>
    </row>
    <row r="143" spans="1:34" ht="12.75">
      <c r="A143" s="210"/>
      <c r="B143" s="210"/>
      <c r="C143" s="210"/>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c r="AA143" s="210"/>
      <c r="AB143" s="210"/>
      <c r="AC143" s="210"/>
      <c r="AD143" s="210"/>
      <c r="AE143" s="210"/>
      <c r="AF143" s="210"/>
      <c r="AG143" s="210"/>
      <c r="AH143" s="210"/>
    </row>
    <row r="144" spans="1:34" ht="12.75">
      <c r="A144" s="210"/>
      <c r="B144" s="210"/>
      <c r="C144" s="210"/>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c r="AA144" s="210"/>
      <c r="AB144" s="210"/>
      <c r="AC144" s="210"/>
      <c r="AD144" s="210"/>
      <c r="AE144" s="210"/>
      <c r="AF144" s="210"/>
      <c r="AG144" s="210"/>
      <c r="AH144" s="210"/>
    </row>
    <row r="145" spans="1:34" ht="12.75">
      <c r="A145" s="210"/>
      <c r="B145" s="210"/>
      <c r="C145" s="210"/>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c r="AA145" s="210"/>
      <c r="AB145" s="210"/>
      <c r="AC145" s="210"/>
      <c r="AD145" s="210"/>
      <c r="AE145" s="210"/>
      <c r="AF145" s="210"/>
      <c r="AG145" s="210"/>
      <c r="AH145" s="210"/>
    </row>
    <row r="146" spans="1:34" ht="12.75">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c r="AA146" s="210"/>
      <c r="AB146" s="210"/>
      <c r="AC146" s="210"/>
      <c r="AD146" s="210"/>
      <c r="AE146" s="210"/>
      <c r="AF146" s="210"/>
      <c r="AG146" s="210"/>
      <c r="AH146" s="210"/>
    </row>
    <row r="147" spans="1:34" ht="12.75">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c r="AA147" s="210"/>
      <c r="AB147" s="210"/>
      <c r="AC147" s="210"/>
      <c r="AD147" s="210"/>
      <c r="AE147" s="210"/>
      <c r="AF147" s="210"/>
      <c r="AG147" s="210"/>
      <c r="AH147" s="210"/>
    </row>
    <row r="148" spans="1:34" ht="12.75">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c r="AA148" s="210"/>
      <c r="AB148" s="210"/>
      <c r="AC148" s="210"/>
      <c r="AD148" s="210"/>
      <c r="AE148" s="210"/>
      <c r="AF148" s="210"/>
      <c r="AG148" s="210"/>
      <c r="AH148" s="210"/>
    </row>
    <row r="149" spans="1:34" ht="12.75">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c r="AA149" s="210"/>
      <c r="AB149" s="210"/>
      <c r="AC149" s="210"/>
      <c r="AD149" s="210"/>
      <c r="AE149" s="210"/>
      <c r="AF149" s="210"/>
      <c r="AG149" s="210"/>
      <c r="AH149" s="210"/>
    </row>
    <row r="150" spans="1:34" ht="12.75">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c r="AA150" s="210"/>
      <c r="AB150" s="210"/>
      <c r="AC150" s="210"/>
      <c r="AD150" s="210"/>
      <c r="AE150" s="210"/>
      <c r="AF150" s="210"/>
      <c r="AG150" s="210"/>
      <c r="AH150" s="210"/>
    </row>
    <row r="151" spans="1:34" ht="12.75">
      <c r="A151" s="210"/>
      <c r="B151" s="210"/>
      <c r="C151" s="210"/>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c r="AA151" s="210"/>
      <c r="AB151" s="210"/>
      <c r="AC151" s="210"/>
      <c r="AD151" s="210"/>
      <c r="AE151" s="210"/>
      <c r="AF151" s="210"/>
      <c r="AG151" s="210"/>
      <c r="AH151" s="210"/>
    </row>
    <row r="152" spans="1:34" ht="12.75">
      <c r="A152" s="210"/>
      <c r="B152" s="210"/>
      <c r="C152" s="210"/>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c r="AA152" s="210"/>
      <c r="AB152" s="210"/>
      <c r="AC152" s="210"/>
      <c r="AD152" s="210"/>
      <c r="AE152" s="210"/>
      <c r="AF152" s="210"/>
      <c r="AG152" s="210"/>
      <c r="AH152" s="210"/>
    </row>
    <row r="153" spans="1:34" ht="12.75">
      <c r="A153" s="210"/>
      <c r="B153" s="210"/>
      <c r="C153" s="210"/>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c r="AA153" s="210"/>
      <c r="AB153" s="210"/>
      <c r="AC153" s="210"/>
      <c r="AD153" s="210"/>
      <c r="AE153" s="210"/>
      <c r="AF153" s="210"/>
      <c r="AG153" s="210"/>
      <c r="AH153" s="210"/>
    </row>
    <row r="154" spans="1:34" ht="12.75">
      <c r="A154" s="210"/>
      <c r="B154" s="210"/>
      <c r="C154" s="210"/>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c r="AA154" s="210"/>
      <c r="AB154" s="210"/>
      <c r="AC154" s="210"/>
      <c r="AD154" s="210"/>
      <c r="AE154" s="210"/>
      <c r="AF154" s="210"/>
      <c r="AG154" s="210"/>
      <c r="AH154" s="210"/>
    </row>
    <row r="155" spans="1:34" ht="12.75">
      <c r="A155" s="210"/>
      <c r="B155" s="210"/>
      <c r="C155" s="210"/>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c r="AA155" s="210"/>
      <c r="AB155" s="210"/>
      <c r="AC155" s="210"/>
      <c r="AD155" s="210"/>
      <c r="AE155" s="210"/>
      <c r="AF155" s="210"/>
      <c r="AG155" s="210"/>
      <c r="AH155" s="210"/>
    </row>
    <row r="156" spans="1:34" ht="12.75">
      <c r="A156" s="210"/>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c r="AA156" s="210"/>
      <c r="AB156" s="210"/>
      <c r="AC156" s="210"/>
      <c r="AD156" s="210"/>
      <c r="AE156" s="210"/>
      <c r="AF156" s="210"/>
      <c r="AG156" s="210"/>
      <c r="AH156" s="210"/>
    </row>
    <row r="157" spans="1:34" ht="12.75">
      <c r="A157" s="210"/>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c r="AA157" s="210"/>
      <c r="AB157" s="210"/>
      <c r="AC157" s="210"/>
      <c r="AD157" s="210"/>
      <c r="AE157" s="210"/>
      <c r="AF157" s="210"/>
      <c r="AG157" s="210"/>
      <c r="AH157" s="210"/>
    </row>
    <row r="158" spans="1:34" ht="12.75">
      <c r="A158" s="210"/>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c r="AA158" s="210"/>
      <c r="AB158" s="210"/>
      <c r="AC158" s="210"/>
      <c r="AD158" s="210"/>
      <c r="AE158" s="210"/>
      <c r="AF158" s="210"/>
      <c r="AG158" s="210"/>
      <c r="AH158" s="210"/>
    </row>
    <row r="159" spans="1:34" ht="12.75">
      <c r="A159" s="210"/>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c r="AA159" s="210"/>
      <c r="AB159" s="210"/>
      <c r="AC159" s="210"/>
      <c r="AD159" s="210"/>
      <c r="AE159" s="210"/>
      <c r="AF159" s="210"/>
      <c r="AG159" s="210"/>
      <c r="AH159" s="210"/>
    </row>
    <row r="160" spans="1:34" ht="12.75">
      <c r="A160" s="210"/>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c r="AA160" s="210"/>
      <c r="AB160" s="210"/>
      <c r="AC160" s="210"/>
      <c r="AD160" s="210"/>
      <c r="AE160" s="210"/>
      <c r="AF160" s="210"/>
      <c r="AG160" s="210"/>
      <c r="AH160" s="210"/>
    </row>
    <row r="161" spans="1:34" ht="12.75">
      <c r="A161" s="210"/>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c r="AA161" s="210"/>
      <c r="AB161" s="210"/>
      <c r="AC161" s="210"/>
      <c r="AD161" s="210"/>
      <c r="AE161" s="210"/>
      <c r="AF161" s="210"/>
      <c r="AG161" s="210"/>
      <c r="AH161" s="210"/>
    </row>
    <row r="162" spans="1:34" ht="12.75">
      <c r="A162" s="210"/>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c r="AA162" s="210"/>
      <c r="AB162" s="210"/>
      <c r="AC162" s="210"/>
      <c r="AD162" s="210"/>
      <c r="AE162" s="210"/>
      <c r="AF162" s="210"/>
      <c r="AG162" s="210"/>
      <c r="AH162" s="210"/>
    </row>
    <row r="163" spans="1:34" ht="12.75">
      <c r="A163" s="210"/>
      <c r="B163" s="210"/>
      <c r="C163" s="210"/>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c r="AA163" s="210"/>
      <c r="AB163" s="210"/>
      <c r="AC163" s="210"/>
      <c r="AD163" s="210"/>
      <c r="AE163" s="210"/>
      <c r="AF163" s="210"/>
      <c r="AG163" s="210"/>
      <c r="AH163" s="210"/>
    </row>
    <row r="164" spans="1:34" ht="12.75">
      <c r="A164" s="210"/>
      <c r="B164" s="210"/>
      <c r="C164" s="210"/>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c r="AA164" s="210"/>
      <c r="AB164" s="210"/>
      <c r="AC164" s="210"/>
      <c r="AD164" s="210"/>
      <c r="AE164" s="210"/>
      <c r="AF164" s="210"/>
      <c r="AG164" s="210"/>
      <c r="AH164" s="210"/>
    </row>
    <row r="165" spans="1:34" ht="12.75">
      <c r="A165" s="210"/>
      <c r="B165" s="210"/>
      <c r="C165" s="210"/>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c r="AA165" s="210"/>
      <c r="AB165" s="210"/>
      <c r="AC165" s="210"/>
      <c r="AD165" s="210"/>
      <c r="AE165" s="210"/>
      <c r="AF165" s="210"/>
      <c r="AG165" s="210"/>
      <c r="AH165" s="210"/>
    </row>
    <row r="166" spans="1:34" ht="12.75">
      <c r="A166" s="210"/>
      <c r="B166" s="210"/>
      <c r="C166" s="210"/>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c r="AA166" s="210"/>
      <c r="AB166" s="210"/>
      <c r="AC166" s="210"/>
      <c r="AD166" s="210"/>
      <c r="AE166" s="210"/>
      <c r="AF166" s="210"/>
      <c r="AG166" s="210"/>
      <c r="AH166" s="210"/>
    </row>
    <row r="167" spans="1:34" ht="12.75">
      <c r="A167" s="210"/>
      <c r="B167" s="210"/>
      <c r="C167" s="210"/>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c r="AA167" s="210"/>
      <c r="AB167" s="210"/>
      <c r="AC167" s="210"/>
      <c r="AD167" s="210"/>
      <c r="AE167" s="210"/>
      <c r="AF167" s="210"/>
      <c r="AG167" s="210"/>
      <c r="AH167" s="210"/>
    </row>
    <row r="168" spans="1:34" ht="12.75">
      <c r="A168" s="210"/>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c r="AA168" s="210"/>
      <c r="AB168" s="210"/>
      <c r="AC168" s="210"/>
      <c r="AD168" s="210"/>
      <c r="AE168" s="210"/>
      <c r="AF168" s="210"/>
      <c r="AG168" s="210"/>
      <c r="AH168" s="210"/>
    </row>
    <row r="169" spans="1:34" ht="12.75">
      <c r="A169" s="210"/>
      <c r="B169" s="210"/>
      <c r="C169" s="210"/>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c r="AA169" s="210"/>
      <c r="AB169" s="210"/>
      <c r="AC169" s="210"/>
      <c r="AD169" s="210"/>
      <c r="AE169" s="210"/>
      <c r="AF169" s="210"/>
      <c r="AG169" s="210"/>
      <c r="AH169" s="210"/>
    </row>
    <row r="170" spans="1:34" ht="12.75">
      <c r="A170" s="210"/>
      <c r="B170" s="210"/>
      <c r="C170" s="210"/>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c r="AA170" s="210"/>
      <c r="AB170" s="210"/>
      <c r="AC170" s="210"/>
      <c r="AD170" s="210"/>
      <c r="AE170" s="210"/>
      <c r="AF170" s="210"/>
      <c r="AG170" s="210"/>
      <c r="AH170" s="210"/>
    </row>
    <row r="171" spans="1:34" ht="12.75">
      <c r="A171" s="210"/>
      <c r="B171" s="210"/>
      <c r="C171" s="210"/>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c r="AA171" s="210"/>
      <c r="AB171" s="210"/>
      <c r="AC171" s="210"/>
      <c r="AD171" s="210"/>
      <c r="AE171" s="210"/>
      <c r="AF171" s="210"/>
      <c r="AG171" s="210"/>
      <c r="AH171" s="210"/>
    </row>
    <row r="172" spans="1:34" ht="12.75">
      <c r="A172" s="210"/>
      <c r="B172" s="210"/>
      <c r="C172" s="210"/>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c r="AA172" s="210"/>
      <c r="AB172" s="210"/>
      <c r="AC172" s="210"/>
      <c r="AD172" s="210"/>
      <c r="AE172" s="210"/>
      <c r="AF172" s="210"/>
      <c r="AG172" s="210"/>
      <c r="AH172" s="210"/>
    </row>
    <row r="173" spans="1:34" ht="12.75">
      <c r="A173" s="210"/>
      <c r="B173" s="210"/>
      <c r="C173" s="210"/>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c r="AA173" s="210"/>
      <c r="AB173" s="210"/>
      <c r="AC173" s="210"/>
      <c r="AD173" s="210"/>
      <c r="AE173" s="210"/>
      <c r="AF173" s="210"/>
      <c r="AG173" s="210"/>
      <c r="AH173" s="210"/>
    </row>
    <row r="174" spans="1:34" ht="12.75">
      <c r="A174" s="210"/>
      <c r="B174" s="210"/>
      <c r="C174" s="210"/>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c r="AA174" s="210"/>
      <c r="AB174" s="210"/>
      <c r="AC174" s="210"/>
      <c r="AD174" s="210"/>
      <c r="AE174" s="210"/>
      <c r="AF174" s="210"/>
      <c r="AG174" s="210"/>
      <c r="AH174" s="210"/>
    </row>
    <row r="175" spans="1:34" ht="12.75">
      <c r="A175" s="210"/>
      <c r="B175" s="210"/>
      <c r="C175" s="210"/>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c r="AG175" s="210"/>
      <c r="AH175" s="210"/>
    </row>
    <row r="176" spans="1:34" ht="12.75">
      <c r="A176" s="210"/>
      <c r="B176" s="210"/>
      <c r="C176" s="210"/>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c r="AA176" s="210"/>
      <c r="AB176" s="210"/>
      <c r="AC176" s="210"/>
      <c r="AD176" s="210"/>
      <c r="AE176" s="210"/>
      <c r="AF176" s="210"/>
      <c r="AG176" s="210"/>
      <c r="AH176" s="210"/>
    </row>
    <row r="177" spans="1:34" ht="12.75">
      <c r="A177" s="210"/>
      <c r="B177" s="210"/>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c r="AA177" s="210"/>
      <c r="AB177" s="210"/>
      <c r="AC177" s="210"/>
      <c r="AD177" s="210"/>
      <c r="AE177" s="210"/>
      <c r="AF177" s="210"/>
      <c r="AG177" s="210"/>
      <c r="AH177" s="210"/>
    </row>
    <row r="178" spans="1:34" ht="12.75">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c r="AA178" s="210"/>
      <c r="AB178" s="210"/>
      <c r="AC178" s="210"/>
      <c r="AD178" s="210"/>
      <c r="AE178" s="210"/>
      <c r="AF178" s="210"/>
      <c r="AG178" s="210"/>
      <c r="AH178" s="210"/>
    </row>
    <row r="179" spans="1:34" ht="12.75">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c r="AA179" s="210"/>
      <c r="AB179" s="210"/>
      <c r="AC179" s="210"/>
      <c r="AD179" s="210"/>
      <c r="AE179" s="210"/>
      <c r="AF179" s="210"/>
      <c r="AG179" s="210"/>
      <c r="AH179" s="210"/>
    </row>
    <row r="180" spans="1:34" ht="12.75">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c r="AA180" s="210"/>
      <c r="AB180" s="210"/>
      <c r="AC180" s="210"/>
      <c r="AD180" s="210"/>
      <c r="AE180" s="210"/>
      <c r="AF180" s="210"/>
      <c r="AG180" s="210"/>
      <c r="AH180" s="210"/>
    </row>
    <row r="181" spans="1:34" ht="12.75">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c r="AA181" s="210"/>
      <c r="AB181" s="210"/>
      <c r="AC181" s="210"/>
      <c r="AD181" s="210"/>
      <c r="AE181" s="210"/>
      <c r="AF181" s="210"/>
      <c r="AG181" s="210"/>
      <c r="AH181" s="210"/>
    </row>
    <row r="182" spans="1:34" ht="12.75">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c r="AA182" s="210"/>
      <c r="AB182" s="210"/>
      <c r="AC182" s="210"/>
      <c r="AD182" s="210"/>
      <c r="AE182" s="210"/>
      <c r="AF182" s="210"/>
      <c r="AG182" s="210"/>
      <c r="AH182" s="210"/>
    </row>
    <row r="183" spans="1:34" ht="12.75">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c r="AA183" s="210"/>
      <c r="AB183" s="210"/>
      <c r="AC183" s="210"/>
      <c r="AD183" s="210"/>
      <c r="AE183" s="210"/>
      <c r="AF183" s="210"/>
      <c r="AG183" s="210"/>
      <c r="AH183" s="210"/>
    </row>
    <row r="184" spans="1:34" ht="12.75">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c r="AA184" s="210"/>
      <c r="AB184" s="210"/>
      <c r="AC184" s="210"/>
      <c r="AD184" s="210"/>
      <c r="AE184" s="210"/>
      <c r="AF184" s="210"/>
      <c r="AG184" s="210"/>
      <c r="AH184" s="210"/>
    </row>
    <row r="185" spans="1:34" ht="12.75">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c r="AA185" s="210"/>
      <c r="AB185" s="210"/>
      <c r="AC185" s="210"/>
      <c r="AD185" s="210"/>
      <c r="AE185" s="210"/>
      <c r="AF185" s="210"/>
      <c r="AG185" s="210"/>
      <c r="AH185" s="210"/>
    </row>
    <row r="186" spans="1:34" ht="12.75">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c r="AA186" s="210"/>
      <c r="AB186" s="210"/>
      <c r="AC186" s="210"/>
      <c r="AD186" s="210"/>
      <c r="AE186" s="210"/>
      <c r="AF186" s="210"/>
      <c r="AG186" s="210"/>
      <c r="AH186" s="210"/>
    </row>
    <row r="187" spans="1:34" ht="12.75">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c r="AA187" s="210"/>
      <c r="AB187" s="210"/>
      <c r="AC187" s="210"/>
      <c r="AD187" s="210"/>
      <c r="AE187" s="210"/>
      <c r="AF187" s="210"/>
      <c r="AG187" s="210"/>
      <c r="AH187" s="210"/>
    </row>
    <row r="188" spans="1:34" ht="12.75">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c r="AA188" s="210"/>
      <c r="AB188" s="210"/>
      <c r="AC188" s="210"/>
      <c r="AD188" s="210"/>
      <c r="AE188" s="210"/>
      <c r="AF188" s="210"/>
      <c r="AG188" s="210"/>
      <c r="AH188" s="210"/>
    </row>
    <row r="189" spans="1:34" ht="12.75">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c r="AA189" s="210"/>
      <c r="AB189" s="210"/>
      <c r="AC189" s="210"/>
      <c r="AD189" s="210"/>
      <c r="AE189" s="210"/>
      <c r="AF189" s="210"/>
      <c r="AG189" s="210"/>
      <c r="AH189" s="210"/>
    </row>
    <row r="190" spans="1:34" ht="12.75">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c r="AA190" s="210"/>
      <c r="AB190" s="210"/>
      <c r="AC190" s="210"/>
      <c r="AD190" s="210"/>
      <c r="AE190" s="210"/>
      <c r="AF190" s="210"/>
      <c r="AG190" s="210"/>
      <c r="AH190" s="210"/>
    </row>
    <row r="191" spans="1:34" ht="12.75">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c r="AA191" s="210"/>
      <c r="AB191" s="210"/>
      <c r="AC191" s="210"/>
      <c r="AD191" s="210"/>
      <c r="AE191" s="210"/>
      <c r="AF191" s="210"/>
      <c r="AG191" s="210"/>
      <c r="AH191" s="210"/>
    </row>
    <row r="192" spans="1:34" ht="12.75">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c r="AA192" s="210"/>
      <c r="AB192" s="210"/>
      <c r="AC192" s="210"/>
      <c r="AD192" s="210"/>
      <c r="AE192" s="210"/>
      <c r="AF192" s="210"/>
      <c r="AG192" s="210"/>
      <c r="AH192" s="210"/>
    </row>
    <row r="193" spans="1:34" ht="12.75">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row>
    <row r="194" spans="1:34" ht="12.75">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row>
    <row r="195" spans="1:34" ht="12.75">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row>
    <row r="196" spans="1:34" ht="12.75">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row>
    <row r="197" spans="1:34" ht="12.75">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0"/>
    </row>
    <row r="198" spans="1:34" ht="12.75">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row>
    <row r="199" spans="1:34" ht="12.75">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row>
    <row r="200" spans="1:34" ht="12.75">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row>
    <row r="201" spans="1:34" ht="12.75">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c r="AA201" s="210"/>
      <c r="AB201" s="210"/>
      <c r="AC201" s="210"/>
      <c r="AD201" s="210"/>
      <c r="AE201" s="210"/>
      <c r="AF201" s="210"/>
      <c r="AG201" s="210"/>
      <c r="AH201" s="210"/>
    </row>
    <row r="202" spans="1:34" ht="12.75">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c r="AA202" s="210"/>
      <c r="AB202" s="210"/>
      <c r="AC202" s="210"/>
      <c r="AD202" s="210"/>
      <c r="AE202" s="210"/>
      <c r="AF202" s="210"/>
      <c r="AG202" s="210"/>
      <c r="AH202" s="210"/>
    </row>
    <row r="203" spans="1:34" ht="12.75">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row>
    <row r="204" spans="1:34" ht="12.75">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c r="AA204" s="210"/>
      <c r="AB204" s="210"/>
      <c r="AC204" s="210"/>
      <c r="AD204" s="210"/>
      <c r="AE204" s="210"/>
      <c r="AF204" s="210"/>
      <c r="AG204" s="210"/>
      <c r="AH204" s="210"/>
    </row>
    <row r="205" spans="1:34" ht="12.75">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c r="AA205" s="210"/>
      <c r="AB205" s="210"/>
      <c r="AC205" s="210"/>
      <c r="AD205" s="210"/>
      <c r="AE205" s="210"/>
      <c r="AF205" s="210"/>
      <c r="AG205" s="210"/>
      <c r="AH205" s="210"/>
    </row>
    <row r="206" spans="1:34" ht="12.75">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row>
    <row r="207" spans="1:34" ht="12.75">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row>
    <row r="208" spans="1:34" ht="12.75">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c r="AA208" s="210"/>
      <c r="AB208" s="210"/>
      <c r="AC208" s="210"/>
      <c r="AD208" s="210"/>
      <c r="AE208" s="210"/>
      <c r="AF208" s="210"/>
      <c r="AG208" s="210"/>
      <c r="AH208" s="210"/>
    </row>
    <row r="209" spans="1:34" ht="12.75">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210"/>
      <c r="AH209" s="210"/>
    </row>
    <row r="210" spans="1:34" ht="12.75">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210"/>
      <c r="AH210" s="210"/>
    </row>
    <row r="211" spans="1:34" ht="12.75">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row>
    <row r="212" spans="1:34" ht="12.75">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c r="AA212" s="210"/>
      <c r="AB212" s="210"/>
      <c r="AC212" s="210"/>
      <c r="AD212" s="210"/>
      <c r="AE212" s="210"/>
      <c r="AF212" s="210"/>
      <c r="AG212" s="210"/>
      <c r="AH212" s="210"/>
    </row>
    <row r="213" spans="1:34" ht="12.75">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210"/>
      <c r="AH213" s="210"/>
    </row>
    <row r="214" spans="1:34" ht="12.75">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210"/>
      <c r="AH214" s="210"/>
    </row>
    <row r="215" spans="1:34" ht="12.75">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c r="AA215" s="210"/>
      <c r="AB215" s="210"/>
      <c r="AC215" s="210"/>
      <c r="AD215" s="210"/>
      <c r="AE215" s="210"/>
      <c r="AF215" s="210"/>
      <c r="AG215" s="210"/>
      <c r="AH215" s="210"/>
    </row>
    <row r="216" spans="1:34" ht="12.75">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c r="AA216" s="210"/>
      <c r="AB216" s="210"/>
      <c r="AC216" s="210"/>
      <c r="AD216" s="210"/>
      <c r="AE216" s="210"/>
      <c r="AF216" s="210"/>
      <c r="AG216" s="210"/>
      <c r="AH216" s="210"/>
    </row>
    <row r="217" spans="1:34" ht="12.75">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c r="AA217" s="210"/>
      <c r="AB217" s="210"/>
      <c r="AC217" s="210"/>
      <c r="AD217" s="210"/>
      <c r="AE217" s="210"/>
      <c r="AF217" s="210"/>
      <c r="AG217" s="210"/>
      <c r="AH217" s="210"/>
    </row>
    <row r="218" spans="1:34" ht="12.75">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210"/>
      <c r="AH218" s="210"/>
    </row>
    <row r="219" spans="1:34" ht="12.75">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210"/>
      <c r="AH219" s="210"/>
    </row>
    <row r="220" spans="1:34" ht="12.75">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210"/>
      <c r="AH220" s="210"/>
    </row>
    <row r="221" spans="1:34" ht="12.75">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c r="AA221" s="210"/>
      <c r="AB221" s="210"/>
      <c r="AC221" s="210"/>
      <c r="AD221" s="210"/>
      <c r="AE221" s="210"/>
      <c r="AF221" s="210"/>
      <c r="AG221" s="210"/>
      <c r="AH221" s="210"/>
    </row>
    <row r="222" spans="1:34" ht="12.75">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c r="AA222" s="210"/>
      <c r="AB222" s="210"/>
      <c r="AC222" s="210"/>
      <c r="AD222" s="210"/>
      <c r="AE222" s="210"/>
      <c r="AF222" s="210"/>
      <c r="AG222" s="210"/>
      <c r="AH222" s="210"/>
    </row>
    <row r="223" spans="1:34" ht="12.75">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row>
    <row r="224" spans="1:34" ht="12.75">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c r="AA224" s="210"/>
      <c r="AB224" s="210"/>
      <c r="AC224" s="210"/>
      <c r="AD224" s="210"/>
      <c r="AE224" s="210"/>
      <c r="AF224" s="210"/>
      <c r="AG224" s="210"/>
      <c r="AH224" s="210"/>
    </row>
    <row r="225" spans="1:34" ht="12.75">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c r="AA225" s="210"/>
      <c r="AB225" s="210"/>
      <c r="AC225" s="210"/>
      <c r="AD225" s="210"/>
      <c r="AE225" s="210"/>
      <c r="AF225" s="210"/>
      <c r="AG225" s="210"/>
      <c r="AH225" s="210"/>
    </row>
    <row r="226" spans="1:34" ht="12.75">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c r="AA226" s="210"/>
      <c r="AB226" s="210"/>
      <c r="AC226" s="210"/>
      <c r="AD226" s="210"/>
      <c r="AE226" s="210"/>
      <c r="AF226" s="210"/>
      <c r="AG226" s="210"/>
      <c r="AH226" s="210"/>
    </row>
    <row r="227" spans="1:34" ht="12.75">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c r="Z227" s="210"/>
      <c r="AA227" s="210"/>
      <c r="AB227" s="210"/>
      <c r="AC227" s="210"/>
      <c r="AD227" s="210"/>
      <c r="AE227" s="210"/>
      <c r="AF227" s="210"/>
      <c r="AG227" s="210"/>
      <c r="AH227" s="210"/>
    </row>
    <row r="228" spans="1:34" ht="12.75">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c r="AA228" s="210"/>
      <c r="AB228" s="210"/>
      <c r="AC228" s="210"/>
      <c r="AD228" s="210"/>
      <c r="AE228" s="210"/>
      <c r="AF228" s="210"/>
      <c r="AG228" s="210"/>
      <c r="AH228" s="210"/>
    </row>
    <row r="229" spans="1:34" ht="12.75">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row>
    <row r="230" spans="1:34" ht="12.75">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c r="AA230" s="210"/>
      <c r="AB230" s="210"/>
      <c r="AC230" s="210"/>
      <c r="AD230" s="210"/>
      <c r="AE230" s="210"/>
      <c r="AF230" s="210"/>
      <c r="AG230" s="210"/>
      <c r="AH230" s="210"/>
    </row>
    <row r="231" spans="1:34" ht="12.75">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c r="Z231" s="210"/>
      <c r="AA231" s="210"/>
      <c r="AB231" s="210"/>
      <c r="AC231" s="210"/>
      <c r="AD231" s="210"/>
      <c r="AE231" s="210"/>
      <c r="AF231" s="210"/>
      <c r="AG231" s="210"/>
      <c r="AH231" s="210"/>
    </row>
    <row r="232" spans="1:34" ht="12.75">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c r="AA232" s="210"/>
      <c r="AB232" s="210"/>
      <c r="AC232" s="210"/>
      <c r="AD232" s="210"/>
      <c r="AE232" s="210"/>
      <c r="AF232" s="210"/>
      <c r="AG232" s="210"/>
      <c r="AH232" s="210"/>
    </row>
    <row r="233" spans="1:34" ht="12.75">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c r="Z233" s="210"/>
      <c r="AA233" s="210"/>
      <c r="AB233" s="210"/>
      <c r="AC233" s="210"/>
      <c r="AD233" s="210"/>
      <c r="AE233" s="210"/>
      <c r="AF233" s="210"/>
      <c r="AG233" s="210"/>
      <c r="AH233" s="210"/>
    </row>
    <row r="234" spans="1:34" ht="12.75">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c r="Z234" s="210"/>
      <c r="AA234" s="210"/>
      <c r="AB234" s="210"/>
      <c r="AC234" s="210"/>
      <c r="AD234" s="210"/>
      <c r="AE234" s="210"/>
      <c r="AF234" s="210"/>
      <c r="AG234" s="210"/>
      <c r="AH234" s="210"/>
    </row>
    <row r="235" spans="1:34" ht="12.75">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c r="Z235" s="210"/>
      <c r="AA235" s="210"/>
      <c r="AB235" s="210"/>
      <c r="AC235" s="210"/>
      <c r="AD235" s="210"/>
      <c r="AE235" s="210"/>
      <c r="AF235" s="210"/>
      <c r="AG235" s="210"/>
      <c r="AH235" s="210"/>
    </row>
    <row r="236" spans="1:34" ht="12.75">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c r="Z236" s="210"/>
      <c r="AA236" s="210"/>
      <c r="AB236" s="210"/>
      <c r="AC236" s="210"/>
      <c r="AD236" s="210"/>
      <c r="AE236" s="210"/>
      <c r="AF236" s="210"/>
      <c r="AG236" s="210"/>
      <c r="AH236" s="210"/>
    </row>
    <row r="237" spans="1:34" ht="12.75">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c r="Z237" s="210"/>
      <c r="AA237" s="210"/>
      <c r="AB237" s="210"/>
      <c r="AC237" s="210"/>
      <c r="AD237" s="210"/>
      <c r="AE237" s="210"/>
      <c r="AF237" s="210"/>
      <c r="AG237" s="210"/>
      <c r="AH237" s="210"/>
    </row>
    <row r="238" spans="1:34" ht="12.75">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c r="Z238" s="210"/>
      <c r="AA238" s="210"/>
      <c r="AB238" s="210"/>
      <c r="AC238" s="210"/>
      <c r="AD238" s="210"/>
      <c r="AE238" s="210"/>
      <c r="AF238" s="210"/>
      <c r="AG238" s="210"/>
      <c r="AH238" s="210"/>
    </row>
    <row r="239" spans="1:34" ht="12.75">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c r="AA239" s="210"/>
      <c r="AB239" s="210"/>
      <c r="AC239" s="210"/>
      <c r="AD239" s="210"/>
      <c r="AE239" s="210"/>
      <c r="AF239" s="210"/>
      <c r="AG239" s="210"/>
      <c r="AH239" s="210"/>
    </row>
    <row r="240" spans="1:34" ht="12.75">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c r="Z240" s="210"/>
      <c r="AA240" s="210"/>
      <c r="AB240" s="210"/>
      <c r="AC240" s="210"/>
      <c r="AD240" s="210"/>
      <c r="AE240" s="210"/>
      <c r="AF240" s="210"/>
      <c r="AG240" s="210"/>
      <c r="AH240" s="210"/>
    </row>
    <row r="241" spans="1:34" ht="12.75">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c r="Z241" s="210"/>
      <c r="AA241" s="210"/>
      <c r="AB241" s="210"/>
      <c r="AC241" s="210"/>
      <c r="AD241" s="210"/>
      <c r="AE241" s="210"/>
      <c r="AF241" s="210"/>
      <c r="AG241" s="210"/>
      <c r="AH241" s="210"/>
    </row>
    <row r="242" spans="1:34" ht="12.75">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c r="Z242" s="210"/>
      <c r="AA242" s="210"/>
      <c r="AB242" s="210"/>
      <c r="AC242" s="210"/>
      <c r="AD242" s="210"/>
      <c r="AE242" s="210"/>
      <c r="AF242" s="210"/>
      <c r="AG242" s="210"/>
      <c r="AH242" s="210"/>
    </row>
    <row r="243" spans="1:34" ht="12.75">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c r="Z243" s="210"/>
      <c r="AA243" s="210"/>
      <c r="AB243" s="210"/>
      <c r="AC243" s="210"/>
      <c r="AD243" s="210"/>
      <c r="AE243" s="210"/>
      <c r="AF243" s="210"/>
      <c r="AG243" s="210"/>
      <c r="AH243" s="210"/>
    </row>
    <row r="244" spans="1:34" ht="12.75">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c r="AA244" s="210"/>
      <c r="AB244" s="210"/>
      <c r="AC244" s="210"/>
      <c r="AD244" s="210"/>
      <c r="AE244" s="210"/>
      <c r="AF244" s="210"/>
      <c r="AG244" s="210"/>
      <c r="AH244" s="210"/>
    </row>
    <row r="245" spans="1:34" ht="12.75">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c r="Z245" s="210"/>
      <c r="AA245" s="210"/>
      <c r="AB245" s="210"/>
      <c r="AC245" s="210"/>
      <c r="AD245" s="210"/>
      <c r="AE245" s="210"/>
      <c r="AF245" s="210"/>
      <c r="AG245" s="210"/>
      <c r="AH245" s="210"/>
    </row>
    <row r="246" spans="1:34" ht="12.75">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c r="Z246" s="210"/>
      <c r="AA246" s="210"/>
      <c r="AB246" s="210"/>
      <c r="AC246" s="210"/>
      <c r="AD246" s="210"/>
      <c r="AE246" s="210"/>
      <c r="AF246" s="210"/>
      <c r="AG246" s="210"/>
      <c r="AH246" s="210"/>
    </row>
    <row r="247" spans="1:34" ht="12.75">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c r="Z247" s="210"/>
      <c r="AA247" s="210"/>
      <c r="AB247" s="210"/>
      <c r="AC247" s="210"/>
      <c r="AD247" s="210"/>
      <c r="AE247" s="210"/>
      <c r="AF247" s="210"/>
      <c r="AG247" s="210"/>
      <c r="AH247" s="210"/>
    </row>
    <row r="248" spans="1:34" ht="12.75">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c r="Z248" s="210"/>
      <c r="AA248" s="210"/>
      <c r="AB248" s="210"/>
      <c r="AC248" s="210"/>
      <c r="AD248" s="210"/>
      <c r="AE248" s="210"/>
      <c r="AF248" s="210"/>
      <c r="AG248" s="210"/>
      <c r="AH248" s="210"/>
    </row>
    <row r="249" spans="1:34" ht="12.75">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c r="Z249" s="210"/>
      <c r="AA249" s="210"/>
      <c r="AB249" s="210"/>
      <c r="AC249" s="210"/>
      <c r="AD249" s="210"/>
      <c r="AE249" s="210"/>
      <c r="AF249" s="210"/>
      <c r="AG249" s="210"/>
      <c r="AH249" s="210"/>
    </row>
    <row r="250" spans="1:34" ht="12.75">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c r="AA250" s="210"/>
      <c r="AB250" s="210"/>
      <c r="AC250" s="210"/>
      <c r="AD250" s="210"/>
      <c r="AE250" s="210"/>
      <c r="AF250" s="210"/>
      <c r="AG250" s="210"/>
      <c r="AH250" s="210"/>
    </row>
    <row r="251" spans="1:34" ht="12.75">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c r="Z251" s="210"/>
      <c r="AA251" s="210"/>
      <c r="AB251" s="210"/>
      <c r="AC251" s="210"/>
      <c r="AD251" s="210"/>
      <c r="AE251" s="210"/>
      <c r="AF251" s="210"/>
      <c r="AG251" s="210"/>
      <c r="AH251" s="210"/>
    </row>
    <row r="252" spans="1:34" ht="12.75">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c r="Z252" s="210"/>
      <c r="AA252" s="210"/>
      <c r="AB252" s="210"/>
      <c r="AC252" s="210"/>
      <c r="AD252" s="210"/>
      <c r="AE252" s="210"/>
      <c r="AF252" s="210"/>
      <c r="AG252" s="210"/>
      <c r="AH252" s="210"/>
    </row>
    <row r="253" spans="1:34" ht="12.75">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c r="Z253" s="210"/>
      <c r="AA253" s="210"/>
      <c r="AB253" s="210"/>
      <c r="AC253" s="210"/>
      <c r="AD253" s="210"/>
      <c r="AE253" s="210"/>
      <c r="AF253" s="210"/>
      <c r="AG253" s="210"/>
      <c r="AH253" s="210"/>
    </row>
    <row r="254" spans="1:34" ht="12.75">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c r="AA254" s="210"/>
      <c r="AB254" s="210"/>
      <c r="AC254" s="210"/>
      <c r="AD254" s="210"/>
      <c r="AE254" s="210"/>
      <c r="AF254" s="210"/>
      <c r="AG254" s="210"/>
      <c r="AH254" s="210"/>
    </row>
    <row r="255" spans="1:34" ht="12.75">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c r="Z255" s="210"/>
      <c r="AA255" s="210"/>
      <c r="AB255" s="210"/>
      <c r="AC255" s="210"/>
      <c r="AD255" s="210"/>
      <c r="AE255" s="210"/>
      <c r="AF255" s="210"/>
      <c r="AG255" s="210"/>
      <c r="AH255" s="210"/>
    </row>
    <row r="256" spans="1:34" ht="12.75">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c r="Z256" s="210"/>
      <c r="AA256" s="210"/>
      <c r="AB256" s="210"/>
      <c r="AC256" s="210"/>
      <c r="AD256" s="210"/>
      <c r="AE256" s="210"/>
      <c r="AF256" s="210"/>
      <c r="AG256" s="210"/>
      <c r="AH256" s="210"/>
    </row>
    <row r="257" spans="1:34" ht="12.75">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c r="Z257" s="210"/>
      <c r="AA257" s="210"/>
      <c r="AB257" s="210"/>
      <c r="AC257" s="210"/>
      <c r="AD257" s="210"/>
      <c r="AE257" s="210"/>
      <c r="AF257" s="210"/>
      <c r="AG257" s="210"/>
      <c r="AH257" s="210"/>
    </row>
    <row r="258" spans="1:34" ht="12.75">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c r="Z258" s="210"/>
      <c r="AA258" s="210"/>
      <c r="AB258" s="210"/>
      <c r="AC258" s="210"/>
      <c r="AD258" s="210"/>
      <c r="AE258" s="210"/>
      <c r="AF258" s="210"/>
      <c r="AG258" s="210"/>
      <c r="AH258" s="210"/>
    </row>
    <row r="259" spans="1:34" ht="12.75">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c r="Z259" s="210"/>
      <c r="AA259" s="210"/>
      <c r="AB259" s="210"/>
      <c r="AC259" s="210"/>
      <c r="AD259" s="210"/>
      <c r="AE259" s="210"/>
      <c r="AF259" s="210"/>
      <c r="AG259" s="210"/>
      <c r="AH259" s="210"/>
    </row>
    <row r="260" spans="1:34" ht="12.75">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c r="Z260" s="210"/>
      <c r="AA260" s="210"/>
      <c r="AB260" s="210"/>
      <c r="AC260" s="210"/>
      <c r="AD260" s="210"/>
      <c r="AE260" s="210"/>
      <c r="AF260" s="210"/>
      <c r="AG260" s="210"/>
      <c r="AH260" s="210"/>
    </row>
    <row r="261" spans="1:34" ht="12.75">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c r="Z261" s="210"/>
      <c r="AA261" s="210"/>
      <c r="AB261" s="210"/>
      <c r="AC261" s="210"/>
      <c r="AD261" s="210"/>
      <c r="AE261" s="210"/>
      <c r="AF261" s="210"/>
      <c r="AG261" s="210"/>
      <c r="AH261" s="210"/>
    </row>
    <row r="262" spans="1:34" ht="12.75">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c r="Z262" s="210"/>
      <c r="AA262" s="210"/>
      <c r="AB262" s="210"/>
      <c r="AC262" s="210"/>
      <c r="AD262" s="210"/>
      <c r="AE262" s="210"/>
      <c r="AF262" s="210"/>
      <c r="AG262" s="210"/>
      <c r="AH262" s="210"/>
    </row>
    <row r="263" spans="1:34" ht="12.75">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c r="Z263" s="210"/>
      <c r="AA263" s="210"/>
      <c r="AB263" s="210"/>
      <c r="AC263" s="210"/>
      <c r="AD263" s="210"/>
      <c r="AE263" s="210"/>
      <c r="AF263" s="210"/>
      <c r="AG263" s="210"/>
      <c r="AH263" s="210"/>
    </row>
    <row r="264" spans="1:34" ht="12.75">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c r="Z264" s="210"/>
      <c r="AA264" s="210"/>
      <c r="AB264" s="210"/>
      <c r="AC264" s="210"/>
      <c r="AD264" s="210"/>
      <c r="AE264" s="210"/>
      <c r="AF264" s="210"/>
      <c r="AG264" s="210"/>
      <c r="AH264" s="210"/>
    </row>
    <row r="265" spans="1:34" ht="12.75">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c r="Z265" s="210"/>
      <c r="AA265" s="210"/>
      <c r="AB265" s="210"/>
      <c r="AC265" s="210"/>
      <c r="AD265" s="210"/>
      <c r="AE265" s="210"/>
      <c r="AF265" s="210"/>
      <c r="AG265" s="210"/>
      <c r="AH265" s="210"/>
    </row>
    <row r="266" spans="1:34" ht="12.75">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c r="Z266" s="210"/>
      <c r="AA266" s="210"/>
      <c r="AB266" s="210"/>
      <c r="AC266" s="210"/>
      <c r="AD266" s="210"/>
      <c r="AE266" s="210"/>
      <c r="AF266" s="210"/>
      <c r="AG266" s="210"/>
      <c r="AH266" s="210"/>
    </row>
    <row r="267" spans="1:34" ht="12.75">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c r="Z267" s="210"/>
      <c r="AA267" s="210"/>
      <c r="AB267" s="210"/>
      <c r="AC267" s="210"/>
      <c r="AD267" s="210"/>
      <c r="AE267" s="210"/>
      <c r="AF267" s="210"/>
      <c r="AG267" s="210"/>
      <c r="AH267" s="210"/>
    </row>
    <row r="268" spans="1:34" ht="12.75">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c r="Z268" s="210"/>
      <c r="AA268" s="210"/>
      <c r="AB268" s="210"/>
      <c r="AC268" s="210"/>
      <c r="AD268" s="210"/>
      <c r="AE268" s="210"/>
      <c r="AF268" s="210"/>
      <c r="AG268" s="210"/>
      <c r="AH268" s="210"/>
    </row>
    <row r="269" spans="1:34" ht="12.75">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c r="Z269" s="210"/>
      <c r="AA269" s="210"/>
      <c r="AB269" s="210"/>
      <c r="AC269" s="210"/>
      <c r="AD269" s="210"/>
      <c r="AE269" s="210"/>
      <c r="AF269" s="210"/>
      <c r="AG269" s="210"/>
      <c r="AH269" s="210"/>
    </row>
    <row r="270" spans="1:34" ht="12.75">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c r="Z270" s="210"/>
      <c r="AA270" s="210"/>
      <c r="AB270" s="210"/>
      <c r="AC270" s="210"/>
      <c r="AD270" s="210"/>
      <c r="AE270" s="210"/>
      <c r="AF270" s="210"/>
      <c r="AG270" s="210"/>
      <c r="AH270" s="210"/>
    </row>
    <row r="271" spans="1:34" ht="12.75">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c r="Z271" s="210"/>
      <c r="AA271" s="210"/>
      <c r="AB271" s="210"/>
      <c r="AC271" s="210"/>
      <c r="AD271" s="210"/>
      <c r="AE271" s="210"/>
      <c r="AF271" s="210"/>
      <c r="AG271" s="210"/>
      <c r="AH271" s="210"/>
    </row>
    <row r="272" spans="1:34" ht="12.75">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c r="Z272" s="210"/>
      <c r="AA272" s="210"/>
      <c r="AB272" s="210"/>
      <c r="AC272" s="210"/>
      <c r="AD272" s="210"/>
      <c r="AE272" s="210"/>
      <c r="AF272" s="210"/>
      <c r="AG272" s="210"/>
      <c r="AH272" s="210"/>
    </row>
    <row r="273" spans="1:34" ht="12.75">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c r="Z273" s="210"/>
      <c r="AA273" s="210"/>
      <c r="AB273" s="210"/>
      <c r="AC273" s="210"/>
      <c r="AD273" s="210"/>
      <c r="AE273" s="210"/>
      <c r="AF273" s="210"/>
      <c r="AG273" s="210"/>
      <c r="AH273" s="210"/>
    </row>
    <row r="274" spans="1:34" ht="12.75">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c r="Z274" s="210"/>
      <c r="AA274" s="210"/>
      <c r="AB274" s="210"/>
      <c r="AC274" s="210"/>
      <c r="AD274" s="210"/>
      <c r="AE274" s="210"/>
      <c r="AF274" s="210"/>
      <c r="AG274" s="210"/>
      <c r="AH274" s="210"/>
    </row>
    <row r="275" spans="1:34" ht="12.75">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c r="Z275" s="210"/>
      <c r="AA275" s="210"/>
      <c r="AB275" s="210"/>
      <c r="AC275" s="210"/>
      <c r="AD275" s="210"/>
      <c r="AE275" s="210"/>
      <c r="AF275" s="210"/>
      <c r="AG275" s="210"/>
      <c r="AH275" s="210"/>
    </row>
    <row r="276" spans="1:34" ht="12.75">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c r="Z276" s="210"/>
      <c r="AA276" s="210"/>
      <c r="AB276" s="210"/>
      <c r="AC276" s="210"/>
      <c r="AD276" s="210"/>
      <c r="AE276" s="210"/>
      <c r="AF276" s="210"/>
      <c r="AG276" s="210"/>
      <c r="AH276" s="210"/>
    </row>
    <row r="277" spans="1:34" ht="12.75">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c r="Z277" s="210"/>
      <c r="AA277" s="210"/>
      <c r="AB277" s="210"/>
      <c r="AC277" s="210"/>
      <c r="AD277" s="210"/>
      <c r="AE277" s="210"/>
      <c r="AF277" s="210"/>
      <c r="AG277" s="210"/>
      <c r="AH277" s="210"/>
    </row>
    <row r="278" spans="1:34" ht="12.75">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c r="Z278" s="210"/>
      <c r="AA278" s="210"/>
      <c r="AB278" s="210"/>
      <c r="AC278" s="210"/>
      <c r="AD278" s="210"/>
      <c r="AE278" s="210"/>
      <c r="AF278" s="210"/>
      <c r="AG278" s="210"/>
      <c r="AH278" s="210"/>
    </row>
    <row r="279" spans="1:34" ht="12.75">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c r="Z279" s="210"/>
      <c r="AA279" s="210"/>
      <c r="AB279" s="210"/>
      <c r="AC279" s="210"/>
      <c r="AD279" s="210"/>
      <c r="AE279" s="210"/>
      <c r="AF279" s="210"/>
      <c r="AG279" s="210"/>
      <c r="AH279" s="210"/>
    </row>
    <row r="280" spans="1:34" ht="12.75">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c r="Z280" s="210"/>
      <c r="AA280" s="210"/>
      <c r="AB280" s="210"/>
      <c r="AC280" s="210"/>
      <c r="AD280" s="210"/>
      <c r="AE280" s="210"/>
      <c r="AF280" s="210"/>
      <c r="AG280" s="210"/>
      <c r="AH280" s="210"/>
    </row>
    <row r="281" spans="1:34" ht="12.75">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c r="Z281" s="210"/>
      <c r="AA281" s="210"/>
      <c r="AB281" s="210"/>
      <c r="AC281" s="210"/>
      <c r="AD281" s="210"/>
      <c r="AE281" s="210"/>
      <c r="AF281" s="210"/>
      <c r="AG281" s="210"/>
      <c r="AH281" s="210"/>
    </row>
    <row r="282" spans="1:34" ht="12.75">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c r="Z282" s="210"/>
      <c r="AA282" s="210"/>
      <c r="AB282" s="210"/>
      <c r="AC282" s="210"/>
      <c r="AD282" s="210"/>
      <c r="AE282" s="210"/>
      <c r="AF282" s="210"/>
      <c r="AG282" s="210"/>
      <c r="AH282" s="210"/>
    </row>
    <row r="283" spans="1:34" ht="12.75">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c r="Z283" s="210"/>
      <c r="AA283" s="210"/>
      <c r="AB283" s="210"/>
      <c r="AC283" s="210"/>
      <c r="AD283" s="210"/>
      <c r="AE283" s="210"/>
      <c r="AF283" s="210"/>
      <c r="AG283" s="210"/>
      <c r="AH283" s="210"/>
    </row>
    <row r="284" spans="1:34" ht="12.75">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c r="Z284" s="210"/>
      <c r="AA284" s="210"/>
      <c r="AB284" s="210"/>
      <c r="AC284" s="210"/>
      <c r="AD284" s="210"/>
      <c r="AE284" s="210"/>
      <c r="AF284" s="210"/>
      <c r="AG284" s="210"/>
      <c r="AH284" s="210"/>
    </row>
    <row r="285" spans="1:34" ht="12.75">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c r="Z285" s="210"/>
      <c r="AA285" s="210"/>
      <c r="AB285" s="210"/>
      <c r="AC285" s="210"/>
      <c r="AD285" s="210"/>
      <c r="AE285" s="210"/>
      <c r="AF285" s="210"/>
      <c r="AG285" s="210"/>
      <c r="AH285" s="210"/>
    </row>
    <row r="286" spans="1:34" ht="12.75">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c r="Z286" s="210"/>
      <c r="AA286" s="210"/>
      <c r="AB286" s="210"/>
      <c r="AC286" s="210"/>
      <c r="AD286" s="210"/>
      <c r="AE286" s="210"/>
      <c r="AF286" s="210"/>
      <c r="AG286" s="210"/>
      <c r="AH286" s="210"/>
    </row>
    <row r="287" spans="1:34" ht="12.75">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c r="Z287" s="210"/>
      <c r="AA287" s="210"/>
      <c r="AB287" s="210"/>
      <c r="AC287" s="210"/>
      <c r="AD287" s="210"/>
      <c r="AE287" s="210"/>
      <c r="AF287" s="210"/>
      <c r="AG287" s="210"/>
      <c r="AH287" s="210"/>
    </row>
    <row r="288" spans="1:34" ht="12.75">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c r="Z288" s="210"/>
      <c r="AA288" s="210"/>
      <c r="AB288" s="210"/>
      <c r="AC288" s="210"/>
      <c r="AD288" s="210"/>
      <c r="AE288" s="210"/>
      <c r="AF288" s="210"/>
      <c r="AG288" s="210"/>
      <c r="AH288" s="210"/>
    </row>
    <row r="289" spans="1:34" ht="12.75">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c r="Z289" s="210"/>
      <c r="AA289" s="210"/>
      <c r="AB289" s="210"/>
      <c r="AC289" s="210"/>
      <c r="AD289" s="210"/>
      <c r="AE289" s="210"/>
      <c r="AF289" s="210"/>
      <c r="AG289" s="210"/>
      <c r="AH289" s="210"/>
    </row>
    <row r="290" spans="1:34" ht="12.75">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c r="Z290" s="210"/>
      <c r="AA290" s="210"/>
      <c r="AB290" s="210"/>
      <c r="AC290" s="210"/>
      <c r="AD290" s="210"/>
      <c r="AE290" s="210"/>
      <c r="AF290" s="210"/>
      <c r="AG290" s="210"/>
      <c r="AH290" s="210"/>
    </row>
    <row r="291" spans="1:34" ht="12.75">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c r="Z291" s="210"/>
      <c r="AA291" s="210"/>
      <c r="AB291" s="210"/>
      <c r="AC291" s="210"/>
      <c r="AD291" s="210"/>
      <c r="AE291" s="210"/>
      <c r="AF291" s="210"/>
      <c r="AG291" s="210"/>
      <c r="AH291" s="210"/>
    </row>
    <row r="292" spans="1:34" ht="12.75">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c r="Z292" s="210"/>
      <c r="AA292" s="210"/>
      <c r="AB292" s="210"/>
      <c r="AC292" s="210"/>
      <c r="AD292" s="210"/>
      <c r="AE292" s="210"/>
      <c r="AF292" s="210"/>
      <c r="AG292" s="210"/>
      <c r="AH292" s="210"/>
    </row>
    <row r="293" spans="1:34" ht="12.75">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c r="Z293" s="210"/>
      <c r="AA293" s="210"/>
      <c r="AB293" s="210"/>
      <c r="AC293" s="210"/>
      <c r="AD293" s="210"/>
      <c r="AE293" s="210"/>
      <c r="AF293" s="210"/>
      <c r="AG293" s="210"/>
      <c r="AH293" s="210"/>
    </row>
    <row r="294" spans="1:34" ht="12.75">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c r="Z294" s="210"/>
      <c r="AA294" s="210"/>
      <c r="AB294" s="210"/>
      <c r="AC294" s="210"/>
      <c r="AD294" s="210"/>
      <c r="AE294" s="210"/>
      <c r="AF294" s="210"/>
      <c r="AG294" s="210"/>
      <c r="AH294" s="210"/>
    </row>
    <row r="295" spans="1:34" ht="12.75">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c r="Z295" s="210"/>
      <c r="AA295" s="210"/>
      <c r="AB295" s="210"/>
      <c r="AC295" s="210"/>
      <c r="AD295" s="210"/>
      <c r="AE295" s="210"/>
      <c r="AF295" s="210"/>
      <c r="AG295" s="210"/>
      <c r="AH295" s="210"/>
    </row>
    <row r="296" spans="1:34" ht="12.75">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c r="Z296" s="210"/>
      <c r="AA296" s="210"/>
      <c r="AB296" s="210"/>
      <c r="AC296" s="210"/>
      <c r="AD296" s="210"/>
      <c r="AE296" s="210"/>
      <c r="AF296" s="210"/>
      <c r="AG296" s="210"/>
      <c r="AH296" s="210"/>
    </row>
    <row r="297" spans="1:34" ht="12.75">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c r="Z297" s="210"/>
      <c r="AA297" s="210"/>
      <c r="AB297" s="210"/>
      <c r="AC297" s="210"/>
      <c r="AD297" s="210"/>
      <c r="AE297" s="210"/>
      <c r="AF297" s="210"/>
      <c r="AG297" s="210"/>
      <c r="AH297" s="210"/>
    </row>
    <row r="298" spans="1:34" ht="12.75">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c r="Z298" s="210"/>
      <c r="AA298" s="210"/>
      <c r="AB298" s="210"/>
      <c r="AC298" s="210"/>
      <c r="AD298" s="210"/>
      <c r="AE298" s="210"/>
      <c r="AF298" s="210"/>
      <c r="AG298" s="210"/>
      <c r="AH298" s="210"/>
    </row>
    <row r="299" spans="1:34" ht="12.75">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c r="Z299" s="210"/>
      <c r="AA299" s="210"/>
      <c r="AB299" s="210"/>
      <c r="AC299" s="210"/>
      <c r="AD299" s="210"/>
      <c r="AE299" s="210"/>
      <c r="AF299" s="210"/>
      <c r="AG299" s="210"/>
      <c r="AH299" s="210"/>
    </row>
    <row r="300" spans="1:34" ht="12.75">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c r="Z300" s="210"/>
      <c r="AA300" s="210"/>
      <c r="AB300" s="210"/>
      <c r="AC300" s="210"/>
      <c r="AD300" s="210"/>
      <c r="AE300" s="210"/>
      <c r="AF300" s="210"/>
      <c r="AG300" s="210"/>
      <c r="AH300" s="210"/>
    </row>
    <row r="301" spans="1:34" ht="12.75">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c r="Z301" s="210"/>
      <c r="AA301" s="210"/>
      <c r="AB301" s="210"/>
      <c r="AC301" s="210"/>
      <c r="AD301" s="210"/>
      <c r="AE301" s="210"/>
      <c r="AF301" s="210"/>
      <c r="AG301" s="210"/>
      <c r="AH301" s="210"/>
    </row>
    <row r="302" spans="1:34" ht="12.75">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c r="Z302" s="210"/>
      <c r="AA302" s="210"/>
      <c r="AB302" s="210"/>
      <c r="AC302" s="210"/>
      <c r="AD302" s="210"/>
      <c r="AE302" s="210"/>
      <c r="AF302" s="210"/>
      <c r="AG302" s="210"/>
      <c r="AH302" s="210"/>
    </row>
    <row r="303" spans="1:34" ht="12.75">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c r="Z303" s="210"/>
      <c r="AA303" s="210"/>
      <c r="AB303" s="210"/>
      <c r="AC303" s="210"/>
      <c r="AD303" s="210"/>
      <c r="AE303" s="210"/>
      <c r="AF303" s="210"/>
      <c r="AG303" s="210"/>
      <c r="AH303" s="210"/>
    </row>
    <row r="304" spans="1:34" ht="12.75">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c r="Z304" s="210"/>
      <c r="AA304" s="210"/>
      <c r="AB304" s="210"/>
      <c r="AC304" s="210"/>
      <c r="AD304" s="210"/>
      <c r="AE304" s="210"/>
      <c r="AF304" s="210"/>
      <c r="AG304" s="210"/>
      <c r="AH304" s="210"/>
    </row>
    <row r="305" spans="1:34" ht="12.75">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c r="Z305" s="210"/>
      <c r="AA305" s="210"/>
      <c r="AB305" s="210"/>
      <c r="AC305" s="210"/>
      <c r="AD305" s="210"/>
      <c r="AE305" s="210"/>
      <c r="AF305" s="210"/>
      <c r="AG305" s="210"/>
      <c r="AH305" s="210"/>
    </row>
    <row r="306" spans="1:34" ht="12.75">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c r="Z306" s="210"/>
      <c r="AA306" s="210"/>
      <c r="AB306" s="210"/>
      <c r="AC306" s="210"/>
      <c r="AD306" s="210"/>
      <c r="AE306" s="210"/>
      <c r="AF306" s="210"/>
      <c r="AG306" s="210"/>
      <c r="AH306" s="210"/>
    </row>
    <row r="307" spans="1:34" ht="12.75">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c r="Z307" s="210"/>
      <c r="AA307" s="210"/>
      <c r="AB307" s="210"/>
      <c r="AC307" s="210"/>
      <c r="AD307" s="210"/>
      <c r="AE307" s="210"/>
      <c r="AF307" s="210"/>
      <c r="AG307" s="210"/>
      <c r="AH307" s="210"/>
    </row>
    <row r="308" spans="1:34" ht="12.75">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c r="Z308" s="210"/>
      <c r="AA308" s="210"/>
      <c r="AB308" s="210"/>
      <c r="AC308" s="210"/>
      <c r="AD308" s="210"/>
      <c r="AE308" s="210"/>
      <c r="AF308" s="210"/>
      <c r="AG308" s="210"/>
      <c r="AH308" s="210"/>
    </row>
    <row r="309" spans="1:34" ht="12.75">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c r="Z309" s="210"/>
      <c r="AA309" s="210"/>
      <c r="AB309" s="210"/>
      <c r="AC309" s="210"/>
      <c r="AD309" s="210"/>
      <c r="AE309" s="210"/>
      <c r="AF309" s="210"/>
      <c r="AG309" s="210"/>
      <c r="AH309" s="210"/>
    </row>
    <row r="310" spans="1:34" ht="12.75">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c r="Z310" s="210"/>
      <c r="AA310" s="210"/>
      <c r="AB310" s="210"/>
      <c r="AC310" s="210"/>
      <c r="AD310" s="210"/>
      <c r="AE310" s="210"/>
      <c r="AF310" s="210"/>
      <c r="AG310" s="210"/>
      <c r="AH310" s="210"/>
    </row>
    <row r="311" spans="1:34" ht="12.75">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c r="Z311" s="210"/>
      <c r="AA311" s="210"/>
      <c r="AB311" s="210"/>
      <c r="AC311" s="210"/>
      <c r="AD311" s="210"/>
      <c r="AE311" s="210"/>
      <c r="AF311" s="210"/>
      <c r="AG311" s="210"/>
      <c r="AH311" s="210"/>
    </row>
    <row r="312" spans="1:34" ht="12.75">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c r="Z312" s="210"/>
      <c r="AA312" s="210"/>
      <c r="AB312" s="210"/>
      <c r="AC312" s="210"/>
      <c r="AD312" s="210"/>
      <c r="AE312" s="210"/>
      <c r="AF312" s="210"/>
      <c r="AG312" s="210"/>
      <c r="AH312" s="210"/>
    </row>
    <row r="313" spans="1:34" ht="12.75">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c r="Z313" s="210"/>
      <c r="AA313" s="210"/>
      <c r="AB313" s="210"/>
      <c r="AC313" s="210"/>
      <c r="AD313" s="210"/>
      <c r="AE313" s="210"/>
      <c r="AF313" s="210"/>
      <c r="AG313" s="210"/>
      <c r="AH313" s="210"/>
    </row>
    <row r="314" spans="1:34" ht="12.75">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c r="Z314" s="210"/>
      <c r="AA314" s="210"/>
      <c r="AB314" s="210"/>
      <c r="AC314" s="210"/>
      <c r="AD314" s="210"/>
      <c r="AE314" s="210"/>
      <c r="AF314" s="210"/>
      <c r="AG314" s="210"/>
      <c r="AH314" s="210"/>
    </row>
    <row r="315" spans="1:34" ht="12.75">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c r="Z315" s="210"/>
      <c r="AA315" s="210"/>
      <c r="AB315" s="210"/>
      <c r="AC315" s="210"/>
      <c r="AD315" s="210"/>
      <c r="AE315" s="210"/>
      <c r="AF315" s="210"/>
      <c r="AG315" s="210"/>
      <c r="AH315" s="210"/>
    </row>
    <row r="316" spans="1:34" ht="12.75">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c r="Z316" s="210"/>
      <c r="AA316" s="210"/>
      <c r="AB316" s="210"/>
      <c r="AC316" s="210"/>
      <c r="AD316" s="210"/>
      <c r="AE316" s="210"/>
      <c r="AF316" s="210"/>
      <c r="AG316" s="210"/>
      <c r="AH316" s="210"/>
    </row>
    <row r="317" spans="1:34" ht="12.75">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c r="Z317" s="210"/>
      <c r="AA317" s="210"/>
      <c r="AB317" s="210"/>
      <c r="AC317" s="210"/>
      <c r="AD317" s="210"/>
      <c r="AE317" s="210"/>
      <c r="AF317" s="210"/>
      <c r="AG317" s="210"/>
      <c r="AH317" s="210"/>
    </row>
    <row r="318" spans="1:34" ht="12.75">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c r="Z318" s="210"/>
      <c r="AA318" s="210"/>
      <c r="AB318" s="210"/>
      <c r="AC318" s="210"/>
      <c r="AD318" s="210"/>
      <c r="AE318" s="210"/>
      <c r="AF318" s="210"/>
      <c r="AG318" s="210"/>
      <c r="AH318" s="210"/>
    </row>
    <row r="319" spans="1:34" ht="12.75">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c r="Z319" s="210"/>
      <c r="AA319" s="210"/>
      <c r="AB319" s="210"/>
      <c r="AC319" s="210"/>
      <c r="AD319" s="210"/>
      <c r="AE319" s="210"/>
      <c r="AF319" s="210"/>
      <c r="AG319" s="210"/>
      <c r="AH319" s="210"/>
    </row>
    <row r="320" spans="1:34" ht="12.75">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c r="Z320" s="210"/>
      <c r="AA320" s="210"/>
      <c r="AB320" s="210"/>
      <c r="AC320" s="210"/>
      <c r="AD320" s="210"/>
      <c r="AE320" s="210"/>
      <c r="AF320" s="210"/>
      <c r="AG320" s="210"/>
      <c r="AH320" s="210"/>
    </row>
    <row r="321" spans="1:34" ht="12.75">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c r="Z321" s="210"/>
      <c r="AA321" s="210"/>
      <c r="AB321" s="210"/>
      <c r="AC321" s="210"/>
      <c r="AD321" s="210"/>
      <c r="AE321" s="210"/>
      <c r="AF321" s="210"/>
      <c r="AG321" s="210"/>
      <c r="AH321" s="210"/>
    </row>
    <row r="322" spans="1:34" ht="12.75">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c r="Z322" s="210"/>
      <c r="AA322" s="210"/>
      <c r="AB322" s="210"/>
      <c r="AC322" s="210"/>
      <c r="AD322" s="210"/>
      <c r="AE322" s="210"/>
      <c r="AF322" s="210"/>
      <c r="AG322" s="210"/>
      <c r="AH322" s="210"/>
    </row>
    <row r="323" spans="1:34" ht="12.75">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c r="Z323" s="210"/>
      <c r="AA323" s="210"/>
      <c r="AB323" s="210"/>
      <c r="AC323" s="210"/>
      <c r="AD323" s="210"/>
      <c r="AE323" s="210"/>
      <c r="AF323" s="210"/>
      <c r="AG323" s="210"/>
      <c r="AH323" s="210"/>
    </row>
    <row r="324" spans="1:34" ht="12.75">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c r="Z324" s="210"/>
      <c r="AA324" s="210"/>
      <c r="AB324" s="210"/>
      <c r="AC324" s="210"/>
      <c r="AD324" s="210"/>
      <c r="AE324" s="210"/>
      <c r="AF324" s="210"/>
      <c r="AG324" s="210"/>
      <c r="AH324" s="210"/>
    </row>
    <row r="325" spans="1:34" ht="12.75">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c r="Z325" s="210"/>
      <c r="AA325" s="210"/>
      <c r="AB325" s="210"/>
      <c r="AC325" s="210"/>
      <c r="AD325" s="210"/>
      <c r="AE325" s="210"/>
      <c r="AF325" s="210"/>
      <c r="AG325" s="210"/>
      <c r="AH325" s="210"/>
    </row>
    <row r="326" spans="1:34" ht="12.75">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c r="Z326" s="210"/>
      <c r="AA326" s="210"/>
      <c r="AB326" s="210"/>
      <c r="AC326" s="210"/>
      <c r="AD326" s="210"/>
      <c r="AE326" s="210"/>
      <c r="AF326" s="210"/>
      <c r="AG326" s="210"/>
      <c r="AH326" s="210"/>
    </row>
    <row r="327" spans="1:34" ht="12.75">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c r="Z327" s="210"/>
      <c r="AA327" s="210"/>
      <c r="AB327" s="210"/>
      <c r="AC327" s="210"/>
      <c r="AD327" s="210"/>
      <c r="AE327" s="210"/>
      <c r="AF327" s="210"/>
      <c r="AG327" s="210"/>
      <c r="AH327" s="210"/>
    </row>
    <row r="328" spans="1:34" ht="12.75">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c r="Z328" s="210"/>
      <c r="AA328" s="210"/>
      <c r="AB328" s="210"/>
      <c r="AC328" s="210"/>
      <c r="AD328" s="210"/>
      <c r="AE328" s="210"/>
      <c r="AF328" s="210"/>
      <c r="AG328" s="210"/>
      <c r="AH328" s="210"/>
    </row>
    <row r="329" spans="1:34" ht="12.75">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c r="Z329" s="210"/>
      <c r="AA329" s="210"/>
      <c r="AB329" s="210"/>
      <c r="AC329" s="210"/>
      <c r="AD329" s="210"/>
      <c r="AE329" s="210"/>
      <c r="AF329" s="210"/>
      <c r="AG329" s="210"/>
      <c r="AH329" s="210"/>
    </row>
    <row r="330" spans="1:34" ht="12.75">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c r="Z330" s="210"/>
      <c r="AA330" s="210"/>
      <c r="AB330" s="210"/>
      <c r="AC330" s="210"/>
      <c r="AD330" s="210"/>
      <c r="AE330" s="210"/>
      <c r="AF330" s="210"/>
      <c r="AG330" s="210"/>
      <c r="AH330" s="210"/>
    </row>
    <row r="331" spans="1:34" ht="12.75">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c r="Z331" s="210"/>
      <c r="AA331" s="210"/>
      <c r="AB331" s="210"/>
      <c r="AC331" s="210"/>
      <c r="AD331" s="210"/>
      <c r="AE331" s="210"/>
      <c r="AF331" s="210"/>
      <c r="AG331" s="210"/>
      <c r="AH331" s="210"/>
    </row>
    <row r="332" spans="1:34" ht="12.75">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c r="Z332" s="210"/>
      <c r="AA332" s="210"/>
      <c r="AB332" s="210"/>
      <c r="AC332" s="210"/>
      <c r="AD332" s="210"/>
      <c r="AE332" s="210"/>
      <c r="AF332" s="210"/>
      <c r="AG332" s="210"/>
      <c r="AH332" s="210"/>
    </row>
    <row r="333" spans="1:34" ht="12.75">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c r="Z333" s="210"/>
      <c r="AA333" s="210"/>
      <c r="AB333" s="210"/>
      <c r="AC333" s="210"/>
      <c r="AD333" s="210"/>
      <c r="AE333" s="210"/>
      <c r="AF333" s="210"/>
      <c r="AG333" s="210"/>
      <c r="AH333" s="210"/>
    </row>
    <row r="334" spans="1:34" ht="12.75">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c r="Z334" s="210"/>
      <c r="AA334" s="210"/>
      <c r="AB334" s="210"/>
      <c r="AC334" s="210"/>
      <c r="AD334" s="210"/>
      <c r="AE334" s="210"/>
      <c r="AF334" s="210"/>
      <c r="AG334" s="210"/>
      <c r="AH334" s="210"/>
    </row>
    <row r="335" spans="1:34" ht="12.75">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c r="Z335" s="210"/>
      <c r="AA335" s="210"/>
      <c r="AB335" s="210"/>
      <c r="AC335" s="210"/>
      <c r="AD335" s="210"/>
      <c r="AE335" s="210"/>
      <c r="AF335" s="210"/>
      <c r="AG335" s="210"/>
      <c r="AH335" s="210"/>
    </row>
    <row r="336" spans="1:34" ht="12.75">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c r="Z336" s="210"/>
      <c r="AA336" s="210"/>
      <c r="AB336" s="210"/>
      <c r="AC336" s="210"/>
      <c r="AD336" s="210"/>
      <c r="AE336" s="210"/>
      <c r="AF336" s="210"/>
      <c r="AG336" s="210"/>
      <c r="AH336" s="210"/>
    </row>
    <row r="337" spans="1:34" ht="12.75">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c r="Z337" s="210"/>
      <c r="AA337" s="210"/>
      <c r="AB337" s="210"/>
      <c r="AC337" s="210"/>
      <c r="AD337" s="210"/>
      <c r="AE337" s="210"/>
      <c r="AF337" s="210"/>
      <c r="AG337" s="210"/>
      <c r="AH337" s="210"/>
    </row>
    <row r="338" spans="1:34" ht="12.75">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c r="Z338" s="210"/>
      <c r="AA338" s="210"/>
      <c r="AB338" s="210"/>
      <c r="AC338" s="210"/>
      <c r="AD338" s="210"/>
      <c r="AE338" s="210"/>
      <c r="AF338" s="210"/>
      <c r="AG338" s="210"/>
      <c r="AH338" s="210"/>
    </row>
    <row r="339" spans="1:34" ht="12.75">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c r="Z339" s="210"/>
      <c r="AA339" s="210"/>
      <c r="AB339" s="210"/>
      <c r="AC339" s="210"/>
      <c r="AD339" s="210"/>
      <c r="AE339" s="210"/>
      <c r="AF339" s="210"/>
      <c r="AG339" s="210"/>
      <c r="AH339" s="210"/>
    </row>
    <row r="340" spans="1:34" ht="12.75">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c r="Z340" s="210"/>
      <c r="AA340" s="210"/>
      <c r="AB340" s="210"/>
      <c r="AC340" s="210"/>
      <c r="AD340" s="210"/>
      <c r="AE340" s="210"/>
      <c r="AF340" s="210"/>
      <c r="AG340" s="210"/>
      <c r="AH340" s="210"/>
    </row>
    <row r="341" spans="1:34" ht="12.75">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c r="Z341" s="210"/>
      <c r="AA341" s="210"/>
      <c r="AB341" s="210"/>
      <c r="AC341" s="210"/>
      <c r="AD341" s="210"/>
      <c r="AE341" s="210"/>
      <c r="AF341" s="210"/>
      <c r="AG341" s="210"/>
      <c r="AH341" s="210"/>
    </row>
    <row r="342" spans="1:34" ht="12.75">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c r="Z342" s="210"/>
      <c r="AA342" s="210"/>
      <c r="AB342" s="210"/>
      <c r="AC342" s="210"/>
      <c r="AD342" s="210"/>
      <c r="AE342" s="210"/>
      <c r="AF342" s="210"/>
      <c r="AG342" s="210"/>
      <c r="AH342" s="210"/>
    </row>
    <row r="343" spans="1:34" ht="12.75">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c r="Z343" s="210"/>
      <c r="AA343" s="210"/>
      <c r="AB343" s="210"/>
      <c r="AC343" s="210"/>
      <c r="AD343" s="210"/>
      <c r="AE343" s="210"/>
      <c r="AF343" s="210"/>
      <c r="AG343" s="210"/>
      <c r="AH343" s="210"/>
    </row>
    <row r="344" spans="1:34" ht="12.75">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c r="Z344" s="210"/>
      <c r="AA344" s="210"/>
      <c r="AB344" s="210"/>
      <c r="AC344" s="210"/>
      <c r="AD344" s="210"/>
      <c r="AE344" s="210"/>
      <c r="AF344" s="210"/>
      <c r="AG344" s="210"/>
      <c r="AH344" s="210"/>
    </row>
    <row r="345" spans="1:34" ht="12.75">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c r="Z345" s="210"/>
      <c r="AA345" s="210"/>
      <c r="AB345" s="210"/>
      <c r="AC345" s="210"/>
      <c r="AD345" s="210"/>
      <c r="AE345" s="210"/>
      <c r="AF345" s="210"/>
      <c r="AG345" s="210"/>
      <c r="AH345" s="210"/>
    </row>
    <row r="346" spans="1:34" ht="12.75">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c r="Z346" s="210"/>
      <c r="AA346" s="210"/>
      <c r="AB346" s="210"/>
      <c r="AC346" s="210"/>
      <c r="AD346" s="210"/>
      <c r="AE346" s="210"/>
      <c r="AF346" s="210"/>
      <c r="AG346" s="210"/>
      <c r="AH346" s="210"/>
    </row>
    <row r="347" spans="1:34" ht="12.75">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c r="Z347" s="210"/>
      <c r="AA347" s="210"/>
      <c r="AB347" s="210"/>
      <c r="AC347" s="210"/>
      <c r="AD347" s="210"/>
      <c r="AE347" s="210"/>
      <c r="AF347" s="210"/>
      <c r="AG347" s="210"/>
      <c r="AH347" s="210"/>
    </row>
    <row r="348" spans="1:34" ht="12.75">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c r="Z348" s="210"/>
      <c r="AA348" s="210"/>
      <c r="AB348" s="210"/>
      <c r="AC348" s="210"/>
      <c r="AD348" s="210"/>
      <c r="AE348" s="210"/>
      <c r="AF348" s="210"/>
      <c r="AG348" s="210"/>
      <c r="AH348" s="210"/>
    </row>
    <row r="349" spans="1:34" ht="12.75">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c r="Z349" s="210"/>
      <c r="AA349" s="210"/>
      <c r="AB349" s="210"/>
      <c r="AC349" s="210"/>
      <c r="AD349" s="210"/>
      <c r="AE349" s="210"/>
      <c r="AF349" s="210"/>
      <c r="AG349" s="210"/>
      <c r="AH349" s="210"/>
    </row>
    <row r="350" spans="1:34" ht="12.75">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c r="Z350" s="210"/>
      <c r="AA350" s="210"/>
      <c r="AB350" s="210"/>
      <c r="AC350" s="210"/>
      <c r="AD350" s="210"/>
      <c r="AE350" s="210"/>
      <c r="AF350" s="210"/>
      <c r="AG350" s="210"/>
      <c r="AH350" s="210"/>
    </row>
    <row r="351" spans="1:34" ht="12.75">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c r="Z351" s="210"/>
      <c r="AA351" s="210"/>
      <c r="AB351" s="210"/>
      <c r="AC351" s="210"/>
      <c r="AD351" s="210"/>
      <c r="AE351" s="210"/>
      <c r="AF351" s="210"/>
      <c r="AG351" s="210"/>
      <c r="AH351" s="210"/>
    </row>
    <row r="352" spans="1:34" ht="12.75">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c r="Z352" s="210"/>
      <c r="AA352" s="210"/>
      <c r="AB352" s="210"/>
      <c r="AC352" s="210"/>
      <c r="AD352" s="210"/>
      <c r="AE352" s="210"/>
      <c r="AF352" s="210"/>
      <c r="AG352" s="210"/>
      <c r="AH352" s="210"/>
    </row>
    <row r="353" spans="1:34" ht="12.75">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c r="Z353" s="210"/>
      <c r="AA353" s="210"/>
      <c r="AB353" s="210"/>
      <c r="AC353" s="210"/>
      <c r="AD353" s="210"/>
      <c r="AE353" s="210"/>
      <c r="AF353" s="210"/>
      <c r="AG353" s="210"/>
      <c r="AH353" s="210"/>
    </row>
    <row r="354" spans="1:34" ht="12.75">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c r="Z354" s="210"/>
      <c r="AA354" s="210"/>
      <c r="AB354" s="210"/>
      <c r="AC354" s="210"/>
      <c r="AD354" s="210"/>
      <c r="AE354" s="210"/>
      <c r="AF354" s="210"/>
      <c r="AG354" s="210"/>
      <c r="AH354" s="210"/>
    </row>
    <row r="355" spans="1:34" ht="12.75">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c r="Z355" s="210"/>
      <c r="AA355" s="210"/>
      <c r="AB355" s="210"/>
      <c r="AC355" s="210"/>
      <c r="AD355" s="210"/>
      <c r="AE355" s="210"/>
      <c r="AF355" s="210"/>
      <c r="AG355" s="210"/>
      <c r="AH355" s="210"/>
    </row>
    <row r="356" spans="1:34" ht="12.75">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c r="Z356" s="210"/>
      <c r="AA356" s="210"/>
      <c r="AB356" s="210"/>
      <c r="AC356" s="210"/>
      <c r="AD356" s="210"/>
      <c r="AE356" s="210"/>
      <c r="AF356" s="210"/>
      <c r="AG356" s="210"/>
      <c r="AH356" s="210"/>
    </row>
    <row r="357" spans="1:34" ht="12.75">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c r="Z357" s="210"/>
      <c r="AA357" s="210"/>
      <c r="AB357" s="210"/>
      <c r="AC357" s="210"/>
      <c r="AD357" s="210"/>
      <c r="AE357" s="210"/>
      <c r="AF357" s="210"/>
      <c r="AG357" s="210"/>
      <c r="AH357" s="210"/>
    </row>
    <row r="358" spans="1:34" ht="12.75">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c r="Z358" s="210"/>
      <c r="AA358" s="210"/>
      <c r="AB358" s="210"/>
      <c r="AC358" s="210"/>
      <c r="AD358" s="210"/>
      <c r="AE358" s="210"/>
      <c r="AF358" s="210"/>
      <c r="AG358" s="210"/>
      <c r="AH358" s="210"/>
    </row>
    <row r="359" spans="1:34" ht="12.75">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c r="Z359" s="210"/>
      <c r="AA359" s="210"/>
      <c r="AB359" s="210"/>
      <c r="AC359" s="210"/>
      <c r="AD359" s="210"/>
      <c r="AE359" s="210"/>
      <c r="AF359" s="210"/>
      <c r="AG359" s="210"/>
      <c r="AH359" s="210"/>
    </row>
    <row r="360" spans="1:34" ht="12.75">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c r="Z360" s="210"/>
      <c r="AA360" s="210"/>
      <c r="AB360" s="210"/>
      <c r="AC360" s="210"/>
      <c r="AD360" s="210"/>
      <c r="AE360" s="210"/>
      <c r="AF360" s="210"/>
      <c r="AG360" s="210"/>
      <c r="AH360" s="210"/>
    </row>
    <row r="361" spans="1:34" ht="12.75">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c r="Z361" s="210"/>
      <c r="AA361" s="210"/>
      <c r="AB361" s="210"/>
      <c r="AC361" s="210"/>
      <c r="AD361" s="210"/>
      <c r="AE361" s="210"/>
      <c r="AF361" s="210"/>
      <c r="AG361" s="210"/>
      <c r="AH361" s="210"/>
    </row>
    <row r="362" spans="1:34" ht="12.75">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c r="Z362" s="210"/>
      <c r="AA362" s="210"/>
      <c r="AB362" s="210"/>
      <c r="AC362" s="210"/>
      <c r="AD362" s="210"/>
      <c r="AE362" s="210"/>
      <c r="AF362" s="210"/>
      <c r="AG362" s="210"/>
      <c r="AH362" s="210"/>
    </row>
    <row r="363" spans="1:34" ht="12.75">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c r="Z363" s="210"/>
      <c r="AA363" s="210"/>
      <c r="AB363" s="210"/>
      <c r="AC363" s="210"/>
      <c r="AD363" s="210"/>
      <c r="AE363" s="210"/>
      <c r="AF363" s="210"/>
      <c r="AG363" s="210"/>
      <c r="AH363" s="210"/>
    </row>
    <row r="364" spans="1:34" ht="12.75">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c r="Z364" s="210"/>
      <c r="AA364" s="210"/>
      <c r="AB364" s="210"/>
      <c r="AC364" s="210"/>
      <c r="AD364" s="210"/>
      <c r="AE364" s="210"/>
      <c r="AF364" s="210"/>
      <c r="AG364" s="210"/>
      <c r="AH364" s="210"/>
    </row>
    <row r="365" spans="1:34" ht="12.75">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c r="Z365" s="210"/>
      <c r="AA365" s="210"/>
      <c r="AB365" s="210"/>
      <c r="AC365" s="210"/>
      <c r="AD365" s="210"/>
      <c r="AE365" s="210"/>
      <c r="AF365" s="210"/>
      <c r="AG365" s="210"/>
      <c r="AH365" s="210"/>
    </row>
    <row r="366" spans="1:34" ht="12.75">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c r="Z366" s="210"/>
      <c r="AA366" s="210"/>
      <c r="AB366" s="210"/>
      <c r="AC366" s="210"/>
      <c r="AD366" s="210"/>
      <c r="AE366" s="210"/>
      <c r="AF366" s="210"/>
      <c r="AG366" s="210"/>
      <c r="AH366" s="210"/>
    </row>
    <row r="367" spans="1:34" ht="12.75">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c r="Z367" s="210"/>
      <c r="AA367" s="210"/>
      <c r="AB367" s="210"/>
      <c r="AC367" s="210"/>
      <c r="AD367" s="210"/>
      <c r="AE367" s="210"/>
      <c r="AF367" s="210"/>
      <c r="AG367" s="210"/>
      <c r="AH367" s="210"/>
    </row>
    <row r="368" spans="1:34" ht="12.75">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c r="AA368" s="210"/>
      <c r="AB368" s="210"/>
      <c r="AC368" s="210"/>
      <c r="AD368" s="210"/>
      <c r="AE368" s="210"/>
      <c r="AF368" s="210"/>
      <c r="AG368" s="210"/>
      <c r="AH368" s="210"/>
    </row>
    <row r="369" spans="1:34" ht="12.75">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c r="Z369" s="210"/>
      <c r="AA369" s="210"/>
      <c r="AB369" s="210"/>
      <c r="AC369" s="210"/>
      <c r="AD369" s="210"/>
      <c r="AE369" s="210"/>
      <c r="AF369" s="210"/>
      <c r="AG369" s="210"/>
      <c r="AH369" s="210"/>
    </row>
    <row r="370" spans="1:34" ht="12.75">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c r="Z370" s="210"/>
      <c r="AA370" s="210"/>
      <c r="AB370" s="210"/>
      <c r="AC370" s="210"/>
      <c r="AD370" s="210"/>
      <c r="AE370" s="210"/>
      <c r="AF370" s="210"/>
      <c r="AG370" s="210"/>
      <c r="AH370" s="210"/>
    </row>
    <row r="371" spans="1:34" ht="12.75">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c r="Z371" s="210"/>
      <c r="AA371" s="210"/>
      <c r="AB371" s="210"/>
      <c r="AC371" s="210"/>
      <c r="AD371" s="210"/>
      <c r="AE371" s="210"/>
      <c r="AF371" s="210"/>
      <c r="AG371" s="210"/>
      <c r="AH371" s="210"/>
    </row>
    <row r="372" spans="1:34" ht="12.75">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c r="Z372" s="210"/>
      <c r="AA372" s="210"/>
      <c r="AB372" s="210"/>
      <c r="AC372" s="210"/>
      <c r="AD372" s="210"/>
      <c r="AE372" s="210"/>
      <c r="AF372" s="210"/>
      <c r="AG372" s="210"/>
      <c r="AH372" s="210"/>
    </row>
    <row r="373" spans="1:34" ht="12.75">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c r="Z373" s="210"/>
      <c r="AA373" s="210"/>
      <c r="AB373" s="210"/>
      <c r="AC373" s="210"/>
      <c r="AD373" s="210"/>
      <c r="AE373" s="210"/>
      <c r="AF373" s="210"/>
      <c r="AG373" s="210"/>
      <c r="AH373" s="210"/>
    </row>
    <row r="374" spans="1:34" ht="12.75">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c r="Z374" s="210"/>
      <c r="AA374" s="210"/>
      <c r="AB374" s="210"/>
      <c r="AC374" s="210"/>
      <c r="AD374" s="210"/>
      <c r="AE374" s="210"/>
      <c r="AF374" s="210"/>
      <c r="AG374" s="210"/>
      <c r="AH374" s="210"/>
    </row>
    <row r="375" spans="1:34" ht="12.75">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c r="Z375" s="210"/>
      <c r="AA375" s="210"/>
      <c r="AB375" s="210"/>
      <c r="AC375" s="210"/>
      <c r="AD375" s="210"/>
      <c r="AE375" s="210"/>
      <c r="AF375" s="210"/>
      <c r="AG375" s="210"/>
      <c r="AH375" s="210"/>
    </row>
    <row r="376" spans="1:34" ht="12.75">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c r="Z376" s="210"/>
      <c r="AA376" s="210"/>
      <c r="AB376" s="210"/>
      <c r="AC376" s="210"/>
      <c r="AD376" s="210"/>
      <c r="AE376" s="210"/>
      <c r="AF376" s="210"/>
      <c r="AG376" s="210"/>
      <c r="AH376" s="210"/>
    </row>
    <row r="377" spans="1:34" ht="12.75">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c r="Z377" s="210"/>
      <c r="AA377" s="210"/>
      <c r="AB377" s="210"/>
      <c r="AC377" s="210"/>
      <c r="AD377" s="210"/>
      <c r="AE377" s="210"/>
      <c r="AF377" s="210"/>
      <c r="AG377" s="210"/>
      <c r="AH377" s="210"/>
    </row>
    <row r="378" spans="1:34" ht="12.75">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c r="Z378" s="210"/>
      <c r="AA378" s="210"/>
      <c r="AB378" s="210"/>
      <c r="AC378" s="210"/>
      <c r="AD378" s="210"/>
      <c r="AE378" s="210"/>
      <c r="AF378" s="210"/>
      <c r="AG378" s="210"/>
      <c r="AH378" s="210"/>
    </row>
    <row r="379" spans="1:34" ht="12.75">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c r="Z379" s="210"/>
      <c r="AA379" s="210"/>
      <c r="AB379" s="210"/>
      <c r="AC379" s="210"/>
      <c r="AD379" s="210"/>
      <c r="AE379" s="210"/>
      <c r="AF379" s="210"/>
      <c r="AG379" s="210"/>
      <c r="AH379" s="210"/>
    </row>
    <row r="380" spans="1:34" ht="12.75">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c r="Z380" s="210"/>
      <c r="AA380" s="210"/>
      <c r="AB380" s="210"/>
      <c r="AC380" s="210"/>
      <c r="AD380" s="210"/>
      <c r="AE380" s="210"/>
      <c r="AF380" s="210"/>
      <c r="AG380" s="210"/>
      <c r="AH380" s="210"/>
    </row>
    <row r="381" spans="1:34" ht="12.75">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c r="Z381" s="210"/>
      <c r="AA381" s="210"/>
      <c r="AB381" s="210"/>
      <c r="AC381" s="210"/>
      <c r="AD381" s="210"/>
      <c r="AE381" s="210"/>
      <c r="AF381" s="210"/>
      <c r="AG381" s="210"/>
      <c r="AH381" s="210"/>
    </row>
    <row r="382" spans="1:34" ht="12.75">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c r="Z382" s="210"/>
      <c r="AA382" s="210"/>
      <c r="AB382" s="210"/>
      <c r="AC382" s="210"/>
      <c r="AD382" s="210"/>
      <c r="AE382" s="210"/>
      <c r="AF382" s="210"/>
      <c r="AG382" s="210"/>
      <c r="AH382" s="210"/>
    </row>
    <row r="383" spans="1:34" ht="12.75">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c r="Z383" s="210"/>
      <c r="AA383" s="210"/>
      <c r="AB383" s="210"/>
      <c r="AC383" s="210"/>
      <c r="AD383" s="210"/>
      <c r="AE383" s="210"/>
      <c r="AF383" s="210"/>
      <c r="AG383" s="210"/>
      <c r="AH383" s="210"/>
    </row>
    <row r="384" spans="1:34" ht="12.75">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c r="Z384" s="210"/>
      <c r="AA384" s="210"/>
      <c r="AB384" s="210"/>
      <c r="AC384" s="210"/>
      <c r="AD384" s="210"/>
      <c r="AE384" s="210"/>
      <c r="AF384" s="210"/>
      <c r="AG384" s="210"/>
      <c r="AH384" s="210"/>
    </row>
    <row r="385" spans="1:34" ht="12.75">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c r="Z385" s="210"/>
      <c r="AA385" s="210"/>
      <c r="AB385" s="210"/>
      <c r="AC385" s="210"/>
      <c r="AD385" s="210"/>
      <c r="AE385" s="210"/>
      <c r="AF385" s="210"/>
      <c r="AG385" s="210"/>
      <c r="AH385" s="210"/>
    </row>
    <row r="386" spans="1:34" ht="12.75">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c r="Z386" s="210"/>
      <c r="AA386" s="210"/>
      <c r="AB386" s="210"/>
      <c r="AC386" s="210"/>
      <c r="AD386" s="210"/>
      <c r="AE386" s="210"/>
      <c r="AF386" s="210"/>
      <c r="AG386" s="210"/>
      <c r="AH386" s="210"/>
    </row>
    <row r="387" spans="1:34" ht="12.75">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c r="Z387" s="210"/>
      <c r="AA387" s="210"/>
      <c r="AB387" s="210"/>
      <c r="AC387" s="210"/>
      <c r="AD387" s="210"/>
      <c r="AE387" s="210"/>
      <c r="AF387" s="210"/>
      <c r="AG387" s="210"/>
      <c r="AH387" s="210"/>
    </row>
    <row r="388" spans="1:34" ht="12.75">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c r="Z388" s="210"/>
      <c r="AA388" s="210"/>
      <c r="AB388" s="210"/>
      <c r="AC388" s="210"/>
      <c r="AD388" s="210"/>
      <c r="AE388" s="210"/>
      <c r="AF388" s="210"/>
      <c r="AG388" s="210"/>
      <c r="AH388" s="210"/>
    </row>
    <row r="389" spans="1:34" ht="12.75">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c r="Z389" s="210"/>
      <c r="AA389" s="210"/>
      <c r="AB389" s="210"/>
      <c r="AC389" s="210"/>
      <c r="AD389" s="210"/>
      <c r="AE389" s="210"/>
      <c r="AF389" s="210"/>
      <c r="AG389" s="210"/>
      <c r="AH389" s="210"/>
    </row>
    <row r="390" spans="1:34" ht="12.75">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c r="Z390" s="210"/>
      <c r="AA390" s="210"/>
      <c r="AB390" s="210"/>
      <c r="AC390" s="210"/>
      <c r="AD390" s="210"/>
      <c r="AE390" s="210"/>
      <c r="AF390" s="210"/>
      <c r="AG390" s="210"/>
      <c r="AH390" s="210"/>
    </row>
    <row r="391" spans="1:34" ht="12.75">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c r="Z391" s="210"/>
      <c r="AA391" s="210"/>
      <c r="AB391" s="210"/>
      <c r="AC391" s="210"/>
      <c r="AD391" s="210"/>
      <c r="AE391" s="210"/>
      <c r="AF391" s="210"/>
      <c r="AG391" s="210"/>
      <c r="AH391" s="210"/>
    </row>
    <row r="392" spans="1:34" ht="12.75">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c r="Z392" s="210"/>
      <c r="AA392" s="210"/>
      <c r="AB392" s="210"/>
      <c r="AC392" s="210"/>
      <c r="AD392" s="210"/>
      <c r="AE392" s="210"/>
      <c r="AF392" s="210"/>
      <c r="AG392" s="210"/>
      <c r="AH392" s="210"/>
    </row>
    <row r="393" spans="1:34" ht="12.75">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c r="Z393" s="210"/>
      <c r="AA393" s="210"/>
      <c r="AB393" s="210"/>
      <c r="AC393" s="210"/>
      <c r="AD393" s="210"/>
      <c r="AE393" s="210"/>
      <c r="AF393" s="210"/>
      <c r="AG393" s="210"/>
      <c r="AH393" s="210"/>
    </row>
    <row r="394" spans="1:34" ht="12.75">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c r="Z394" s="210"/>
      <c r="AA394" s="210"/>
      <c r="AB394" s="210"/>
      <c r="AC394" s="210"/>
      <c r="AD394" s="210"/>
      <c r="AE394" s="210"/>
      <c r="AF394" s="210"/>
      <c r="AG394" s="210"/>
      <c r="AH394" s="210"/>
    </row>
    <row r="395" spans="1:34" ht="12.75">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c r="Z395" s="210"/>
      <c r="AA395" s="210"/>
      <c r="AB395" s="210"/>
      <c r="AC395" s="210"/>
      <c r="AD395" s="210"/>
      <c r="AE395" s="210"/>
      <c r="AF395" s="210"/>
      <c r="AG395" s="210"/>
      <c r="AH395" s="210"/>
    </row>
    <row r="396" spans="1:34" ht="12.75">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c r="Z396" s="210"/>
      <c r="AA396" s="210"/>
      <c r="AB396" s="210"/>
      <c r="AC396" s="210"/>
      <c r="AD396" s="210"/>
      <c r="AE396" s="210"/>
      <c r="AF396" s="210"/>
      <c r="AG396" s="210"/>
      <c r="AH396" s="210"/>
    </row>
    <row r="397" spans="1:34" ht="12.75">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c r="Z397" s="210"/>
      <c r="AA397" s="210"/>
      <c r="AB397" s="210"/>
      <c r="AC397" s="210"/>
      <c r="AD397" s="210"/>
      <c r="AE397" s="210"/>
      <c r="AF397" s="210"/>
      <c r="AG397" s="210"/>
      <c r="AH397" s="210"/>
    </row>
    <row r="398" spans="1:34" ht="12.75">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c r="Z398" s="210"/>
      <c r="AA398" s="210"/>
      <c r="AB398" s="210"/>
      <c r="AC398" s="210"/>
      <c r="AD398" s="210"/>
      <c r="AE398" s="210"/>
      <c r="AF398" s="210"/>
      <c r="AG398" s="210"/>
      <c r="AH398" s="210"/>
    </row>
    <row r="399" spans="1:34" ht="12.75">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c r="Z399" s="210"/>
      <c r="AA399" s="210"/>
      <c r="AB399" s="210"/>
      <c r="AC399" s="210"/>
      <c r="AD399" s="210"/>
      <c r="AE399" s="210"/>
      <c r="AF399" s="210"/>
      <c r="AG399" s="210"/>
      <c r="AH399" s="210"/>
    </row>
    <row r="400" spans="1:34" ht="12.75">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c r="Z400" s="210"/>
      <c r="AA400" s="210"/>
      <c r="AB400" s="210"/>
      <c r="AC400" s="210"/>
      <c r="AD400" s="210"/>
      <c r="AE400" s="210"/>
      <c r="AF400" s="210"/>
      <c r="AG400" s="210"/>
      <c r="AH400" s="210"/>
    </row>
    <row r="401" spans="1:34" ht="12.75">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c r="Z401" s="210"/>
      <c r="AA401" s="210"/>
      <c r="AB401" s="210"/>
      <c r="AC401" s="210"/>
      <c r="AD401" s="210"/>
      <c r="AE401" s="210"/>
      <c r="AF401" s="210"/>
      <c r="AG401" s="210"/>
      <c r="AH401" s="210"/>
    </row>
    <row r="402" spans="1:34" ht="12.75">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c r="Z402" s="210"/>
      <c r="AA402" s="210"/>
      <c r="AB402" s="210"/>
      <c r="AC402" s="210"/>
      <c r="AD402" s="210"/>
      <c r="AE402" s="210"/>
      <c r="AF402" s="210"/>
      <c r="AG402" s="210"/>
      <c r="AH402" s="210"/>
    </row>
    <row r="403" spans="1:34" ht="12.75">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c r="Z403" s="210"/>
      <c r="AA403" s="210"/>
      <c r="AB403" s="210"/>
      <c r="AC403" s="210"/>
      <c r="AD403" s="210"/>
      <c r="AE403" s="210"/>
      <c r="AF403" s="210"/>
      <c r="AG403" s="210"/>
      <c r="AH403" s="210"/>
    </row>
    <row r="404" spans="1:34" ht="12.75">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c r="Z404" s="210"/>
      <c r="AA404" s="210"/>
      <c r="AB404" s="210"/>
      <c r="AC404" s="210"/>
      <c r="AD404" s="210"/>
      <c r="AE404" s="210"/>
      <c r="AF404" s="210"/>
      <c r="AG404" s="210"/>
      <c r="AH404" s="210"/>
    </row>
    <row r="405" spans="1:34" ht="12.75">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c r="Z405" s="210"/>
      <c r="AA405" s="210"/>
      <c r="AB405" s="210"/>
      <c r="AC405" s="210"/>
      <c r="AD405" s="210"/>
      <c r="AE405" s="210"/>
      <c r="AF405" s="210"/>
      <c r="AG405" s="210"/>
      <c r="AH405" s="210"/>
    </row>
    <row r="406" spans="1:34" ht="12.75">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c r="Z406" s="210"/>
      <c r="AA406" s="210"/>
      <c r="AB406" s="210"/>
      <c r="AC406" s="210"/>
      <c r="AD406" s="210"/>
      <c r="AE406" s="210"/>
      <c r="AF406" s="210"/>
      <c r="AG406" s="210"/>
      <c r="AH406" s="210"/>
    </row>
    <row r="407" spans="1:34" ht="12.75">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c r="Z407" s="210"/>
      <c r="AA407" s="210"/>
      <c r="AB407" s="210"/>
      <c r="AC407" s="210"/>
      <c r="AD407" s="210"/>
      <c r="AE407" s="210"/>
      <c r="AF407" s="210"/>
      <c r="AG407" s="210"/>
      <c r="AH407" s="210"/>
    </row>
    <row r="408" spans="1:34" ht="12.75">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c r="Z408" s="210"/>
      <c r="AA408" s="210"/>
      <c r="AB408" s="210"/>
      <c r="AC408" s="210"/>
      <c r="AD408" s="210"/>
      <c r="AE408" s="210"/>
      <c r="AF408" s="210"/>
      <c r="AG408" s="210"/>
      <c r="AH408" s="210"/>
    </row>
    <row r="409" spans="1:34" ht="12.75">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c r="Z409" s="210"/>
      <c r="AA409" s="210"/>
      <c r="AB409" s="210"/>
      <c r="AC409" s="210"/>
      <c r="AD409" s="210"/>
      <c r="AE409" s="210"/>
      <c r="AF409" s="210"/>
      <c r="AG409" s="210"/>
      <c r="AH409" s="210"/>
    </row>
    <row r="410" spans="1:34" ht="12.75">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c r="Z410" s="210"/>
      <c r="AA410" s="210"/>
      <c r="AB410" s="210"/>
      <c r="AC410" s="210"/>
      <c r="AD410" s="210"/>
      <c r="AE410" s="210"/>
      <c r="AF410" s="210"/>
      <c r="AG410" s="210"/>
      <c r="AH410" s="210"/>
    </row>
    <row r="411" spans="1:34" ht="12.75">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c r="Z411" s="210"/>
      <c r="AA411" s="210"/>
      <c r="AB411" s="210"/>
      <c r="AC411" s="210"/>
      <c r="AD411" s="210"/>
      <c r="AE411" s="210"/>
      <c r="AF411" s="210"/>
      <c r="AG411" s="210"/>
      <c r="AH411" s="210"/>
    </row>
    <row r="412" spans="1:34" ht="12.75">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c r="Z412" s="210"/>
      <c r="AA412" s="210"/>
      <c r="AB412" s="210"/>
      <c r="AC412" s="210"/>
      <c r="AD412" s="210"/>
      <c r="AE412" s="210"/>
      <c r="AF412" s="210"/>
      <c r="AG412" s="210"/>
      <c r="AH412" s="210"/>
    </row>
    <row r="413" spans="1:34" ht="12.75">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c r="Z413" s="210"/>
      <c r="AA413" s="210"/>
      <c r="AB413" s="210"/>
      <c r="AC413" s="210"/>
      <c r="AD413" s="210"/>
      <c r="AE413" s="210"/>
      <c r="AF413" s="210"/>
      <c r="AG413" s="210"/>
      <c r="AH413" s="210"/>
    </row>
    <row r="414" spans="1:34" ht="12.75">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c r="Z414" s="210"/>
      <c r="AA414" s="210"/>
      <c r="AB414" s="210"/>
      <c r="AC414" s="210"/>
      <c r="AD414" s="210"/>
      <c r="AE414" s="210"/>
      <c r="AF414" s="210"/>
      <c r="AG414" s="210"/>
      <c r="AH414" s="210"/>
    </row>
    <row r="415" spans="1:34" ht="12.75">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c r="Z415" s="210"/>
      <c r="AA415" s="210"/>
      <c r="AB415" s="210"/>
      <c r="AC415" s="210"/>
      <c r="AD415" s="210"/>
      <c r="AE415" s="210"/>
      <c r="AF415" s="210"/>
      <c r="AG415" s="210"/>
      <c r="AH415" s="210"/>
    </row>
    <row r="416" spans="1:34" ht="12.75">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c r="Z416" s="210"/>
      <c r="AA416" s="210"/>
      <c r="AB416" s="210"/>
      <c r="AC416" s="210"/>
      <c r="AD416" s="210"/>
      <c r="AE416" s="210"/>
      <c r="AF416" s="210"/>
      <c r="AG416" s="210"/>
      <c r="AH416" s="210"/>
    </row>
    <row r="417" spans="1:34" ht="12.75">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c r="Z417" s="210"/>
      <c r="AA417" s="210"/>
      <c r="AB417" s="210"/>
      <c r="AC417" s="210"/>
      <c r="AD417" s="210"/>
      <c r="AE417" s="210"/>
      <c r="AF417" s="210"/>
      <c r="AG417" s="210"/>
      <c r="AH417" s="210"/>
    </row>
    <row r="418" spans="1:34" ht="12.75">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c r="Z418" s="210"/>
      <c r="AA418" s="210"/>
      <c r="AB418" s="210"/>
      <c r="AC418" s="210"/>
      <c r="AD418" s="210"/>
      <c r="AE418" s="210"/>
      <c r="AF418" s="210"/>
      <c r="AG418" s="210"/>
      <c r="AH418" s="210"/>
    </row>
    <row r="419" spans="1:34" ht="12.75">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c r="Z419" s="210"/>
      <c r="AA419" s="210"/>
      <c r="AB419" s="210"/>
      <c r="AC419" s="210"/>
      <c r="AD419" s="210"/>
      <c r="AE419" s="210"/>
      <c r="AF419" s="210"/>
      <c r="AG419" s="210"/>
      <c r="AH419" s="210"/>
    </row>
    <row r="420" spans="1:34" ht="12.75">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c r="Z420" s="210"/>
      <c r="AA420" s="210"/>
      <c r="AB420" s="210"/>
      <c r="AC420" s="210"/>
      <c r="AD420" s="210"/>
      <c r="AE420" s="210"/>
      <c r="AF420" s="210"/>
      <c r="AG420" s="210"/>
      <c r="AH420" s="210"/>
    </row>
    <row r="421" spans="1:34" ht="12.75">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c r="Z421" s="210"/>
      <c r="AA421" s="210"/>
      <c r="AB421" s="210"/>
      <c r="AC421" s="210"/>
      <c r="AD421" s="210"/>
      <c r="AE421" s="210"/>
      <c r="AF421" s="210"/>
      <c r="AG421" s="210"/>
      <c r="AH421" s="210"/>
    </row>
    <row r="422" spans="1:34" ht="12.75">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c r="Z422" s="210"/>
      <c r="AA422" s="210"/>
      <c r="AB422" s="210"/>
      <c r="AC422" s="210"/>
      <c r="AD422" s="210"/>
      <c r="AE422" s="210"/>
      <c r="AF422" s="210"/>
      <c r="AG422" s="210"/>
      <c r="AH422" s="210"/>
    </row>
    <row r="423" spans="1:34" ht="12.75">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c r="Z423" s="210"/>
      <c r="AA423" s="210"/>
      <c r="AB423" s="210"/>
      <c r="AC423" s="210"/>
      <c r="AD423" s="210"/>
      <c r="AE423" s="210"/>
      <c r="AF423" s="210"/>
      <c r="AG423" s="210"/>
      <c r="AH423" s="210"/>
    </row>
    <row r="424" spans="1:34" ht="12.75">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c r="Z424" s="210"/>
      <c r="AA424" s="210"/>
      <c r="AB424" s="210"/>
      <c r="AC424" s="210"/>
      <c r="AD424" s="210"/>
      <c r="AE424" s="210"/>
      <c r="AF424" s="210"/>
      <c r="AG424" s="210"/>
      <c r="AH424" s="210"/>
    </row>
    <row r="425" spans="1:34" ht="12.75">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c r="AA425" s="210"/>
      <c r="AB425" s="210"/>
      <c r="AC425" s="210"/>
      <c r="AD425" s="210"/>
      <c r="AE425" s="210"/>
      <c r="AF425" s="210"/>
      <c r="AG425" s="210"/>
      <c r="AH425" s="210"/>
    </row>
    <row r="426" spans="1:34" ht="12.75">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c r="AA426" s="210"/>
      <c r="AB426" s="210"/>
      <c r="AC426" s="210"/>
      <c r="AD426" s="210"/>
      <c r="AE426" s="210"/>
      <c r="AF426" s="210"/>
      <c r="AG426" s="210"/>
      <c r="AH426" s="210"/>
    </row>
    <row r="427" spans="1:34" ht="12.75">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c r="Z427" s="210"/>
      <c r="AA427" s="210"/>
      <c r="AB427" s="210"/>
      <c r="AC427" s="210"/>
      <c r="AD427" s="210"/>
      <c r="AE427" s="210"/>
      <c r="AF427" s="210"/>
      <c r="AG427" s="210"/>
      <c r="AH427" s="210"/>
    </row>
    <row r="428" spans="1:34" ht="12.75">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c r="Z428" s="210"/>
      <c r="AA428" s="210"/>
      <c r="AB428" s="210"/>
      <c r="AC428" s="210"/>
      <c r="AD428" s="210"/>
      <c r="AE428" s="210"/>
      <c r="AF428" s="210"/>
      <c r="AG428" s="210"/>
      <c r="AH428" s="210"/>
    </row>
    <row r="429" spans="1:34" ht="12.75">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c r="AA429" s="210"/>
      <c r="AB429" s="210"/>
      <c r="AC429" s="210"/>
      <c r="AD429" s="210"/>
      <c r="AE429" s="210"/>
      <c r="AF429" s="210"/>
      <c r="AG429" s="210"/>
      <c r="AH429" s="210"/>
    </row>
    <row r="430" spans="1:34" ht="12.75">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c r="Z430" s="210"/>
      <c r="AA430" s="210"/>
      <c r="AB430" s="210"/>
      <c r="AC430" s="210"/>
      <c r="AD430" s="210"/>
      <c r="AE430" s="210"/>
      <c r="AF430" s="210"/>
      <c r="AG430" s="210"/>
      <c r="AH430" s="210"/>
    </row>
    <row r="431" spans="1:34" ht="12.75">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c r="Z431" s="210"/>
      <c r="AA431" s="210"/>
      <c r="AB431" s="210"/>
      <c r="AC431" s="210"/>
      <c r="AD431" s="210"/>
      <c r="AE431" s="210"/>
      <c r="AF431" s="210"/>
      <c r="AG431" s="210"/>
      <c r="AH431" s="210"/>
    </row>
    <row r="432" spans="1:34" ht="12.75">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c r="Z432" s="210"/>
      <c r="AA432" s="210"/>
      <c r="AB432" s="210"/>
      <c r="AC432" s="210"/>
      <c r="AD432" s="210"/>
      <c r="AE432" s="210"/>
      <c r="AF432" s="210"/>
      <c r="AG432" s="210"/>
      <c r="AH432" s="210"/>
    </row>
    <row r="433" spans="1:34" ht="12.75">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c r="Z433" s="210"/>
      <c r="AA433" s="210"/>
      <c r="AB433" s="210"/>
      <c r="AC433" s="210"/>
      <c r="AD433" s="210"/>
      <c r="AE433" s="210"/>
      <c r="AF433" s="210"/>
      <c r="AG433" s="210"/>
      <c r="AH433" s="210"/>
    </row>
    <row r="434" spans="1:34" ht="12.75">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c r="Z434" s="210"/>
      <c r="AA434" s="210"/>
      <c r="AB434" s="210"/>
      <c r="AC434" s="210"/>
      <c r="AD434" s="210"/>
      <c r="AE434" s="210"/>
      <c r="AF434" s="210"/>
      <c r="AG434" s="210"/>
      <c r="AH434" s="210"/>
    </row>
    <row r="435" spans="1:34" ht="12.75">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c r="Z435" s="210"/>
      <c r="AA435" s="210"/>
      <c r="AB435" s="210"/>
      <c r="AC435" s="210"/>
      <c r="AD435" s="210"/>
      <c r="AE435" s="210"/>
      <c r="AF435" s="210"/>
      <c r="AG435" s="210"/>
      <c r="AH435" s="210"/>
    </row>
    <row r="436" spans="1:34" ht="12.75">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c r="Z436" s="210"/>
      <c r="AA436" s="210"/>
      <c r="AB436" s="210"/>
      <c r="AC436" s="210"/>
      <c r="AD436" s="210"/>
      <c r="AE436" s="210"/>
      <c r="AF436" s="210"/>
      <c r="AG436" s="210"/>
      <c r="AH436" s="210"/>
    </row>
    <row r="437" spans="1:34" ht="12.75">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c r="Z437" s="210"/>
      <c r="AA437" s="210"/>
      <c r="AB437" s="210"/>
      <c r="AC437" s="210"/>
      <c r="AD437" s="210"/>
      <c r="AE437" s="210"/>
      <c r="AF437" s="210"/>
      <c r="AG437" s="210"/>
      <c r="AH437" s="210"/>
    </row>
    <row r="438" spans="1:34" ht="12.75">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c r="Z438" s="210"/>
      <c r="AA438" s="210"/>
      <c r="AB438" s="210"/>
      <c r="AC438" s="210"/>
      <c r="AD438" s="210"/>
      <c r="AE438" s="210"/>
      <c r="AF438" s="210"/>
      <c r="AG438" s="210"/>
      <c r="AH438" s="210"/>
    </row>
    <row r="439" spans="1:34" ht="12.75">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c r="Z439" s="210"/>
      <c r="AA439" s="210"/>
      <c r="AB439" s="210"/>
      <c r="AC439" s="210"/>
      <c r="AD439" s="210"/>
      <c r="AE439" s="210"/>
      <c r="AF439" s="210"/>
      <c r="AG439" s="210"/>
      <c r="AH439" s="210"/>
    </row>
    <row r="440" spans="1:34" ht="12.75">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c r="AA440" s="210"/>
      <c r="AB440" s="210"/>
      <c r="AC440" s="210"/>
      <c r="AD440" s="210"/>
      <c r="AE440" s="210"/>
      <c r="AF440" s="210"/>
      <c r="AG440" s="210"/>
      <c r="AH440" s="210"/>
    </row>
    <row r="441" spans="1:34" ht="12.75">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c r="Z441" s="210"/>
      <c r="AA441" s="210"/>
      <c r="AB441" s="210"/>
      <c r="AC441" s="210"/>
      <c r="AD441" s="210"/>
      <c r="AE441" s="210"/>
      <c r="AF441" s="210"/>
      <c r="AG441" s="210"/>
      <c r="AH441" s="210"/>
    </row>
    <row r="442" spans="1:34" ht="12.75">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c r="Z442" s="210"/>
      <c r="AA442" s="210"/>
      <c r="AB442" s="210"/>
      <c r="AC442" s="210"/>
      <c r="AD442" s="210"/>
      <c r="AE442" s="210"/>
      <c r="AF442" s="210"/>
      <c r="AG442" s="210"/>
      <c r="AH442" s="210"/>
    </row>
    <row r="443" spans="1:34" ht="12.75">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c r="Z443" s="210"/>
      <c r="AA443" s="210"/>
      <c r="AB443" s="210"/>
      <c r="AC443" s="210"/>
      <c r="AD443" s="210"/>
      <c r="AE443" s="210"/>
      <c r="AF443" s="210"/>
      <c r="AG443" s="210"/>
      <c r="AH443" s="210"/>
    </row>
    <row r="444" spans="1:34" ht="12.75">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c r="Z444" s="210"/>
      <c r="AA444" s="210"/>
      <c r="AB444" s="210"/>
      <c r="AC444" s="210"/>
      <c r="AD444" s="210"/>
      <c r="AE444" s="210"/>
      <c r="AF444" s="210"/>
      <c r="AG444" s="210"/>
      <c r="AH444" s="210"/>
    </row>
    <row r="445" spans="1:34" ht="12.75">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c r="Z445" s="210"/>
      <c r="AA445" s="210"/>
      <c r="AB445" s="210"/>
      <c r="AC445" s="210"/>
      <c r="AD445" s="210"/>
      <c r="AE445" s="210"/>
      <c r="AF445" s="210"/>
      <c r="AG445" s="210"/>
      <c r="AH445" s="210"/>
    </row>
    <row r="446" spans="1:34" ht="12.75">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c r="Z446" s="210"/>
      <c r="AA446" s="210"/>
      <c r="AB446" s="210"/>
      <c r="AC446" s="210"/>
      <c r="AD446" s="210"/>
      <c r="AE446" s="210"/>
      <c r="AF446" s="210"/>
      <c r="AG446" s="210"/>
      <c r="AH446" s="210"/>
    </row>
    <row r="447" spans="1:34" ht="12.75">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c r="Z447" s="210"/>
      <c r="AA447" s="210"/>
      <c r="AB447" s="210"/>
      <c r="AC447" s="210"/>
      <c r="AD447" s="210"/>
      <c r="AE447" s="210"/>
      <c r="AF447" s="210"/>
      <c r="AG447" s="210"/>
      <c r="AH447" s="210"/>
    </row>
    <row r="448" spans="1:34" ht="12.75">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c r="Z448" s="210"/>
      <c r="AA448" s="210"/>
      <c r="AB448" s="210"/>
      <c r="AC448" s="210"/>
      <c r="AD448" s="210"/>
      <c r="AE448" s="210"/>
      <c r="AF448" s="210"/>
      <c r="AG448" s="210"/>
      <c r="AH448" s="210"/>
    </row>
    <row r="449" spans="1:34" ht="12.75">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c r="Z449" s="210"/>
      <c r="AA449" s="210"/>
      <c r="AB449" s="210"/>
      <c r="AC449" s="210"/>
      <c r="AD449" s="210"/>
      <c r="AE449" s="210"/>
      <c r="AF449" s="210"/>
      <c r="AG449" s="210"/>
      <c r="AH449" s="210"/>
    </row>
    <row r="450" spans="1:34" ht="12.75">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c r="Z450" s="210"/>
      <c r="AA450" s="210"/>
      <c r="AB450" s="210"/>
      <c r="AC450" s="210"/>
      <c r="AD450" s="210"/>
      <c r="AE450" s="210"/>
      <c r="AF450" s="210"/>
      <c r="AG450" s="210"/>
      <c r="AH450" s="210"/>
    </row>
    <row r="451" spans="1:34" ht="12.75">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c r="Z451" s="210"/>
      <c r="AA451" s="210"/>
      <c r="AB451" s="210"/>
      <c r="AC451" s="210"/>
      <c r="AD451" s="210"/>
      <c r="AE451" s="210"/>
      <c r="AF451" s="210"/>
      <c r="AG451" s="210"/>
      <c r="AH451" s="210"/>
    </row>
    <row r="452" spans="1:34" ht="12.75">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c r="Z452" s="210"/>
      <c r="AA452" s="210"/>
      <c r="AB452" s="210"/>
      <c r="AC452" s="210"/>
      <c r="AD452" s="210"/>
      <c r="AE452" s="210"/>
      <c r="AF452" s="210"/>
      <c r="AG452" s="210"/>
      <c r="AH452" s="210"/>
    </row>
    <row r="453" spans="1:34" ht="12.75">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c r="Z453" s="210"/>
      <c r="AA453" s="210"/>
      <c r="AB453" s="210"/>
      <c r="AC453" s="210"/>
      <c r="AD453" s="210"/>
      <c r="AE453" s="210"/>
      <c r="AF453" s="210"/>
      <c r="AG453" s="210"/>
      <c r="AH453" s="210"/>
    </row>
    <row r="454" spans="1:34" ht="12.75">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c r="Z454" s="210"/>
      <c r="AA454" s="210"/>
      <c r="AB454" s="210"/>
      <c r="AC454" s="210"/>
      <c r="AD454" s="210"/>
      <c r="AE454" s="210"/>
      <c r="AF454" s="210"/>
      <c r="AG454" s="210"/>
      <c r="AH454" s="210"/>
    </row>
    <row r="455" spans="1:34" ht="12.75">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c r="Z455" s="210"/>
      <c r="AA455" s="210"/>
      <c r="AB455" s="210"/>
      <c r="AC455" s="210"/>
      <c r="AD455" s="210"/>
      <c r="AE455" s="210"/>
      <c r="AF455" s="210"/>
      <c r="AG455" s="210"/>
      <c r="AH455" s="210"/>
    </row>
    <row r="456" spans="1:34" ht="12.75">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c r="Z456" s="210"/>
      <c r="AA456" s="210"/>
      <c r="AB456" s="210"/>
      <c r="AC456" s="210"/>
      <c r="AD456" s="210"/>
      <c r="AE456" s="210"/>
      <c r="AF456" s="210"/>
      <c r="AG456" s="210"/>
      <c r="AH456" s="210"/>
    </row>
    <row r="457" spans="1:34" ht="12.75">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c r="Z457" s="210"/>
      <c r="AA457" s="210"/>
      <c r="AB457" s="210"/>
      <c r="AC457" s="210"/>
      <c r="AD457" s="210"/>
      <c r="AE457" s="210"/>
      <c r="AF457" s="210"/>
      <c r="AG457" s="210"/>
      <c r="AH457" s="210"/>
    </row>
    <row r="458" spans="1:34" ht="12.75">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c r="Z458" s="210"/>
      <c r="AA458" s="210"/>
      <c r="AB458" s="210"/>
      <c r="AC458" s="210"/>
      <c r="AD458" s="210"/>
      <c r="AE458" s="210"/>
      <c r="AF458" s="210"/>
      <c r="AG458" s="210"/>
      <c r="AH458" s="210"/>
    </row>
    <row r="459" spans="1:34" ht="12.75">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c r="Z459" s="210"/>
      <c r="AA459" s="210"/>
      <c r="AB459" s="210"/>
      <c r="AC459" s="210"/>
      <c r="AD459" s="210"/>
      <c r="AE459" s="210"/>
      <c r="AF459" s="210"/>
      <c r="AG459" s="210"/>
      <c r="AH459" s="210"/>
    </row>
    <row r="460" spans="1:34" ht="12.75">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c r="Z460" s="210"/>
      <c r="AA460" s="210"/>
      <c r="AB460" s="210"/>
      <c r="AC460" s="210"/>
      <c r="AD460" s="210"/>
      <c r="AE460" s="210"/>
      <c r="AF460" s="210"/>
      <c r="AG460" s="210"/>
      <c r="AH460" s="210"/>
    </row>
    <row r="461" spans="1:34" ht="12.75">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c r="Z461" s="210"/>
      <c r="AA461" s="210"/>
      <c r="AB461" s="210"/>
      <c r="AC461" s="210"/>
      <c r="AD461" s="210"/>
      <c r="AE461" s="210"/>
      <c r="AF461" s="210"/>
      <c r="AG461" s="210"/>
      <c r="AH461" s="210"/>
    </row>
    <row r="462" spans="1:34" ht="12.75">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c r="Z462" s="210"/>
      <c r="AA462" s="210"/>
      <c r="AB462" s="210"/>
      <c r="AC462" s="210"/>
      <c r="AD462" s="210"/>
      <c r="AE462" s="210"/>
      <c r="AF462" s="210"/>
      <c r="AG462" s="210"/>
      <c r="AH462" s="210"/>
    </row>
    <row r="463" spans="1:34" ht="12.75">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c r="Z463" s="210"/>
      <c r="AA463" s="210"/>
      <c r="AB463" s="210"/>
      <c r="AC463" s="210"/>
      <c r="AD463" s="210"/>
      <c r="AE463" s="210"/>
      <c r="AF463" s="210"/>
      <c r="AG463" s="210"/>
      <c r="AH463" s="210"/>
    </row>
    <row r="464" spans="1:34" ht="12.75">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c r="Z464" s="210"/>
      <c r="AA464" s="210"/>
      <c r="AB464" s="210"/>
      <c r="AC464" s="210"/>
      <c r="AD464" s="210"/>
      <c r="AE464" s="210"/>
      <c r="AF464" s="210"/>
      <c r="AG464" s="210"/>
      <c r="AH464" s="210"/>
    </row>
    <row r="465" spans="1:34" ht="12.75">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c r="Z465" s="210"/>
      <c r="AA465" s="210"/>
      <c r="AB465" s="210"/>
      <c r="AC465" s="210"/>
      <c r="AD465" s="210"/>
      <c r="AE465" s="210"/>
      <c r="AF465" s="210"/>
      <c r="AG465" s="210"/>
      <c r="AH465" s="210"/>
    </row>
    <row r="466" spans="1:34" ht="12.75">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c r="Z466" s="210"/>
      <c r="AA466" s="210"/>
      <c r="AB466" s="210"/>
      <c r="AC466" s="210"/>
      <c r="AD466" s="210"/>
      <c r="AE466" s="210"/>
      <c r="AF466" s="210"/>
      <c r="AG466" s="210"/>
      <c r="AH466" s="210"/>
    </row>
    <row r="467" spans="1:34" ht="12.75">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c r="Z467" s="210"/>
      <c r="AA467" s="210"/>
      <c r="AB467" s="210"/>
      <c r="AC467" s="210"/>
      <c r="AD467" s="210"/>
      <c r="AE467" s="210"/>
      <c r="AF467" s="210"/>
      <c r="AG467" s="210"/>
      <c r="AH467" s="210"/>
    </row>
    <row r="468" spans="1:34" ht="12.75">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c r="Z468" s="210"/>
      <c r="AA468" s="210"/>
      <c r="AB468" s="210"/>
      <c r="AC468" s="210"/>
      <c r="AD468" s="210"/>
      <c r="AE468" s="210"/>
      <c r="AF468" s="210"/>
      <c r="AG468" s="210"/>
      <c r="AH468" s="210"/>
    </row>
    <row r="469" spans="1:34" ht="12.75">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c r="AA469" s="210"/>
      <c r="AB469" s="210"/>
      <c r="AC469" s="210"/>
      <c r="AD469" s="210"/>
      <c r="AE469" s="210"/>
      <c r="AF469" s="210"/>
      <c r="AG469" s="210"/>
      <c r="AH469" s="210"/>
    </row>
    <row r="470" spans="1:34" ht="12.75">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c r="AA470" s="210"/>
      <c r="AB470" s="210"/>
      <c r="AC470" s="210"/>
      <c r="AD470" s="210"/>
      <c r="AE470" s="210"/>
      <c r="AF470" s="210"/>
      <c r="AG470" s="210"/>
      <c r="AH470" s="210"/>
    </row>
    <row r="471" spans="1:34" ht="12.75">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c r="Z471" s="210"/>
      <c r="AA471" s="210"/>
      <c r="AB471" s="210"/>
      <c r="AC471" s="210"/>
      <c r="AD471" s="210"/>
      <c r="AE471" s="210"/>
      <c r="AF471" s="210"/>
      <c r="AG471" s="210"/>
      <c r="AH471" s="210"/>
    </row>
    <row r="472" spans="1:34" ht="12.75">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c r="Z472" s="210"/>
      <c r="AA472" s="210"/>
      <c r="AB472" s="210"/>
      <c r="AC472" s="210"/>
      <c r="AD472" s="210"/>
      <c r="AE472" s="210"/>
      <c r="AF472" s="210"/>
      <c r="AG472" s="210"/>
      <c r="AH472" s="210"/>
    </row>
    <row r="473" spans="1:34" ht="12.75">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c r="Z473" s="210"/>
      <c r="AA473" s="210"/>
      <c r="AB473" s="210"/>
      <c r="AC473" s="210"/>
      <c r="AD473" s="210"/>
      <c r="AE473" s="210"/>
      <c r="AF473" s="210"/>
      <c r="AG473" s="210"/>
      <c r="AH473" s="210"/>
    </row>
    <row r="474" spans="1:34" ht="12.75">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c r="Z474" s="210"/>
      <c r="AA474" s="210"/>
      <c r="AB474" s="210"/>
      <c r="AC474" s="210"/>
      <c r="AD474" s="210"/>
      <c r="AE474" s="210"/>
      <c r="AF474" s="210"/>
      <c r="AG474" s="210"/>
      <c r="AH474" s="210"/>
    </row>
    <row r="475" spans="1:34" ht="12.75">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c r="Z475" s="210"/>
      <c r="AA475" s="210"/>
      <c r="AB475" s="210"/>
      <c r="AC475" s="210"/>
      <c r="AD475" s="210"/>
      <c r="AE475" s="210"/>
      <c r="AF475" s="210"/>
      <c r="AG475" s="210"/>
      <c r="AH475" s="210"/>
    </row>
    <row r="476" spans="1:34" ht="12.75">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c r="Z476" s="210"/>
      <c r="AA476" s="210"/>
      <c r="AB476" s="210"/>
      <c r="AC476" s="210"/>
      <c r="AD476" s="210"/>
      <c r="AE476" s="210"/>
      <c r="AF476" s="210"/>
      <c r="AG476" s="210"/>
      <c r="AH476" s="210"/>
    </row>
    <row r="477" spans="1:34" ht="12.75">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c r="Z477" s="210"/>
      <c r="AA477" s="210"/>
      <c r="AB477" s="210"/>
      <c r="AC477" s="210"/>
      <c r="AD477" s="210"/>
      <c r="AE477" s="210"/>
      <c r="AF477" s="210"/>
      <c r="AG477" s="210"/>
      <c r="AH477" s="210"/>
    </row>
    <row r="478" spans="1:34" ht="12.75">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c r="Z478" s="210"/>
      <c r="AA478" s="210"/>
      <c r="AB478" s="210"/>
      <c r="AC478" s="210"/>
      <c r="AD478" s="210"/>
      <c r="AE478" s="210"/>
      <c r="AF478" s="210"/>
      <c r="AG478" s="210"/>
      <c r="AH478" s="210"/>
    </row>
    <row r="479" spans="1:34" ht="12.75">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c r="Z479" s="210"/>
      <c r="AA479" s="210"/>
      <c r="AB479" s="210"/>
      <c r="AC479" s="210"/>
      <c r="AD479" s="210"/>
      <c r="AE479" s="210"/>
      <c r="AF479" s="210"/>
      <c r="AG479" s="210"/>
      <c r="AH479" s="210"/>
    </row>
    <row r="480" spans="1:34" ht="12.75">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c r="Z480" s="210"/>
      <c r="AA480" s="210"/>
      <c r="AB480" s="210"/>
      <c r="AC480" s="210"/>
      <c r="AD480" s="210"/>
      <c r="AE480" s="210"/>
      <c r="AF480" s="210"/>
      <c r="AG480" s="210"/>
      <c r="AH480" s="210"/>
    </row>
    <row r="481" spans="1:34" ht="12.75">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c r="Z481" s="210"/>
      <c r="AA481" s="210"/>
      <c r="AB481" s="210"/>
      <c r="AC481" s="210"/>
      <c r="AD481" s="210"/>
      <c r="AE481" s="210"/>
      <c r="AF481" s="210"/>
      <c r="AG481" s="210"/>
      <c r="AH481" s="210"/>
    </row>
    <row r="482" spans="1:34" ht="12.75">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c r="Z482" s="210"/>
      <c r="AA482" s="210"/>
      <c r="AB482" s="210"/>
      <c r="AC482" s="210"/>
      <c r="AD482" s="210"/>
      <c r="AE482" s="210"/>
      <c r="AF482" s="210"/>
      <c r="AG482" s="210"/>
      <c r="AH482" s="210"/>
    </row>
    <row r="483" spans="1:34" ht="12.75">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c r="Z483" s="210"/>
      <c r="AA483" s="210"/>
      <c r="AB483" s="210"/>
      <c r="AC483" s="210"/>
      <c r="AD483" s="210"/>
      <c r="AE483" s="210"/>
      <c r="AF483" s="210"/>
      <c r="AG483" s="210"/>
      <c r="AH483" s="210"/>
    </row>
    <row r="484" spans="1:34" ht="12.75">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c r="AA484" s="210"/>
      <c r="AB484" s="210"/>
      <c r="AC484" s="210"/>
      <c r="AD484" s="210"/>
      <c r="AE484" s="210"/>
      <c r="AF484" s="210"/>
      <c r="AG484" s="210"/>
      <c r="AH484" s="210"/>
    </row>
    <row r="485" spans="1:34" ht="12.75">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c r="Z485" s="210"/>
      <c r="AA485" s="210"/>
      <c r="AB485" s="210"/>
      <c r="AC485" s="210"/>
      <c r="AD485" s="210"/>
      <c r="AE485" s="210"/>
      <c r="AF485" s="210"/>
      <c r="AG485" s="210"/>
      <c r="AH485" s="210"/>
    </row>
    <row r="486" spans="1:34" ht="12.75">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c r="Z486" s="210"/>
      <c r="AA486" s="210"/>
      <c r="AB486" s="210"/>
      <c r="AC486" s="210"/>
      <c r="AD486" s="210"/>
      <c r="AE486" s="210"/>
      <c r="AF486" s="210"/>
      <c r="AG486" s="210"/>
      <c r="AH486" s="210"/>
    </row>
    <row r="487" spans="1:34" ht="12.75">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c r="Z487" s="210"/>
      <c r="AA487" s="210"/>
      <c r="AB487" s="210"/>
      <c r="AC487" s="210"/>
      <c r="AD487" s="210"/>
      <c r="AE487" s="210"/>
      <c r="AF487" s="210"/>
      <c r="AG487" s="210"/>
      <c r="AH487" s="210"/>
    </row>
    <row r="488" spans="1:34" ht="12.75">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c r="Z488" s="210"/>
      <c r="AA488" s="210"/>
      <c r="AB488" s="210"/>
      <c r="AC488" s="210"/>
      <c r="AD488" s="210"/>
      <c r="AE488" s="210"/>
      <c r="AF488" s="210"/>
      <c r="AG488" s="210"/>
      <c r="AH488" s="210"/>
    </row>
    <row r="489" spans="1:34" ht="12.75">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c r="Z489" s="210"/>
      <c r="AA489" s="210"/>
      <c r="AB489" s="210"/>
      <c r="AC489" s="210"/>
      <c r="AD489" s="210"/>
      <c r="AE489" s="210"/>
      <c r="AF489" s="210"/>
      <c r="AG489" s="210"/>
      <c r="AH489" s="210"/>
    </row>
    <row r="490" spans="1:34" ht="12.75">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c r="Z490" s="210"/>
      <c r="AA490" s="210"/>
      <c r="AB490" s="210"/>
      <c r="AC490" s="210"/>
      <c r="AD490" s="210"/>
      <c r="AE490" s="210"/>
      <c r="AF490" s="210"/>
      <c r="AG490" s="210"/>
      <c r="AH490" s="210"/>
    </row>
    <row r="491" spans="1:34" ht="12.75">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c r="Z491" s="210"/>
      <c r="AA491" s="210"/>
      <c r="AB491" s="210"/>
      <c r="AC491" s="210"/>
      <c r="AD491" s="210"/>
      <c r="AE491" s="210"/>
      <c r="AF491" s="210"/>
      <c r="AG491" s="210"/>
      <c r="AH491" s="210"/>
    </row>
    <row r="492" spans="1:34" ht="12.75">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c r="Z492" s="210"/>
      <c r="AA492" s="210"/>
      <c r="AB492" s="210"/>
      <c r="AC492" s="210"/>
      <c r="AD492" s="210"/>
      <c r="AE492" s="210"/>
      <c r="AF492" s="210"/>
      <c r="AG492" s="210"/>
      <c r="AH492" s="210"/>
    </row>
    <row r="493" spans="1:34" ht="12.75">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c r="Z493" s="210"/>
      <c r="AA493" s="210"/>
      <c r="AB493" s="210"/>
      <c r="AC493" s="210"/>
      <c r="AD493" s="210"/>
      <c r="AE493" s="210"/>
      <c r="AF493" s="210"/>
      <c r="AG493" s="210"/>
      <c r="AH493" s="210"/>
    </row>
    <row r="494" spans="1:34" ht="12.75">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c r="Z494" s="210"/>
      <c r="AA494" s="210"/>
      <c r="AB494" s="210"/>
      <c r="AC494" s="210"/>
      <c r="AD494" s="210"/>
      <c r="AE494" s="210"/>
      <c r="AF494" s="210"/>
      <c r="AG494" s="210"/>
      <c r="AH494" s="210"/>
    </row>
    <row r="495" spans="1:34" ht="12.75">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c r="Z495" s="210"/>
      <c r="AA495" s="210"/>
      <c r="AB495" s="210"/>
      <c r="AC495" s="210"/>
      <c r="AD495" s="210"/>
      <c r="AE495" s="210"/>
      <c r="AF495" s="210"/>
      <c r="AG495" s="210"/>
      <c r="AH495" s="210"/>
    </row>
    <row r="496" spans="1:34" ht="12.75">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c r="Z496" s="210"/>
      <c r="AA496" s="210"/>
      <c r="AB496" s="210"/>
      <c r="AC496" s="210"/>
      <c r="AD496" s="210"/>
      <c r="AE496" s="210"/>
      <c r="AF496" s="210"/>
      <c r="AG496" s="210"/>
      <c r="AH496" s="210"/>
    </row>
    <row r="497" spans="1:34" ht="12.75">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c r="Z497" s="210"/>
      <c r="AA497" s="210"/>
      <c r="AB497" s="210"/>
      <c r="AC497" s="210"/>
      <c r="AD497" s="210"/>
      <c r="AE497" s="210"/>
      <c r="AF497" s="210"/>
      <c r="AG497" s="210"/>
      <c r="AH497" s="210"/>
    </row>
    <row r="498" spans="1:34" ht="12.75">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c r="Z498" s="210"/>
      <c r="AA498" s="210"/>
      <c r="AB498" s="210"/>
      <c r="AC498" s="210"/>
      <c r="AD498" s="210"/>
      <c r="AE498" s="210"/>
      <c r="AF498" s="210"/>
      <c r="AG498" s="210"/>
      <c r="AH498" s="210"/>
    </row>
    <row r="499" spans="1:34" ht="12.75">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c r="Z499" s="210"/>
      <c r="AA499" s="210"/>
      <c r="AB499" s="210"/>
      <c r="AC499" s="210"/>
      <c r="AD499" s="210"/>
      <c r="AE499" s="210"/>
      <c r="AF499" s="210"/>
      <c r="AG499" s="210"/>
      <c r="AH499" s="210"/>
    </row>
    <row r="500" spans="1:34" ht="12.75">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c r="Z500" s="210"/>
      <c r="AA500" s="210"/>
      <c r="AB500" s="210"/>
      <c r="AC500" s="210"/>
      <c r="AD500" s="210"/>
      <c r="AE500" s="210"/>
      <c r="AF500" s="210"/>
      <c r="AG500" s="210"/>
      <c r="AH500" s="210"/>
    </row>
    <row r="501" spans="1:34" ht="12.75">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c r="Z501" s="210"/>
      <c r="AA501" s="210"/>
      <c r="AB501" s="210"/>
      <c r="AC501" s="210"/>
      <c r="AD501" s="210"/>
      <c r="AE501" s="210"/>
      <c r="AF501" s="210"/>
      <c r="AG501" s="210"/>
      <c r="AH501" s="210"/>
    </row>
    <row r="502" spans="1:34" ht="12.75">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c r="Z502" s="210"/>
      <c r="AA502" s="210"/>
      <c r="AB502" s="210"/>
      <c r="AC502" s="210"/>
      <c r="AD502" s="210"/>
      <c r="AE502" s="210"/>
      <c r="AF502" s="210"/>
      <c r="AG502" s="210"/>
      <c r="AH502" s="210"/>
    </row>
    <row r="503" spans="1:34" ht="12.75">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c r="Z503" s="210"/>
      <c r="AA503" s="210"/>
      <c r="AB503" s="210"/>
      <c r="AC503" s="210"/>
      <c r="AD503" s="210"/>
      <c r="AE503" s="210"/>
      <c r="AF503" s="210"/>
      <c r="AG503" s="210"/>
      <c r="AH503" s="210"/>
    </row>
    <row r="504" spans="1:34" ht="12.75">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c r="Z504" s="210"/>
      <c r="AA504" s="210"/>
      <c r="AB504" s="210"/>
      <c r="AC504" s="210"/>
      <c r="AD504" s="210"/>
      <c r="AE504" s="210"/>
      <c r="AF504" s="210"/>
      <c r="AG504" s="210"/>
      <c r="AH504" s="210"/>
    </row>
    <row r="505" spans="1:34" ht="12.75">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c r="Z505" s="210"/>
      <c r="AA505" s="210"/>
      <c r="AB505" s="210"/>
      <c r="AC505" s="210"/>
      <c r="AD505" s="210"/>
      <c r="AE505" s="210"/>
      <c r="AF505" s="210"/>
      <c r="AG505" s="210"/>
      <c r="AH505" s="210"/>
    </row>
    <row r="506" spans="1:34" ht="12.75">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c r="Z506" s="210"/>
      <c r="AA506" s="210"/>
      <c r="AB506" s="210"/>
      <c r="AC506" s="210"/>
      <c r="AD506" s="210"/>
      <c r="AE506" s="210"/>
      <c r="AF506" s="210"/>
      <c r="AG506" s="210"/>
      <c r="AH506" s="210"/>
    </row>
    <row r="507" spans="1:34" ht="12.75">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c r="Z507" s="210"/>
      <c r="AA507" s="210"/>
      <c r="AB507" s="210"/>
      <c r="AC507" s="210"/>
      <c r="AD507" s="210"/>
      <c r="AE507" s="210"/>
      <c r="AF507" s="210"/>
      <c r="AG507" s="210"/>
      <c r="AH507" s="210"/>
    </row>
    <row r="508" spans="1:34" ht="12.75">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c r="Z508" s="210"/>
      <c r="AA508" s="210"/>
      <c r="AB508" s="210"/>
      <c r="AC508" s="210"/>
      <c r="AD508" s="210"/>
      <c r="AE508" s="210"/>
      <c r="AF508" s="210"/>
      <c r="AG508" s="210"/>
      <c r="AH508" s="210"/>
    </row>
    <row r="509" spans="1:34" ht="12.75">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c r="Z509" s="210"/>
      <c r="AA509" s="210"/>
      <c r="AB509" s="210"/>
      <c r="AC509" s="210"/>
      <c r="AD509" s="210"/>
      <c r="AE509" s="210"/>
      <c r="AF509" s="210"/>
      <c r="AG509" s="210"/>
      <c r="AH509" s="210"/>
    </row>
    <row r="510" spans="1:34" ht="12.75">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c r="Z510" s="210"/>
      <c r="AA510" s="210"/>
      <c r="AB510" s="210"/>
      <c r="AC510" s="210"/>
      <c r="AD510" s="210"/>
      <c r="AE510" s="210"/>
      <c r="AF510" s="210"/>
      <c r="AG510" s="210"/>
      <c r="AH510" s="210"/>
    </row>
    <row r="511" spans="1:34" ht="12.75">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c r="Z511" s="210"/>
      <c r="AA511" s="210"/>
      <c r="AB511" s="210"/>
      <c r="AC511" s="210"/>
      <c r="AD511" s="210"/>
      <c r="AE511" s="210"/>
      <c r="AF511" s="210"/>
      <c r="AG511" s="210"/>
      <c r="AH511" s="210"/>
    </row>
    <row r="512" spans="1:34" ht="12.75">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c r="Z512" s="210"/>
      <c r="AA512" s="210"/>
      <c r="AB512" s="210"/>
      <c r="AC512" s="210"/>
      <c r="AD512" s="210"/>
      <c r="AE512" s="210"/>
      <c r="AF512" s="210"/>
      <c r="AG512" s="210"/>
      <c r="AH512" s="210"/>
    </row>
    <row r="513" spans="1:34" ht="12.75">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c r="Z513" s="210"/>
      <c r="AA513" s="210"/>
      <c r="AB513" s="210"/>
      <c r="AC513" s="210"/>
      <c r="AD513" s="210"/>
      <c r="AE513" s="210"/>
      <c r="AF513" s="210"/>
      <c r="AG513" s="210"/>
      <c r="AH513" s="210"/>
    </row>
    <row r="514" spans="1:34" ht="12.75">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c r="Z514" s="210"/>
      <c r="AA514" s="210"/>
      <c r="AB514" s="210"/>
      <c r="AC514" s="210"/>
      <c r="AD514" s="210"/>
      <c r="AE514" s="210"/>
      <c r="AF514" s="210"/>
      <c r="AG514" s="210"/>
      <c r="AH514" s="210"/>
    </row>
    <row r="515" spans="1:34" ht="12.75">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c r="Z515" s="210"/>
      <c r="AA515" s="210"/>
      <c r="AB515" s="210"/>
      <c r="AC515" s="210"/>
      <c r="AD515" s="210"/>
      <c r="AE515" s="210"/>
      <c r="AF515" s="210"/>
      <c r="AG515" s="210"/>
      <c r="AH515" s="210"/>
    </row>
    <row r="516" spans="1:34" ht="12.75">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c r="Z516" s="210"/>
      <c r="AA516" s="210"/>
      <c r="AB516" s="210"/>
      <c r="AC516" s="210"/>
      <c r="AD516" s="210"/>
      <c r="AE516" s="210"/>
      <c r="AF516" s="210"/>
      <c r="AG516" s="210"/>
      <c r="AH516" s="210"/>
    </row>
    <row r="517" spans="1:34" ht="12.75">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c r="Z517" s="210"/>
      <c r="AA517" s="210"/>
      <c r="AB517" s="210"/>
      <c r="AC517" s="210"/>
      <c r="AD517" s="210"/>
      <c r="AE517" s="210"/>
      <c r="AF517" s="210"/>
      <c r="AG517" s="210"/>
      <c r="AH517" s="210"/>
    </row>
    <row r="518" spans="1:34" ht="12.75">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c r="Z518" s="210"/>
      <c r="AA518" s="210"/>
      <c r="AB518" s="210"/>
      <c r="AC518" s="210"/>
      <c r="AD518" s="210"/>
      <c r="AE518" s="210"/>
      <c r="AF518" s="210"/>
      <c r="AG518" s="210"/>
      <c r="AH518" s="210"/>
    </row>
    <row r="519" spans="1:34" ht="12.75">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c r="Z519" s="210"/>
      <c r="AA519" s="210"/>
      <c r="AB519" s="210"/>
      <c r="AC519" s="210"/>
      <c r="AD519" s="210"/>
      <c r="AE519" s="210"/>
      <c r="AF519" s="210"/>
      <c r="AG519" s="210"/>
      <c r="AH519" s="210"/>
    </row>
    <row r="520" spans="1:34" ht="12.75">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c r="Z520" s="210"/>
      <c r="AA520" s="210"/>
      <c r="AB520" s="210"/>
      <c r="AC520" s="210"/>
      <c r="AD520" s="210"/>
      <c r="AE520" s="210"/>
      <c r="AF520" s="210"/>
      <c r="AG520" s="210"/>
      <c r="AH520" s="210"/>
    </row>
    <row r="521" spans="1:34" ht="12.75">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c r="Z521" s="210"/>
      <c r="AA521" s="210"/>
      <c r="AB521" s="210"/>
      <c r="AC521" s="210"/>
      <c r="AD521" s="210"/>
      <c r="AE521" s="210"/>
      <c r="AF521" s="210"/>
      <c r="AG521" s="210"/>
      <c r="AH521" s="210"/>
    </row>
    <row r="522" spans="1:34" ht="12.75">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c r="Z522" s="210"/>
      <c r="AA522" s="210"/>
      <c r="AB522" s="210"/>
      <c r="AC522" s="210"/>
      <c r="AD522" s="210"/>
      <c r="AE522" s="210"/>
      <c r="AF522" s="210"/>
      <c r="AG522" s="210"/>
      <c r="AH522" s="210"/>
    </row>
    <row r="523" spans="1:34" ht="12.75">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c r="Z523" s="210"/>
      <c r="AA523" s="210"/>
      <c r="AB523" s="210"/>
      <c r="AC523" s="210"/>
      <c r="AD523" s="210"/>
      <c r="AE523" s="210"/>
      <c r="AF523" s="210"/>
      <c r="AG523" s="210"/>
      <c r="AH523" s="210"/>
    </row>
    <row r="524" spans="1:34" ht="12.75">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c r="Z524" s="210"/>
      <c r="AA524" s="210"/>
      <c r="AB524" s="210"/>
      <c r="AC524" s="210"/>
      <c r="AD524" s="210"/>
      <c r="AE524" s="210"/>
      <c r="AF524" s="210"/>
      <c r="AG524" s="210"/>
      <c r="AH524" s="210"/>
    </row>
    <row r="525" spans="1:34" ht="12.75">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c r="Z525" s="210"/>
      <c r="AA525" s="210"/>
      <c r="AB525" s="210"/>
      <c r="AC525" s="210"/>
      <c r="AD525" s="210"/>
      <c r="AE525" s="210"/>
      <c r="AF525" s="210"/>
      <c r="AG525" s="210"/>
      <c r="AH525" s="210"/>
    </row>
    <row r="526" spans="1:34" ht="12.75">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c r="Z526" s="210"/>
      <c r="AA526" s="210"/>
      <c r="AB526" s="210"/>
      <c r="AC526" s="210"/>
      <c r="AD526" s="210"/>
      <c r="AE526" s="210"/>
      <c r="AF526" s="210"/>
      <c r="AG526" s="210"/>
      <c r="AH526" s="210"/>
    </row>
    <row r="527" spans="1:34" ht="12.75">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c r="Z527" s="210"/>
      <c r="AA527" s="210"/>
      <c r="AB527" s="210"/>
      <c r="AC527" s="210"/>
      <c r="AD527" s="210"/>
      <c r="AE527" s="210"/>
      <c r="AF527" s="210"/>
      <c r="AG527" s="210"/>
      <c r="AH527" s="210"/>
    </row>
    <row r="528" spans="1:34" ht="12.75">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c r="Z528" s="210"/>
      <c r="AA528" s="210"/>
      <c r="AB528" s="210"/>
      <c r="AC528" s="210"/>
      <c r="AD528" s="210"/>
      <c r="AE528" s="210"/>
      <c r="AF528" s="210"/>
      <c r="AG528" s="210"/>
      <c r="AH528" s="210"/>
    </row>
    <row r="529" spans="1:34" ht="12.75">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c r="Z529" s="210"/>
      <c r="AA529" s="210"/>
      <c r="AB529" s="210"/>
      <c r="AC529" s="210"/>
      <c r="AD529" s="210"/>
      <c r="AE529" s="210"/>
      <c r="AF529" s="210"/>
      <c r="AG529" s="210"/>
      <c r="AH529" s="210"/>
    </row>
    <row r="530" spans="1:34" ht="12.75">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c r="Z530" s="210"/>
      <c r="AA530" s="210"/>
      <c r="AB530" s="210"/>
      <c r="AC530" s="210"/>
      <c r="AD530" s="210"/>
      <c r="AE530" s="210"/>
      <c r="AF530" s="210"/>
      <c r="AG530" s="210"/>
      <c r="AH530" s="210"/>
    </row>
    <row r="531" spans="1:34" ht="12.75">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c r="Z531" s="210"/>
      <c r="AA531" s="210"/>
      <c r="AB531" s="210"/>
      <c r="AC531" s="210"/>
      <c r="AD531" s="210"/>
      <c r="AE531" s="210"/>
      <c r="AF531" s="210"/>
      <c r="AG531" s="210"/>
      <c r="AH531" s="210"/>
    </row>
    <row r="532" spans="1:34" ht="12.75">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c r="Z532" s="210"/>
      <c r="AA532" s="210"/>
      <c r="AB532" s="210"/>
      <c r="AC532" s="210"/>
      <c r="AD532" s="210"/>
      <c r="AE532" s="210"/>
      <c r="AF532" s="210"/>
      <c r="AG532" s="210"/>
      <c r="AH532" s="210"/>
    </row>
    <row r="533" spans="1:34" ht="12.75">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c r="Z533" s="210"/>
      <c r="AA533" s="210"/>
      <c r="AB533" s="210"/>
      <c r="AC533" s="210"/>
      <c r="AD533" s="210"/>
      <c r="AE533" s="210"/>
      <c r="AF533" s="210"/>
      <c r="AG533" s="210"/>
      <c r="AH533" s="210"/>
    </row>
    <row r="534" spans="1:34" ht="12.75">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c r="Z534" s="210"/>
      <c r="AA534" s="210"/>
      <c r="AB534" s="210"/>
      <c r="AC534" s="210"/>
      <c r="AD534" s="210"/>
      <c r="AE534" s="210"/>
      <c r="AF534" s="210"/>
      <c r="AG534" s="210"/>
      <c r="AH534" s="210"/>
    </row>
    <row r="535" spans="1:34" ht="12.75">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c r="Z535" s="210"/>
      <c r="AA535" s="210"/>
      <c r="AB535" s="210"/>
      <c r="AC535" s="210"/>
      <c r="AD535" s="210"/>
      <c r="AE535" s="210"/>
      <c r="AF535" s="210"/>
      <c r="AG535" s="210"/>
      <c r="AH535" s="210"/>
    </row>
    <row r="536" spans="1:34" ht="12.75">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c r="Z536" s="210"/>
      <c r="AA536" s="210"/>
      <c r="AB536" s="210"/>
      <c r="AC536" s="210"/>
      <c r="AD536" s="210"/>
      <c r="AE536" s="210"/>
      <c r="AF536" s="210"/>
      <c r="AG536" s="210"/>
      <c r="AH536" s="210"/>
    </row>
    <row r="537" spans="1:34" ht="12.75">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c r="Z537" s="210"/>
      <c r="AA537" s="210"/>
      <c r="AB537" s="210"/>
      <c r="AC537" s="210"/>
      <c r="AD537" s="210"/>
      <c r="AE537" s="210"/>
      <c r="AF537" s="210"/>
      <c r="AG537" s="210"/>
      <c r="AH537" s="210"/>
    </row>
    <row r="538" spans="1:34" ht="12.75">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c r="Z538" s="210"/>
      <c r="AA538" s="210"/>
      <c r="AB538" s="210"/>
      <c r="AC538" s="210"/>
      <c r="AD538" s="210"/>
      <c r="AE538" s="210"/>
      <c r="AF538" s="210"/>
      <c r="AG538" s="210"/>
      <c r="AH538" s="210"/>
    </row>
    <row r="539" spans="1:34" ht="12.75">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c r="Z539" s="210"/>
      <c r="AA539" s="210"/>
      <c r="AB539" s="210"/>
      <c r="AC539" s="210"/>
      <c r="AD539" s="210"/>
      <c r="AE539" s="210"/>
      <c r="AF539" s="210"/>
      <c r="AG539" s="210"/>
      <c r="AH539" s="210"/>
    </row>
    <row r="540" spans="1:34" ht="12.75">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c r="Z540" s="210"/>
      <c r="AA540" s="210"/>
      <c r="AB540" s="210"/>
      <c r="AC540" s="210"/>
      <c r="AD540" s="210"/>
      <c r="AE540" s="210"/>
      <c r="AF540" s="210"/>
      <c r="AG540" s="210"/>
      <c r="AH540" s="210"/>
    </row>
    <row r="541" spans="1:34" ht="12.75">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c r="Z541" s="210"/>
      <c r="AA541" s="210"/>
      <c r="AB541" s="210"/>
      <c r="AC541" s="210"/>
      <c r="AD541" s="210"/>
      <c r="AE541" s="210"/>
      <c r="AF541" s="210"/>
      <c r="AG541" s="210"/>
      <c r="AH541" s="210"/>
    </row>
    <row r="542" spans="1:34" ht="12.75">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c r="Z542" s="210"/>
      <c r="AA542" s="210"/>
      <c r="AB542" s="210"/>
      <c r="AC542" s="210"/>
      <c r="AD542" s="210"/>
      <c r="AE542" s="210"/>
      <c r="AF542" s="210"/>
      <c r="AG542" s="210"/>
      <c r="AH542" s="210"/>
    </row>
    <row r="543" spans="1:34" ht="12.75">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c r="Z543" s="210"/>
      <c r="AA543" s="210"/>
      <c r="AB543" s="210"/>
      <c r="AC543" s="210"/>
      <c r="AD543" s="210"/>
      <c r="AE543" s="210"/>
      <c r="AF543" s="210"/>
      <c r="AG543" s="210"/>
      <c r="AH543" s="210"/>
    </row>
    <row r="544" spans="1:34" ht="12.75">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c r="Z544" s="210"/>
      <c r="AA544" s="210"/>
      <c r="AB544" s="210"/>
      <c r="AC544" s="210"/>
      <c r="AD544" s="210"/>
      <c r="AE544" s="210"/>
      <c r="AF544" s="210"/>
      <c r="AG544" s="210"/>
      <c r="AH544" s="210"/>
    </row>
    <row r="545" spans="1:34" ht="12.75">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c r="Z545" s="210"/>
      <c r="AA545" s="210"/>
      <c r="AB545" s="210"/>
      <c r="AC545" s="210"/>
      <c r="AD545" s="210"/>
      <c r="AE545" s="210"/>
      <c r="AF545" s="210"/>
      <c r="AG545" s="210"/>
      <c r="AH545" s="210"/>
    </row>
    <row r="546" spans="1:34" ht="12.75">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c r="Z546" s="210"/>
      <c r="AA546" s="210"/>
      <c r="AB546" s="210"/>
      <c r="AC546" s="210"/>
      <c r="AD546" s="210"/>
      <c r="AE546" s="210"/>
      <c r="AF546" s="210"/>
      <c r="AG546" s="210"/>
      <c r="AH546" s="210"/>
    </row>
    <row r="547" spans="1:34" ht="12.75">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c r="Z547" s="210"/>
      <c r="AA547" s="210"/>
      <c r="AB547" s="210"/>
      <c r="AC547" s="210"/>
      <c r="AD547" s="210"/>
      <c r="AE547" s="210"/>
      <c r="AF547" s="210"/>
      <c r="AG547" s="210"/>
      <c r="AH547" s="210"/>
    </row>
    <row r="548" spans="1:34" ht="12.75">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c r="Z548" s="210"/>
      <c r="AA548" s="210"/>
      <c r="AB548" s="210"/>
      <c r="AC548" s="210"/>
      <c r="AD548" s="210"/>
      <c r="AE548" s="210"/>
      <c r="AF548" s="210"/>
      <c r="AG548" s="210"/>
      <c r="AH548" s="210"/>
    </row>
    <row r="549" spans="1:34" ht="12.75">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c r="Z549" s="210"/>
      <c r="AA549" s="210"/>
      <c r="AB549" s="210"/>
      <c r="AC549" s="210"/>
      <c r="AD549" s="210"/>
      <c r="AE549" s="210"/>
      <c r="AF549" s="210"/>
      <c r="AG549" s="210"/>
      <c r="AH549" s="210"/>
    </row>
    <row r="550" spans="1:34" ht="12.75">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c r="Z550" s="210"/>
      <c r="AA550" s="210"/>
      <c r="AB550" s="210"/>
      <c r="AC550" s="210"/>
      <c r="AD550" s="210"/>
      <c r="AE550" s="210"/>
      <c r="AF550" s="210"/>
      <c r="AG550" s="210"/>
      <c r="AH550" s="210"/>
    </row>
    <row r="551" spans="1:34" ht="12.75">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c r="Z551" s="210"/>
      <c r="AA551" s="210"/>
      <c r="AB551" s="210"/>
      <c r="AC551" s="210"/>
      <c r="AD551" s="210"/>
      <c r="AE551" s="210"/>
      <c r="AF551" s="210"/>
      <c r="AG551" s="210"/>
      <c r="AH551" s="210"/>
    </row>
    <row r="552" spans="1:34" ht="12.75">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c r="Z552" s="210"/>
      <c r="AA552" s="210"/>
      <c r="AB552" s="210"/>
      <c r="AC552" s="210"/>
      <c r="AD552" s="210"/>
      <c r="AE552" s="210"/>
      <c r="AF552" s="210"/>
      <c r="AG552" s="210"/>
      <c r="AH552" s="210"/>
    </row>
    <row r="553" spans="1:34" ht="12.75">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c r="Z553" s="210"/>
      <c r="AA553" s="210"/>
      <c r="AB553" s="210"/>
      <c r="AC553" s="210"/>
      <c r="AD553" s="210"/>
      <c r="AE553" s="210"/>
      <c r="AF553" s="210"/>
      <c r="AG553" s="210"/>
      <c r="AH553" s="210"/>
    </row>
    <row r="554" spans="1:34" ht="12.75">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c r="Z554" s="210"/>
      <c r="AA554" s="210"/>
      <c r="AB554" s="210"/>
      <c r="AC554" s="210"/>
      <c r="AD554" s="210"/>
      <c r="AE554" s="210"/>
      <c r="AF554" s="210"/>
      <c r="AG554" s="210"/>
      <c r="AH554" s="210"/>
    </row>
    <row r="555" spans="1:34" ht="12.75">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c r="Z555" s="210"/>
      <c r="AA555" s="210"/>
      <c r="AB555" s="210"/>
      <c r="AC555" s="210"/>
      <c r="AD555" s="210"/>
      <c r="AE555" s="210"/>
      <c r="AF555" s="210"/>
      <c r="AG555" s="210"/>
      <c r="AH555" s="210"/>
    </row>
    <row r="556" spans="1:34" ht="12.75">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c r="Z556" s="210"/>
      <c r="AA556" s="210"/>
      <c r="AB556" s="210"/>
      <c r="AC556" s="210"/>
      <c r="AD556" s="210"/>
      <c r="AE556" s="210"/>
      <c r="AF556" s="210"/>
      <c r="AG556" s="210"/>
      <c r="AH556" s="210"/>
    </row>
    <row r="557" spans="1:34" ht="12.75">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c r="Z557" s="210"/>
      <c r="AA557" s="210"/>
      <c r="AB557" s="210"/>
      <c r="AC557" s="210"/>
      <c r="AD557" s="210"/>
      <c r="AE557" s="210"/>
      <c r="AF557" s="210"/>
      <c r="AG557" s="210"/>
      <c r="AH557" s="210"/>
    </row>
    <row r="558" spans="1:34" ht="12.75">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c r="Z558" s="210"/>
      <c r="AA558" s="210"/>
      <c r="AB558" s="210"/>
      <c r="AC558" s="210"/>
      <c r="AD558" s="210"/>
      <c r="AE558" s="210"/>
      <c r="AF558" s="210"/>
      <c r="AG558" s="210"/>
      <c r="AH558" s="210"/>
    </row>
    <row r="559" spans="1:34" ht="12.75">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c r="Z559" s="210"/>
      <c r="AA559" s="210"/>
      <c r="AB559" s="210"/>
      <c r="AC559" s="210"/>
      <c r="AD559" s="210"/>
      <c r="AE559" s="210"/>
      <c r="AF559" s="210"/>
      <c r="AG559" s="210"/>
      <c r="AH559" s="210"/>
    </row>
    <row r="560" spans="1:34" ht="12.75">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c r="Z560" s="210"/>
      <c r="AA560" s="210"/>
      <c r="AB560" s="210"/>
      <c r="AC560" s="210"/>
      <c r="AD560" s="210"/>
      <c r="AE560" s="210"/>
      <c r="AF560" s="210"/>
      <c r="AG560" s="210"/>
      <c r="AH560" s="210"/>
    </row>
    <row r="561" spans="1:34" ht="12.75">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c r="Z561" s="210"/>
      <c r="AA561" s="210"/>
      <c r="AB561" s="210"/>
      <c r="AC561" s="210"/>
      <c r="AD561" s="210"/>
      <c r="AE561" s="210"/>
      <c r="AF561" s="210"/>
      <c r="AG561" s="210"/>
      <c r="AH561" s="210"/>
    </row>
    <row r="562" spans="1:34" ht="12.75">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c r="Z562" s="210"/>
      <c r="AA562" s="210"/>
      <c r="AB562" s="210"/>
      <c r="AC562" s="210"/>
      <c r="AD562" s="210"/>
      <c r="AE562" s="210"/>
      <c r="AF562" s="210"/>
      <c r="AG562" s="210"/>
      <c r="AH562" s="210"/>
    </row>
    <row r="563" spans="1:34" ht="12.75">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c r="Z563" s="210"/>
      <c r="AA563" s="210"/>
      <c r="AB563" s="210"/>
      <c r="AC563" s="210"/>
      <c r="AD563" s="210"/>
      <c r="AE563" s="210"/>
      <c r="AF563" s="210"/>
      <c r="AG563" s="210"/>
      <c r="AH563" s="210"/>
    </row>
    <row r="564" spans="1:34" ht="12.75">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c r="Z564" s="210"/>
      <c r="AA564" s="210"/>
      <c r="AB564" s="210"/>
      <c r="AC564" s="210"/>
      <c r="AD564" s="210"/>
      <c r="AE564" s="210"/>
      <c r="AF564" s="210"/>
      <c r="AG564" s="210"/>
      <c r="AH564" s="210"/>
    </row>
    <row r="565" spans="1:34" ht="12.75">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c r="Z565" s="210"/>
      <c r="AA565" s="210"/>
      <c r="AB565" s="210"/>
      <c r="AC565" s="210"/>
      <c r="AD565" s="210"/>
      <c r="AE565" s="210"/>
      <c r="AF565" s="210"/>
      <c r="AG565" s="210"/>
      <c r="AH565" s="210"/>
    </row>
    <row r="566" spans="1:34" ht="12.75">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c r="Z566" s="210"/>
      <c r="AA566" s="210"/>
      <c r="AB566" s="210"/>
      <c r="AC566" s="210"/>
      <c r="AD566" s="210"/>
      <c r="AE566" s="210"/>
      <c r="AF566" s="210"/>
      <c r="AG566" s="210"/>
      <c r="AH566" s="210"/>
    </row>
    <row r="567" spans="1:34" ht="12.75">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c r="Z567" s="210"/>
      <c r="AA567" s="210"/>
      <c r="AB567" s="210"/>
      <c r="AC567" s="210"/>
      <c r="AD567" s="210"/>
      <c r="AE567" s="210"/>
      <c r="AF567" s="210"/>
      <c r="AG567" s="210"/>
      <c r="AH567" s="210"/>
    </row>
    <row r="568" spans="1:34" ht="12.75">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c r="Z568" s="210"/>
      <c r="AA568" s="210"/>
      <c r="AB568" s="210"/>
      <c r="AC568" s="210"/>
      <c r="AD568" s="210"/>
      <c r="AE568" s="210"/>
      <c r="AF568" s="210"/>
      <c r="AG568" s="210"/>
      <c r="AH568" s="210"/>
    </row>
    <row r="569" spans="1:34" ht="12.75">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c r="Z569" s="210"/>
      <c r="AA569" s="210"/>
      <c r="AB569" s="210"/>
      <c r="AC569" s="210"/>
      <c r="AD569" s="210"/>
      <c r="AE569" s="210"/>
      <c r="AF569" s="210"/>
      <c r="AG569" s="210"/>
      <c r="AH569" s="210"/>
    </row>
    <row r="570" spans="1:34" ht="12.75">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c r="Z570" s="210"/>
      <c r="AA570" s="210"/>
      <c r="AB570" s="210"/>
      <c r="AC570" s="210"/>
      <c r="AD570" s="210"/>
      <c r="AE570" s="210"/>
      <c r="AF570" s="210"/>
      <c r="AG570" s="210"/>
      <c r="AH570" s="210"/>
    </row>
    <row r="571" spans="1:34" ht="12.75">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c r="Z571" s="210"/>
      <c r="AA571" s="210"/>
      <c r="AB571" s="210"/>
      <c r="AC571" s="210"/>
      <c r="AD571" s="210"/>
      <c r="AE571" s="210"/>
      <c r="AF571" s="210"/>
      <c r="AG571" s="210"/>
      <c r="AH571" s="210"/>
    </row>
    <row r="572" spans="1:34" ht="12.75">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c r="Z572" s="210"/>
      <c r="AA572" s="210"/>
      <c r="AB572" s="210"/>
      <c r="AC572" s="210"/>
      <c r="AD572" s="210"/>
      <c r="AE572" s="210"/>
      <c r="AF572" s="210"/>
      <c r="AG572" s="210"/>
      <c r="AH572" s="210"/>
    </row>
    <row r="573" spans="1:34" ht="12.75">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c r="Z573" s="210"/>
      <c r="AA573" s="210"/>
      <c r="AB573" s="210"/>
      <c r="AC573" s="210"/>
      <c r="AD573" s="210"/>
      <c r="AE573" s="210"/>
      <c r="AF573" s="210"/>
      <c r="AG573" s="210"/>
      <c r="AH573" s="210"/>
    </row>
    <row r="574" spans="1:34" ht="12.75">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c r="Z574" s="210"/>
      <c r="AA574" s="210"/>
      <c r="AB574" s="210"/>
      <c r="AC574" s="210"/>
      <c r="AD574" s="210"/>
      <c r="AE574" s="210"/>
      <c r="AF574" s="210"/>
      <c r="AG574" s="210"/>
      <c r="AH574" s="210"/>
    </row>
    <row r="575" spans="1:34" ht="12.75">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c r="Z575" s="210"/>
      <c r="AA575" s="210"/>
      <c r="AB575" s="210"/>
      <c r="AC575" s="210"/>
      <c r="AD575" s="210"/>
      <c r="AE575" s="210"/>
      <c r="AF575" s="210"/>
      <c r="AG575" s="210"/>
      <c r="AH575" s="210"/>
    </row>
    <row r="576" spans="1:34" ht="12.75">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c r="Z576" s="210"/>
      <c r="AA576" s="210"/>
      <c r="AB576" s="210"/>
      <c r="AC576" s="210"/>
      <c r="AD576" s="210"/>
      <c r="AE576" s="210"/>
      <c r="AF576" s="210"/>
      <c r="AG576" s="210"/>
      <c r="AH576" s="210"/>
    </row>
    <row r="577" spans="1:34" ht="12.75">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c r="Z577" s="210"/>
      <c r="AA577" s="210"/>
      <c r="AB577" s="210"/>
      <c r="AC577" s="210"/>
      <c r="AD577" s="210"/>
      <c r="AE577" s="210"/>
      <c r="AF577" s="210"/>
      <c r="AG577" s="210"/>
      <c r="AH577" s="210"/>
    </row>
    <row r="578" spans="1:34" ht="12.75">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c r="Z578" s="210"/>
      <c r="AA578" s="210"/>
      <c r="AB578" s="210"/>
      <c r="AC578" s="210"/>
      <c r="AD578" s="210"/>
      <c r="AE578" s="210"/>
      <c r="AF578" s="210"/>
      <c r="AG578" s="210"/>
      <c r="AH578" s="210"/>
    </row>
    <row r="579" spans="1:34" ht="12.75">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c r="Z579" s="210"/>
      <c r="AA579" s="210"/>
      <c r="AB579" s="210"/>
      <c r="AC579" s="210"/>
      <c r="AD579" s="210"/>
      <c r="AE579" s="210"/>
      <c r="AF579" s="210"/>
      <c r="AG579" s="210"/>
      <c r="AH579" s="210"/>
    </row>
    <row r="580" spans="1:34" ht="12.75">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c r="Z580" s="210"/>
      <c r="AA580" s="210"/>
      <c r="AB580" s="210"/>
      <c r="AC580" s="210"/>
      <c r="AD580" s="210"/>
      <c r="AE580" s="210"/>
      <c r="AF580" s="210"/>
      <c r="AG580" s="210"/>
      <c r="AH580" s="210"/>
    </row>
    <row r="581" spans="1:34" ht="12.75">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c r="Z581" s="210"/>
      <c r="AA581" s="210"/>
      <c r="AB581" s="210"/>
      <c r="AC581" s="210"/>
      <c r="AD581" s="210"/>
      <c r="AE581" s="210"/>
      <c r="AF581" s="210"/>
      <c r="AG581" s="210"/>
      <c r="AH581" s="210"/>
    </row>
    <row r="582" spans="1:34" ht="12.75">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c r="Z582" s="210"/>
      <c r="AA582" s="210"/>
      <c r="AB582" s="210"/>
      <c r="AC582" s="210"/>
      <c r="AD582" s="210"/>
      <c r="AE582" s="210"/>
      <c r="AF582" s="210"/>
      <c r="AG582" s="210"/>
      <c r="AH582" s="210"/>
    </row>
    <row r="583" spans="1:34" ht="12.75">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c r="Z583" s="210"/>
      <c r="AA583" s="210"/>
      <c r="AB583" s="210"/>
      <c r="AC583" s="210"/>
      <c r="AD583" s="210"/>
      <c r="AE583" s="210"/>
      <c r="AF583" s="210"/>
      <c r="AG583" s="210"/>
      <c r="AH583" s="210"/>
    </row>
    <row r="584" spans="1:34" ht="12.75">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c r="Z584" s="210"/>
      <c r="AA584" s="210"/>
      <c r="AB584" s="210"/>
      <c r="AC584" s="210"/>
      <c r="AD584" s="210"/>
      <c r="AE584" s="210"/>
      <c r="AF584" s="210"/>
      <c r="AG584" s="210"/>
      <c r="AH584" s="210"/>
    </row>
    <row r="585" spans="1:34" ht="12.75">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c r="Z585" s="210"/>
      <c r="AA585" s="210"/>
      <c r="AB585" s="210"/>
      <c r="AC585" s="210"/>
      <c r="AD585" s="210"/>
      <c r="AE585" s="210"/>
      <c r="AF585" s="210"/>
      <c r="AG585" s="210"/>
      <c r="AH585" s="210"/>
    </row>
    <row r="586" spans="1:34" ht="12.75">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c r="Z586" s="210"/>
      <c r="AA586" s="210"/>
      <c r="AB586" s="210"/>
      <c r="AC586" s="210"/>
      <c r="AD586" s="210"/>
      <c r="AE586" s="210"/>
      <c r="AF586" s="210"/>
      <c r="AG586" s="210"/>
      <c r="AH586" s="210"/>
    </row>
    <row r="587" spans="1:34" ht="12.75">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c r="Z587" s="210"/>
      <c r="AA587" s="210"/>
      <c r="AB587" s="210"/>
      <c r="AC587" s="210"/>
      <c r="AD587" s="210"/>
      <c r="AE587" s="210"/>
      <c r="AF587" s="210"/>
      <c r="AG587" s="210"/>
      <c r="AH587" s="210"/>
    </row>
    <row r="588" spans="1:34" ht="12.75">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c r="Z588" s="210"/>
      <c r="AA588" s="210"/>
      <c r="AB588" s="210"/>
      <c r="AC588" s="210"/>
      <c r="AD588" s="210"/>
      <c r="AE588" s="210"/>
      <c r="AF588" s="210"/>
      <c r="AG588" s="210"/>
      <c r="AH588" s="210"/>
    </row>
    <row r="589" spans="1:34" ht="12.75">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c r="Z589" s="210"/>
      <c r="AA589" s="210"/>
      <c r="AB589" s="210"/>
      <c r="AC589" s="210"/>
      <c r="AD589" s="210"/>
      <c r="AE589" s="210"/>
      <c r="AF589" s="210"/>
      <c r="AG589" s="210"/>
      <c r="AH589" s="210"/>
    </row>
    <row r="590" spans="1:34" ht="12.75">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c r="Z590" s="210"/>
      <c r="AA590" s="210"/>
      <c r="AB590" s="210"/>
      <c r="AC590" s="210"/>
      <c r="AD590" s="210"/>
      <c r="AE590" s="210"/>
      <c r="AF590" s="210"/>
      <c r="AG590" s="210"/>
      <c r="AH590" s="210"/>
    </row>
    <row r="591" spans="1:34" ht="12.75">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c r="Z591" s="210"/>
      <c r="AA591" s="210"/>
      <c r="AB591" s="210"/>
      <c r="AC591" s="210"/>
      <c r="AD591" s="210"/>
      <c r="AE591" s="210"/>
      <c r="AF591" s="210"/>
      <c r="AG591" s="210"/>
      <c r="AH591" s="210"/>
    </row>
    <row r="592" spans="1:34" ht="12.75">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c r="Z592" s="210"/>
      <c r="AA592" s="210"/>
      <c r="AB592" s="210"/>
      <c r="AC592" s="210"/>
      <c r="AD592" s="210"/>
      <c r="AE592" s="210"/>
      <c r="AF592" s="210"/>
      <c r="AG592" s="210"/>
      <c r="AH592" s="210"/>
    </row>
    <row r="593" spans="1:34" ht="12.75">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c r="Z593" s="210"/>
      <c r="AA593" s="210"/>
      <c r="AB593" s="210"/>
      <c r="AC593" s="210"/>
      <c r="AD593" s="210"/>
      <c r="AE593" s="210"/>
      <c r="AF593" s="210"/>
      <c r="AG593" s="210"/>
      <c r="AH593" s="210"/>
    </row>
    <row r="594" spans="1:34" ht="12.75">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c r="Z594" s="210"/>
      <c r="AA594" s="210"/>
      <c r="AB594" s="210"/>
      <c r="AC594" s="210"/>
      <c r="AD594" s="210"/>
      <c r="AE594" s="210"/>
      <c r="AF594" s="210"/>
      <c r="AG594" s="210"/>
      <c r="AH594" s="210"/>
    </row>
    <row r="595" spans="1:34" ht="12.75">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c r="Z595" s="210"/>
      <c r="AA595" s="210"/>
      <c r="AB595" s="210"/>
      <c r="AC595" s="210"/>
      <c r="AD595" s="210"/>
      <c r="AE595" s="210"/>
      <c r="AF595" s="210"/>
      <c r="AG595" s="210"/>
      <c r="AH595" s="210"/>
    </row>
    <row r="596" spans="1:34" ht="12.75">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c r="Z596" s="210"/>
      <c r="AA596" s="210"/>
      <c r="AB596" s="210"/>
      <c r="AC596" s="210"/>
      <c r="AD596" s="210"/>
      <c r="AE596" s="210"/>
      <c r="AF596" s="210"/>
      <c r="AG596" s="210"/>
      <c r="AH596" s="210"/>
    </row>
    <row r="597" spans="1:34" ht="12.75">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c r="Z597" s="210"/>
      <c r="AA597" s="210"/>
      <c r="AB597" s="210"/>
      <c r="AC597" s="210"/>
      <c r="AD597" s="210"/>
      <c r="AE597" s="210"/>
      <c r="AF597" s="210"/>
      <c r="AG597" s="210"/>
      <c r="AH597" s="210"/>
    </row>
    <row r="598" spans="1:34" ht="12.75">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c r="Z598" s="210"/>
      <c r="AA598" s="210"/>
      <c r="AB598" s="210"/>
      <c r="AC598" s="210"/>
      <c r="AD598" s="210"/>
      <c r="AE598" s="210"/>
      <c r="AF598" s="210"/>
      <c r="AG598" s="210"/>
      <c r="AH598" s="210"/>
    </row>
    <row r="599" spans="1:34" ht="12.75">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c r="Z599" s="210"/>
      <c r="AA599" s="210"/>
      <c r="AB599" s="210"/>
      <c r="AC599" s="210"/>
      <c r="AD599" s="210"/>
      <c r="AE599" s="210"/>
      <c r="AF599" s="210"/>
      <c r="AG599" s="210"/>
      <c r="AH599" s="210"/>
    </row>
    <row r="600" spans="1:34" ht="12.75">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c r="Z600" s="210"/>
      <c r="AA600" s="210"/>
      <c r="AB600" s="210"/>
      <c r="AC600" s="210"/>
      <c r="AD600" s="210"/>
      <c r="AE600" s="210"/>
      <c r="AF600" s="210"/>
      <c r="AG600" s="210"/>
      <c r="AH600" s="210"/>
    </row>
    <row r="601" spans="1:34" ht="12.75">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c r="Z601" s="210"/>
      <c r="AA601" s="210"/>
      <c r="AB601" s="210"/>
      <c r="AC601" s="210"/>
      <c r="AD601" s="210"/>
      <c r="AE601" s="210"/>
      <c r="AF601" s="210"/>
      <c r="AG601" s="210"/>
      <c r="AH601" s="210"/>
    </row>
    <row r="602" spans="1:34" ht="12.75">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c r="Z602" s="210"/>
      <c r="AA602" s="210"/>
      <c r="AB602" s="210"/>
      <c r="AC602" s="210"/>
      <c r="AD602" s="210"/>
      <c r="AE602" s="210"/>
      <c r="AF602" s="210"/>
      <c r="AG602" s="210"/>
      <c r="AH602" s="210"/>
    </row>
    <row r="603" spans="1:34" ht="12.75">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c r="Z603" s="210"/>
      <c r="AA603" s="210"/>
      <c r="AB603" s="210"/>
      <c r="AC603" s="210"/>
      <c r="AD603" s="210"/>
      <c r="AE603" s="210"/>
      <c r="AF603" s="210"/>
      <c r="AG603" s="210"/>
      <c r="AH603" s="210"/>
    </row>
    <row r="604" spans="1:34" ht="12.75">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c r="Z604" s="210"/>
      <c r="AA604" s="210"/>
      <c r="AB604" s="210"/>
      <c r="AC604" s="210"/>
      <c r="AD604" s="210"/>
      <c r="AE604" s="210"/>
      <c r="AF604" s="210"/>
      <c r="AG604" s="210"/>
      <c r="AH604" s="210"/>
    </row>
    <row r="605" spans="1:34" ht="12.75">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c r="Z605" s="210"/>
      <c r="AA605" s="210"/>
      <c r="AB605" s="210"/>
      <c r="AC605" s="210"/>
      <c r="AD605" s="210"/>
      <c r="AE605" s="210"/>
      <c r="AF605" s="210"/>
      <c r="AG605" s="210"/>
      <c r="AH605" s="210"/>
    </row>
    <row r="606" spans="1:34" ht="12.75">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c r="Z606" s="210"/>
      <c r="AA606" s="210"/>
      <c r="AB606" s="210"/>
      <c r="AC606" s="210"/>
      <c r="AD606" s="210"/>
      <c r="AE606" s="210"/>
      <c r="AF606" s="210"/>
      <c r="AG606" s="210"/>
      <c r="AH606" s="210"/>
    </row>
    <row r="607" spans="1:34" ht="12.75">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c r="Z607" s="210"/>
      <c r="AA607" s="210"/>
      <c r="AB607" s="210"/>
      <c r="AC607" s="210"/>
      <c r="AD607" s="210"/>
      <c r="AE607" s="210"/>
      <c r="AF607" s="210"/>
      <c r="AG607" s="210"/>
      <c r="AH607" s="210"/>
    </row>
    <row r="608" spans="1:34" ht="12.75">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c r="Z608" s="210"/>
      <c r="AA608" s="210"/>
      <c r="AB608" s="210"/>
      <c r="AC608" s="210"/>
      <c r="AD608" s="210"/>
      <c r="AE608" s="210"/>
      <c r="AF608" s="210"/>
      <c r="AG608" s="210"/>
      <c r="AH608" s="210"/>
    </row>
    <row r="609" spans="1:34" ht="12.75">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c r="Z609" s="210"/>
      <c r="AA609" s="210"/>
      <c r="AB609" s="210"/>
      <c r="AC609" s="210"/>
      <c r="AD609" s="210"/>
      <c r="AE609" s="210"/>
      <c r="AF609" s="210"/>
      <c r="AG609" s="210"/>
      <c r="AH609" s="210"/>
    </row>
    <row r="610" spans="1:34" ht="12.75">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c r="Z610" s="210"/>
      <c r="AA610" s="210"/>
      <c r="AB610" s="210"/>
      <c r="AC610" s="210"/>
      <c r="AD610" s="210"/>
      <c r="AE610" s="210"/>
      <c r="AF610" s="210"/>
      <c r="AG610" s="210"/>
      <c r="AH610" s="210"/>
    </row>
    <row r="611" spans="1:34" ht="12.75">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c r="Z611" s="210"/>
      <c r="AA611" s="210"/>
      <c r="AB611" s="210"/>
      <c r="AC611" s="210"/>
      <c r="AD611" s="210"/>
      <c r="AE611" s="210"/>
      <c r="AF611" s="210"/>
      <c r="AG611" s="210"/>
      <c r="AH611" s="210"/>
    </row>
    <row r="612" spans="1:34" ht="12.75">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c r="Z612" s="210"/>
      <c r="AA612" s="210"/>
      <c r="AB612" s="210"/>
      <c r="AC612" s="210"/>
      <c r="AD612" s="210"/>
      <c r="AE612" s="210"/>
      <c r="AF612" s="210"/>
      <c r="AG612" s="210"/>
      <c r="AH612" s="210"/>
    </row>
    <row r="613" spans="1:34" ht="12.75">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c r="Z613" s="210"/>
      <c r="AA613" s="210"/>
      <c r="AB613" s="210"/>
      <c r="AC613" s="210"/>
      <c r="AD613" s="210"/>
      <c r="AE613" s="210"/>
      <c r="AF613" s="210"/>
      <c r="AG613" s="210"/>
      <c r="AH613" s="210"/>
    </row>
    <row r="614" spans="1:34" ht="12.75">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c r="Z614" s="210"/>
      <c r="AA614" s="210"/>
      <c r="AB614" s="210"/>
      <c r="AC614" s="210"/>
      <c r="AD614" s="210"/>
      <c r="AE614" s="210"/>
      <c r="AF614" s="210"/>
      <c r="AG614" s="210"/>
      <c r="AH614" s="210"/>
    </row>
    <row r="615" spans="1:34" ht="12.75">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c r="Z615" s="210"/>
      <c r="AA615" s="210"/>
      <c r="AB615" s="210"/>
      <c r="AC615" s="210"/>
      <c r="AD615" s="210"/>
      <c r="AE615" s="210"/>
      <c r="AF615" s="210"/>
      <c r="AG615" s="210"/>
      <c r="AH615" s="210"/>
    </row>
    <row r="616" spans="1:34" ht="12.75">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c r="Z616" s="210"/>
      <c r="AA616" s="210"/>
      <c r="AB616" s="210"/>
      <c r="AC616" s="210"/>
      <c r="AD616" s="210"/>
      <c r="AE616" s="210"/>
      <c r="AF616" s="210"/>
      <c r="AG616" s="210"/>
      <c r="AH616" s="210"/>
    </row>
    <row r="617" spans="1:34" ht="12.75">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c r="Z617" s="210"/>
      <c r="AA617" s="210"/>
      <c r="AB617" s="210"/>
      <c r="AC617" s="210"/>
      <c r="AD617" s="210"/>
      <c r="AE617" s="210"/>
      <c r="AF617" s="210"/>
      <c r="AG617" s="210"/>
      <c r="AH617" s="210"/>
    </row>
    <row r="618" spans="1:34" ht="12.75">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c r="Z618" s="210"/>
      <c r="AA618" s="210"/>
      <c r="AB618" s="210"/>
      <c r="AC618" s="210"/>
      <c r="AD618" s="210"/>
      <c r="AE618" s="210"/>
      <c r="AF618" s="210"/>
      <c r="AG618" s="210"/>
      <c r="AH618" s="210"/>
    </row>
    <row r="619" spans="1:34" ht="12.75">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c r="Z619" s="210"/>
      <c r="AA619" s="210"/>
      <c r="AB619" s="210"/>
      <c r="AC619" s="210"/>
      <c r="AD619" s="210"/>
      <c r="AE619" s="210"/>
      <c r="AF619" s="210"/>
      <c r="AG619" s="210"/>
      <c r="AH619" s="210"/>
    </row>
    <row r="620" spans="1:34" ht="12.75">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c r="Z620" s="210"/>
      <c r="AA620" s="210"/>
      <c r="AB620" s="210"/>
      <c r="AC620" s="210"/>
      <c r="AD620" s="210"/>
      <c r="AE620" s="210"/>
      <c r="AF620" s="210"/>
      <c r="AG620" s="210"/>
      <c r="AH620" s="210"/>
    </row>
    <row r="621" spans="1:34" ht="12.75">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c r="Z621" s="210"/>
      <c r="AA621" s="210"/>
      <c r="AB621" s="210"/>
      <c r="AC621" s="210"/>
      <c r="AD621" s="210"/>
      <c r="AE621" s="210"/>
      <c r="AF621" s="210"/>
      <c r="AG621" s="210"/>
      <c r="AH621" s="210"/>
    </row>
    <row r="622" spans="1:34" ht="12.75">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c r="Z622" s="210"/>
      <c r="AA622" s="210"/>
      <c r="AB622" s="210"/>
      <c r="AC622" s="210"/>
      <c r="AD622" s="210"/>
      <c r="AE622" s="210"/>
      <c r="AF622" s="210"/>
      <c r="AG622" s="210"/>
      <c r="AH622" s="210"/>
    </row>
    <row r="623" spans="1:34" ht="12.75">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c r="Z623" s="210"/>
      <c r="AA623" s="210"/>
      <c r="AB623" s="210"/>
      <c r="AC623" s="210"/>
      <c r="AD623" s="210"/>
      <c r="AE623" s="210"/>
      <c r="AF623" s="210"/>
      <c r="AG623" s="210"/>
      <c r="AH623" s="210"/>
    </row>
    <row r="624" spans="1:34" ht="12.75">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c r="Z624" s="210"/>
      <c r="AA624" s="210"/>
      <c r="AB624" s="210"/>
      <c r="AC624" s="210"/>
      <c r="AD624" s="210"/>
      <c r="AE624" s="210"/>
      <c r="AF624" s="210"/>
      <c r="AG624" s="210"/>
      <c r="AH624" s="210"/>
    </row>
    <row r="625" spans="1:34" ht="12.75">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c r="Z625" s="210"/>
      <c r="AA625" s="210"/>
      <c r="AB625" s="210"/>
      <c r="AC625" s="210"/>
      <c r="AD625" s="210"/>
      <c r="AE625" s="210"/>
      <c r="AF625" s="210"/>
      <c r="AG625" s="210"/>
      <c r="AH625" s="210"/>
    </row>
    <row r="626" spans="1:34" ht="12.75">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c r="Z626" s="210"/>
      <c r="AA626" s="210"/>
      <c r="AB626" s="210"/>
      <c r="AC626" s="210"/>
      <c r="AD626" s="210"/>
      <c r="AE626" s="210"/>
      <c r="AF626" s="210"/>
      <c r="AG626" s="210"/>
      <c r="AH626" s="210"/>
    </row>
    <row r="627" spans="1:34" ht="12.75">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c r="Z627" s="210"/>
      <c r="AA627" s="210"/>
      <c r="AB627" s="210"/>
      <c r="AC627" s="210"/>
      <c r="AD627" s="210"/>
      <c r="AE627" s="210"/>
      <c r="AF627" s="210"/>
      <c r="AG627" s="210"/>
      <c r="AH627" s="210"/>
    </row>
    <row r="628" spans="1:34" ht="12.75">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c r="Z628" s="210"/>
      <c r="AA628" s="210"/>
      <c r="AB628" s="210"/>
      <c r="AC628" s="210"/>
      <c r="AD628" s="210"/>
      <c r="AE628" s="210"/>
      <c r="AF628" s="210"/>
      <c r="AG628" s="210"/>
      <c r="AH628" s="210"/>
    </row>
    <row r="629" spans="1:34" ht="12.75">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c r="Z629" s="210"/>
      <c r="AA629" s="210"/>
      <c r="AB629" s="210"/>
      <c r="AC629" s="210"/>
      <c r="AD629" s="210"/>
      <c r="AE629" s="210"/>
      <c r="AF629" s="210"/>
      <c r="AG629" s="210"/>
      <c r="AH629" s="210"/>
    </row>
    <row r="630" spans="1:34" ht="12.75">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c r="Z630" s="210"/>
      <c r="AA630" s="210"/>
      <c r="AB630" s="210"/>
      <c r="AC630" s="210"/>
      <c r="AD630" s="210"/>
      <c r="AE630" s="210"/>
      <c r="AF630" s="210"/>
      <c r="AG630" s="210"/>
      <c r="AH630" s="210"/>
    </row>
    <row r="631" spans="1:34" ht="12.75">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c r="Z631" s="210"/>
      <c r="AA631" s="210"/>
      <c r="AB631" s="210"/>
      <c r="AC631" s="210"/>
      <c r="AD631" s="210"/>
      <c r="AE631" s="210"/>
      <c r="AF631" s="210"/>
      <c r="AG631" s="210"/>
      <c r="AH631" s="210"/>
    </row>
    <row r="632" spans="1:34" ht="12.75">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c r="Z632" s="210"/>
      <c r="AA632" s="210"/>
      <c r="AB632" s="210"/>
      <c r="AC632" s="210"/>
      <c r="AD632" s="210"/>
      <c r="AE632" s="210"/>
      <c r="AF632" s="210"/>
      <c r="AG632" s="210"/>
      <c r="AH632" s="210"/>
    </row>
    <row r="633" spans="1:34" ht="12.75">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c r="Z633" s="210"/>
      <c r="AA633" s="210"/>
      <c r="AB633" s="210"/>
      <c r="AC633" s="210"/>
      <c r="AD633" s="210"/>
      <c r="AE633" s="210"/>
      <c r="AF633" s="210"/>
      <c r="AG633" s="210"/>
      <c r="AH633" s="210"/>
    </row>
    <row r="634" spans="1:34" ht="12.75">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c r="Z634" s="210"/>
      <c r="AA634" s="210"/>
      <c r="AB634" s="210"/>
      <c r="AC634" s="210"/>
      <c r="AD634" s="210"/>
      <c r="AE634" s="210"/>
      <c r="AF634" s="210"/>
      <c r="AG634" s="210"/>
      <c r="AH634" s="210"/>
    </row>
    <row r="635" spans="1:34" ht="12.75">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c r="Z635" s="210"/>
      <c r="AA635" s="210"/>
      <c r="AB635" s="210"/>
      <c r="AC635" s="210"/>
      <c r="AD635" s="210"/>
      <c r="AE635" s="210"/>
      <c r="AF635" s="210"/>
      <c r="AG635" s="210"/>
      <c r="AH635" s="210"/>
    </row>
    <row r="636" spans="1:34" ht="12.75">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c r="Z636" s="210"/>
      <c r="AA636" s="210"/>
      <c r="AB636" s="210"/>
      <c r="AC636" s="210"/>
      <c r="AD636" s="210"/>
      <c r="AE636" s="210"/>
      <c r="AF636" s="210"/>
      <c r="AG636" s="210"/>
      <c r="AH636" s="210"/>
    </row>
    <row r="637" spans="1:34" ht="12.75">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c r="Z637" s="210"/>
      <c r="AA637" s="210"/>
      <c r="AB637" s="210"/>
      <c r="AC637" s="210"/>
      <c r="AD637" s="210"/>
      <c r="AE637" s="210"/>
      <c r="AF637" s="210"/>
      <c r="AG637" s="210"/>
      <c r="AH637" s="210"/>
    </row>
    <row r="638" spans="1:34" ht="12.75">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c r="Z638" s="210"/>
      <c r="AA638" s="210"/>
      <c r="AB638" s="210"/>
      <c r="AC638" s="210"/>
      <c r="AD638" s="210"/>
      <c r="AE638" s="210"/>
      <c r="AF638" s="210"/>
      <c r="AG638" s="210"/>
      <c r="AH638" s="210"/>
    </row>
    <row r="639" spans="1:34" ht="12.75">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c r="Z639" s="210"/>
      <c r="AA639" s="210"/>
      <c r="AB639" s="210"/>
      <c r="AC639" s="210"/>
      <c r="AD639" s="210"/>
      <c r="AE639" s="210"/>
      <c r="AF639" s="210"/>
      <c r="AG639" s="210"/>
      <c r="AH639" s="210"/>
    </row>
    <row r="640" spans="1:34" ht="12.75">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c r="Z640" s="210"/>
      <c r="AA640" s="210"/>
      <c r="AB640" s="210"/>
      <c r="AC640" s="210"/>
      <c r="AD640" s="210"/>
      <c r="AE640" s="210"/>
      <c r="AF640" s="210"/>
      <c r="AG640" s="210"/>
      <c r="AH640" s="210"/>
    </row>
    <row r="641" spans="1:34" ht="12.75">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c r="Z641" s="210"/>
      <c r="AA641" s="210"/>
      <c r="AB641" s="210"/>
      <c r="AC641" s="210"/>
      <c r="AD641" s="210"/>
      <c r="AE641" s="210"/>
      <c r="AF641" s="210"/>
      <c r="AG641" s="210"/>
      <c r="AH641" s="210"/>
    </row>
    <row r="642" spans="1:34" ht="12.75">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c r="Z642" s="210"/>
      <c r="AA642" s="210"/>
      <c r="AB642" s="210"/>
      <c r="AC642" s="210"/>
      <c r="AD642" s="210"/>
      <c r="AE642" s="210"/>
      <c r="AF642" s="210"/>
      <c r="AG642" s="210"/>
      <c r="AH642" s="210"/>
    </row>
    <row r="643" spans="1:34" ht="12.75">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c r="Z643" s="210"/>
      <c r="AA643" s="210"/>
      <c r="AB643" s="210"/>
      <c r="AC643" s="210"/>
      <c r="AD643" s="210"/>
      <c r="AE643" s="210"/>
      <c r="AF643" s="210"/>
      <c r="AG643" s="210"/>
      <c r="AH643" s="210"/>
    </row>
    <row r="644" spans="1:34" ht="12.75">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c r="Z644" s="210"/>
      <c r="AA644" s="210"/>
      <c r="AB644" s="210"/>
      <c r="AC644" s="210"/>
      <c r="AD644" s="210"/>
      <c r="AE644" s="210"/>
      <c r="AF644" s="210"/>
      <c r="AG644" s="210"/>
      <c r="AH644" s="210"/>
    </row>
    <row r="645" spans="1:34" ht="12.75">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c r="Z645" s="210"/>
      <c r="AA645" s="210"/>
      <c r="AB645" s="210"/>
      <c r="AC645" s="210"/>
      <c r="AD645" s="210"/>
      <c r="AE645" s="210"/>
      <c r="AF645" s="210"/>
      <c r="AG645" s="210"/>
      <c r="AH645" s="210"/>
    </row>
    <row r="646" spans="1:34" ht="12.75">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c r="Z646" s="210"/>
      <c r="AA646" s="210"/>
      <c r="AB646" s="210"/>
      <c r="AC646" s="210"/>
      <c r="AD646" s="210"/>
      <c r="AE646" s="210"/>
      <c r="AF646" s="210"/>
      <c r="AG646" s="210"/>
      <c r="AH646" s="210"/>
    </row>
    <row r="647" spans="1:34" ht="12.75">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c r="Z647" s="210"/>
      <c r="AA647" s="210"/>
      <c r="AB647" s="210"/>
      <c r="AC647" s="210"/>
      <c r="AD647" s="210"/>
      <c r="AE647" s="210"/>
      <c r="AF647" s="210"/>
      <c r="AG647" s="210"/>
      <c r="AH647" s="210"/>
    </row>
    <row r="648" spans="1:34" ht="12.75">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c r="Z648" s="210"/>
      <c r="AA648" s="210"/>
      <c r="AB648" s="210"/>
      <c r="AC648" s="210"/>
      <c r="AD648" s="210"/>
      <c r="AE648" s="210"/>
      <c r="AF648" s="210"/>
      <c r="AG648" s="210"/>
      <c r="AH648" s="210"/>
    </row>
    <row r="649" spans="1:34" ht="12.75">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c r="Z649" s="210"/>
      <c r="AA649" s="210"/>
      <c r="AB649" s="210"/>
      <c r="AC649" s="210"/>
      <c r="AD649" s="210"/>
      <c r="AE649" s="210"/>
      <c r="AF649" s="210"/>
      <c r="AG649" s="210"/>
      <c r="AH649" s="210"/>
    </row>
    <row r="650" spans="1:34" ht="12.75">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c r="Z650" s="210"/>
      <c r="AA650" s="210"/>
      <c r="AB650" s="210"/>
      <c r="AC650" s="210"/>
      <c r="AD650" s="210"/>
      <c r="AE650" s="210"/>
      <c r="AF650" s="210"/>
      <c r="AG650" s="210"/>
      <c r="AH650" s="210"/>
    </row>
    <row r="651" spans="1:34" ht="12.75">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c r="Z651" s="210"/>
      <c r="AA651" s="210"/>
      <c r="AB651" s="210"/>
      <c r="AC651" s="210"/>
      <c r="AD651" s="210"/>
      <c r="AE651" s="210"/>
      <c r="AF651" s="210"/>
      <c r="AG651" s="210"/>
      <c r="AH651" s="210"/>
    </row>
    <row r="652" spans="1:34" ht="12.75">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c r="Z652" s="210"/>
      <c r="AA652" s="210"/>
      <c r="AB652" s="210"/>
      <c r="AC652" s="210"/>
      <c r="AD652" s="210"/>
      <c r="AE652" s="210"/>
      <c r="AF652" s="210"/>
      <c r="AG652" s="210"/>
      <c r="AH652" s="210"/>
    </row>
    <row r="653" spans="1:34" ht="12.75">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c r="Z653" s="210"/>
      <c r="AA653" s="210"/>
      <c r="AB653" s="210"/>
      <c r="AC653" s="210"/>
      <c r="AD653" s="210"/>
      <c r="AE653" s="210"/>
      <c r="AF653" s="210"/>
      <c r="AG653" s="210"/>
      <c r="AH653" s="210"/>
    </row>
    <row r="654" spans="1:34" ht="12.75">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c r="Z654" s="210"/>
      <c r="AA654" s="210"/>
      <c r="AB654" s="210"/>
      <c r="AC654" s="210"/>
      <c r="AD654" s="210"/>
      <c r="AE654" s="210"/>
      <c r="AF654" s="210"/>
      <c r="AG654" s="210"/>
      <c r="AH654" s="210"/>
    </row>
    <row r="655" spans="1:34" ht="12.75">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c r="Z655" s="210"/>
      <c r="AA655" s="210"/>
      <c r="AB655" s="210"/>
      <c r="AC655" s="210"/>
      <c r="AD655" s="210"/>
      <c r="AE655" s="210"/>
      <c r="AF655" s="210"/>
      <c r="AG655" s="210"/>
      <c r="AH655" s="210"/>
    </row>
    <row r="656" spans="1:34" ht="12.75">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c r="Z656" s="210"/>
      <c r="AA656" s="210"/>
      <c r="AB656" s="210"/>
      <c r="AC656" s="210"/>
      <c r="AD656" s="210"/>
      <c r="AE656" s="210"/>
      <c r="AF656" s="210"/>
      <c r="AG656" s="210"/>
      <c r="AH656" s="210"/>
    </row>
    <row r="657" spans="1:34" ht="12.75">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c r="Z657" s="210"/>
      <c r="AA657" s="210"/>
      <c r="AB657" s="210"/>
      <c r="AC657" s="210"/>
      <c r="AD657" s="210"/>
      <c r="AE657" s="210"/>
      <c r="AF657" s="210"/>
      <c r="AG657" s="210"/>
      <c r="AH657" s="210"/>
    </row>
    <row r="658" spans="1:34" ht="12.75">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c r="Z658" s="210"/>
      <c r="AA658" s="210"/>
      <c r="AB658" s="210"/>
      <c r="AC658" s="210"/>
      <c r="AD658" s="210"/>
      <c r="AE658" s="210"/>
      <c r="AF658" s="210"/>
      <c r="AG658" s="210"/>
      <c r="AH658" s="210"/>
    </row>
    <row r="659" spans="1:34" ht="12.75">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c r="Z659" s="210"/>
      <c r="AA659" s="210"/>
      <c r="AB659" s="210"/>
      <c r="AC659" s="210"/>
      <c r="AD659" s="210"/>
      <c r="AE659" s="210"/>
      <c r="AF659" s="210"/>
      <c r="AG659" s="210"/>
      <c r="AH659" s="210"/>
    </row>
    <row r="660" spans="1:34" ht="12.75">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c r="Z660" s="210"/>
      <c r="AA660" s="210"/>
      <c r="AB660" s="210"/>
      <c r="AC660" s="210"/>
      <c r="AD660" s="210"/>
      <c r="AE660" s="210"/>
      <c r="AF660" s="210"/>
      <c r="AG660" s="210"/>
      <c r="AH660" s="210"/>
    </row>
    <row r="661" spans="1:34" ht="12.75">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c r="Z661" s="210"/>
      <c r="AA661" s="210"/>
      <c r="AB661" s="210"/>
      <c r="AC661" s="210"/>
      <c r="AD661" s="210"/>
      <c r="AE661" s="210"/>
      <c r="AF661" s="210"/>
      <c r="AG661" s="210"/>
      <c r="AH661" s="210"/>
    </row>
    <row r="662" spans="1:34" ht="12.75">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c r="Z662" s="210"/>
      <c r="AA662" s="210"/>
      <c r="AB662" s="210"/>
      <c r="AC662" s="210"/>
      <c r="AD662" s="210"/>
      <c r="AE662" s="210"/>
      <c r="AF662" s="210"/>
      <c r="AG662" s="210"/>
      <c r="AH662" s="210"/>
    </row>
    <row r="663" spans="1:34" ht="12.75">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c r="Z663" s="210"/>
      <c r="AA663" s="210"/>
      <c r="AB663" s="210"/>
      <c r="AC663" s="210"/>
      <c r="AD663" s="210"/>
      <c r="AE663" s="210"/>
      <c r="AF663" s="210"/>
      <c r="AG663" s="210"/>
      <c r="AH663" s="210"/>
    </row>
    <row r="664" spans="1:34" ht="12.75">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c r="Z664" s="210"/>
      <c r="AA664" s="210"/>
      <c r="AB664" s="210"/>
      <c r="AC664" s="210"/>
      <c r="AD664" s="210"/>
      <c r="AE664" s="210"/>
      <c r="AF664" s="210"/>
      <c r="AG664" s="210"/>
      <c r="AH664" s="210"/>
    </row>
    <row r="665" spans="1:34" ht="12.75">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c r="Z665" s="210"/>
      <c r="AA665" s="210"/>
      <c r="AB665" s="210"/>
      <c r="AC665" s="210"/>
      <c r="AD665" s="210"/>
      <c r="AE665" s="210"/>
      <c r="AF665" s="210"/>
      <c r="AG665" s="210"/>
      <c r="AH665" s="210"/>
    </row>
    <row r="666" spans="1:34" ht="12.75">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c r="Z666" s="210"/>
      <c r="AA666" s="210"/>
      <c r="AB666" s="210"/>
      <c r="AC666" s="210"/>
      <c r="AD666" s="210"/>
      <c r="AE666" s="210"/>
      <c r="AF666" s="210"/>
      <c r="AG666" s="210"/>
      <c r="AH666" s="210"/>
    </row>
    <row r="667" spans="1:34" ht="12.75">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c r="Z667" s="210"/>
      <c r="AA667" s="210"/>
      <c r="AB667" s="210"/>
      <c r="AC667" s="210"/>
      <c r="AD667" s="210"/>
      <c r="AE667" s="210"/>
      <c r="AF667" s="210"/>
      <c r="AG667" s="210"/>
      <c r="AH667" s="210"/>
    </row>
    <row r="668" spans="1:34" ht="12.75">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c r="Z668" s="210"/>
      <c r="AA668" s="210"/>
      <c r="AB668" s="210"/>
      <c r="AC668" s="210"/>
      <c r="AD668" s="210"/>
      <c r="AE668" s="210"/>
      <c r="AF668" s="210"/>
      <c r="AG668" s="210"/>
      <c r="AH668" s="210"/>
    </row>
    <row r="669" spans="1:34" ht="12.75">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c r="Z669" s="210"/>
      <c r="AA669" s="210"/>
      <c r="AB669" s="210"/>
      <c r="AC669" s="210"/>
      <c r="AD669" s="210"/>
      <c r="AE669" s="210"/>
      <c r="AF669" s="210"/>
      <c r="AG669" s="210"/>
      <c r="AH669" s="210"/>
    </row>
    <row r="670" spans="1:34" ht="12.75">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c r="Z670" s="210"/>
      <c r="AA670" s="210"/>
      <c r="AB670" s="210"/>
      <c r="AC670" s="210"/>
      <c r="AD670" s="210"/>
      <c r="AE670" s="210"/>
      <c r="AF670" s="210"/>
      <c r="AG670" s="210"/>
      <c r="AH670" s="210"/>
    </row>
    <row r="671" spans="1:34" ht="12.75">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c r="Z671" s="210"/>
      <c r="AA671" s="210"/>
      <c r="AB671" s="210"/>
      <c r="AC671" s="210"/>
      <c r="AD671" s="210"/>
      <c r="AE671" s="210"/>
      <c r="AF671" s="210"/>
      <c r="AG671" s="210"/>
      <c r="AH671" s="210"/>
    </row>
    <row r="672" spans="1:34" ht="12.75">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c r="Z672" s="210"/>
      <c r="AA672" s="210"/>
      <c r="AB672" s="210"/>
      <c r="AC672" s="210"/>
      <c r="AD672" s="210"/>
      <c r="AE672" s="210"/>
      <c r="AF672" s="210"/>
      <c r="AG672" s="210"/>
      <c r="AH672" s="210"/>
    </row>
    <row r="673" spans="1:34" ht="12.75">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c r="Z673" s="210"/>
      <c r="AA673" s="210"/>
      <c r="AB673" s="210"/>
      <c r="AC673" s="210"/>
      <c r="AD673" s="210"/>
      <c r="AE673" s="210"/>
      <c r="AF673" s="210"/>
      <c r="AG673" s="210"/>
      <c r="AH673" s="210"/>
    </row>
    <row r="674" spans="1:34" ht="12.75">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c r="Z674" s="210"/>
      <c r="AA674" s="210"/>
      <c r="AB674" s="210"/>
      <c r="AC674" s="210"/>
      <c r="AD674" s="210"/>
      <c r="AE674" s="210"/>
      <c r="AF674" s="210"/>
      <c r="AG674" s="210"/>
      <c r="AH674" s="210"/>
    </row>
    <row r="675" spans="1:34" ht="12.75">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c r="Z675" s="210"/>
      <c r="AA675" s="210"/>
      <c r="AB675" s="210"/>
      <c r="AC675" s="210"/>
      <c r="AD675" s="210"/>
      <c r="AE675" s="210"/>
      <c r="AF675" s="210"/>
      <c r="AG675" s="210"/>
      <c r="AH675" s="210"/>
    </row>
    <row r="676" spans="1:34" ht="12.75">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c r="Z676" s="210"/>
      <c r="AA676" s="210"/>
      <c r="AB676" s="210"/>
      <c r="AC676" s="210"/>
      <c r="AD676" s="210"/>
      <c r="AE676" s="210"/>
      <c r="AF676" s="210"/>
      <c r="AG676" s="210"/>
      <c r="AH676" s="210"/>
    </row>
    <row r="677" spans="1:34" ht="12.75">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c r="Z677" s="210"/>
      <c r="AA677" s="210"/>
      <c r="AB677" s="210"/>
      <c r="AC677" s="210"/>
      <c r="AD677" s="210"/>
      <c r="AE677" s="210"/>
      <c r="AF677" s="210"/>
      <c r="AG677" s="210"/>
      <c r="AH677" s="210"/>
    </row>
    <row r="678" spans="1:34" ht="12.75">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c r="Z678" s="210"/>
      <c r="AA678" s="210"/>
      <c r="AB678" s="210"/>
      <c r="AC678" s="210"/>
      <c r="AD678" s="210"/>
      <c r="AE678" s="210"/>
      <c r="AF678" s="210"/>
      <c r="AG678" s="210"/>
      <c r="AH678" s="210"/>
    </row>
    <row r="679" spans="1:34" ht="12.75">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c r="Z679" s="210"/>
      <c r="AA679" s="210"/>
      <c r="AB679" s="210"/>
      <c r="AC679" s="210"/>
      <c r="AD679" s="210"/>
      <c r="AE679" s="210"/>
      <c r="AF679" s="210"/>
      <c r="AG679" s="210"/>
      <c r="AH679" s="210"/>
    </row>
    <row r="680" spans="1:34" ht="12.75">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c r="Z680" s="210"/>
      <c r="AA680" s="210"/>
      <c r="AB680" s="210"/>
      <c r="AC680" s="210"/>
      <c r="AD680" s="210"/>
      <c r="AE680" s="210"/>
      <c r="AF680" s="210"/>
      <c r="AG680" s="210"/>
      <c r="AH680" s="210"/>
    </row>
    <row r="681" spans="1:34" ht="12.75">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c r="Z681" s="210"/>
      <c r="AA681" s="210"/>
      <c r="AB681" s="210"/>
      <c r="AC681" s="210"/>
      <c r="AD681" s="210"/>
      <c r="AE681" s="210"/>
      <c r="AF681" s="210"/>
      <c r="AG681" s="210"/>
      <c r="AH681" s="210"/>
    </row>
    <row r="682" spans="1:34" ht="12.75">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c r="Z682" s="210"/>
      <c r="AA682" s="210"/>
      <c r="AB682" s="210"/>
      <c r="AC682" s="210"/>
      <c r="AD682" s="210"/>
      <c r="AE682" s="210"/>
      <c r="AF682" s="210"/>
      <c r="AG682" s="210"/>
      <c r="AH682" s="210"/>
    </row>
    <row r="683" spans="1:34" ht="12.75">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c r="Z683" s="210"/>
      <c r="AA683" s="210"/>
      <c r="AB683" s="210"/>
      <c r="AC683" s="210"/>
      <c r="AD683" s="210"/>
      <c r="AE683" s="210"/>
      <c r="AF683" s="210"/>
      <c r="AG683" s="210"/>
      <c r="AH683" s="210"/>
    </row>
    <row r="684" spans="1:34" ht="12.75">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c r="Z684" s="210"/>
      <c r="AA684" s="210"/>
      <c r="AB684" s="210"/>
      <c r="AC684" s="210"/>
      <c r="AD684" s="210"/>
      <c r="AE684" s="210"/>
      <c r="AF684" s="210"/>
      <c r="AG684" s="210"/>
      <c r="AH684" s="210"/>
    </row>
    <row r="685" spans="1:34" ht="12.75">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c r="Z685" s="210"/>
      <c r="AA685" s="210"/>
      <c r="AB685" s="210"/>
      <c r="AC685" s="210"/>
      <c r="AD685" s="210"/>
      <c r="AE685" s="210"/>
      <c r="AF685" s="210"/>
      <c r="AG685" s="210"/>
      <c r="AH685" s="210"/>
    </row>
    <row r="686" spans="1:34" ht="12.75">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c r="Z686" s="210"/>
      <c r="AA686" s="210"/>
      <c r="AB686" s="210"/>
      <c r="AC686" s="210"/>
      <c r="AD686" s="210"/>
      <c r="AE686" s="210"/>
      <c r="AF686" s="210"/>
      <c r="AG686" s="210"/>
      <c r="AH686" s="210"/>
    </row>
    <row r="687" spans="1:34" ht="12.75">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c r="Z687" s="210"/>
      <c r="AA687" s="210"/>
      <c r="AB687" s="210"/>
      <c r="AC687" s="210"/>
      <c r="AD687" s="210"/>
      <c r="AE687" s="210"/>
      <c r="AF687" s="210"/>
      <c r="AG687" s="210"/>
      <c r="AH687" s="210"/>
    </row>
    <row r="688" spans="1:34" ht="12.75">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c r="Z688" s="210"/>
      <c r="AA688" s="210"/>
      <c r="AB688" s="210"/>
      <c r="AC688" s="210"/>
      <c r="AD688" s="210"/>
      <c r="AE688" s="210"/>
      <c r="AF688" s="210"/>
      <c r="AG688" s="210"/>
      <c r="AH688" s="210"/>
    </row>
    <row r="689" spans="1:34" ht="12.75">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c r="Z689" s="210"/>
      <c r="AA689" s="210"/>
      <c r="AB689" s="210"/>
      <c r="AC689" s="210"/>
      <c r="AD689" s="210"/>
      <c r="AE689" s="210"/>
      <c r="AF689" s="210"/>
      <c r="AG689" s="210"/>
      <c r="AH689" s="210"/>
    </row>
    <row r="690" spans="1:34" ht="12.75">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c r="Z690" s="210"/>
      <c r="AA690" s="210"/>
      <c r="AB690" s="210"/>
      <c r="AC690" s="210"/>
      <c r="AD690" s="210"/>
      <c r="AE690" s="210"/>
      <c r="AF690" s="210"/>
      <c r="AG690" s="210"/>
      <c r="AH690" s="210"/>
    </row>
    <row r="691" spans="1:34" ht="12.75">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c r="Z691" s="210"/>
      <c r="AA691" s="210"/>
      <c r="AB691" s="210"/>
      <c r="AC691" s="210"/>
      <c r="AD691" s="210"/>
      <c r="AE691" s="210"/>
      <c r="AF691" s="210"/>
      <c r="AG691" s="210"/>
      <c r="AH691" s="210"/>
    </row>
    <row r="692" spans="1:34" ht="12.75">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c r="Z692" s="210"/>
      <c r="AA692" s="210"/>
      <c r="AB692" s="210"/>
      <c r="AC692" s="210"/>
      <c r="AD692" s="210"/>
      <c r="AE692" s="210"/>
      <c r="AF692" s="210"/>
      <c r="AG692" s="210"/>
      <c r="AH692" s="210"/>
    </row>
    <row r="693" spans="1:34" ht="12.75">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c r="Z693" s="210"/>
      <c r="AA693" s="210"/>
      <c r="AB693" s="210"/>
      <c r="AC693" s="210"/>
      <c r="AD693" s="210"/>
      <c r="AE693" s="210"/>
      <c r="AF693" s="210"/>
      <c r="AG693" s="210"/>
      <c r="AH693" s="210"/>
    </row>
    <row r="694" spans="1:34" ht="12.75">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c r="Z694" s="210"/>
      <c r="AA694" s="210"/>
      <c r="AB694" s="210"/>
      <c r="AC694" s="210"/>
      <c r="AD694" s="210"/>
      <c r="AE694" s="210"/>
      <c r="AF694" s="210"/>
      <c r="AG694" s="210"/>
      <c r="AH694" s="210"/>
    </row>
    <row r="695" spans="1:34" ht="12.75">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c r="Z695" s="210"/>
      <c r="AA695" s="210"/>
      <c r="AB695" s="210"/>
      <c r="AC695" s="210"/>
      <c r="AD695" s="210"/>
      <c r="AE695" s="210"/>
      <c r="AF695" s="210"/>
      <c r="AG695" s="210"/>
      <c r="AH695" s="210"/>
    </row>
    <row r="696" spans="1:34" ht="12.75">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c r="Z696" s="210"/>
      <c r="AA696" s="210"/>
      <c r="AB696" s="210"/>
      <c r="AC696" s="210"/>
      <c r="AD696" s="210"/>
      <c r="AE696" s="210"/>
      <c r="AF696" s="210"/>
      <c r="AG696" s="210"/>
      <c r="AH696" s="210"/>
    </row>
    <row r="697" spans="1:34" ht="12.75">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c r="Z697" s="210"/>
      <c r="AA697" s="210"/>
      <c r="AB697" s="210"/>
      <c r="AC697" s="210"/>
      <c r="AD697" s="210"/>
      <c r="AE697" s="210"/>
      <c r="AF697" s="210"/>
      <c r="AG697" s="210"/>
      <c r="AH697" s="210"/>
    </row>
    <row r="698" spans="1:34" ht="12.75">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c r="Z698" s="210"/>
      <c r="AA698" s="210"/>
      <c r="AB698" s="210"/>
      <c r="AC698" s="210"/>
      <c r="AD698" s="210"/>
      <c r="AE698" s="210"/>
      <c r="AF698" s="210"/>
      <c r="AG698" s="210"/>
      <c r="AH698" s="210"/>
    </row>
    <row r="699" spans="1:34" ht="12.75">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c r="Z699" s="210"/>
      <c r="AA699" s="210"/>
      <c r="AB699" s="210"/>
      <c r="AC699" s="210"/>
      <c r="AD699" s="210"/>
      <c r="AE699" s="210"/>
      <c r="AF699" s="210"/>
      <c r="AG699" s="210"/>
      <c r="AH699" s="210"/>
    </row>
    <row r="700" spans="1:34" ht="12.75">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c r="Z700" s="210"/>
      <c r="AA700" s="210"/>
      <c r="AB700" s="210"/>
      <c r="AC700" s="210"/>
      <c r="AD700" s="210"/>
      <c r="AE700" s="210"/>
      <c r="AF700" s="210"/>
      <c r="AG700" s="210"/>
      <c r="AH700" s="210"/>
    </row>
    <row r="701" spans="1:34" ht="12.75">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c r="Z701" s="210"/>
      <c r="AA701" s="210"/>
      <c r="AB701" s="210"/>
      <c r="AC701" s="210"/>
      <c r="AD701" s="210"/>
      <c r="AE701" s="210"/>
      <c r="AF701" s="210"/>
      <c r="AG701" s="210"/>
      <c r="AH701" s="210"/>
    </row>
    <row r="702" spans="1:34" ht="12.75">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c r="Z702" s="210"/>
      <c r="AA702" s="210"/>
      <c r="AB702" s="210"/>
      <c r="AC702" s="210"/>
      <c r="AD702" s="210"/>
      <c r="AE702" s="210"/>
      <c r="AF702" s="210"/>
      <c r="AG702" s="210"/>
      <c r="AH702" s="210"/>
    </row>
    <row r="703" spans="1:34" ht="12.75">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c r="Z703" s="210"/>
      <c r="AA703" s="210"/>
      <c r="AB703" s="210"/>
      <c r="AC703" s="210"/>
      <c r="AD703" s="210"/>
      <c r="AE703" s="210"/>
      <c r="AF703" s="210"/>
      <c r="AG703" s="210"/>
      <c r="AH703" s="210"/>
    </row>
    <row r="704" spans="1:34" ht="12.75">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c r="Z704" s="210"/>
      <c r="AA704" s="210"/>
      <c r="AB704" s="210"/>
      <c r="AC704" s="210"/>
      <c r="AD704" s="210"/>
      <c r="AE704" s="210"/>
      <c r="AF704" s="210"/>
      <c r="AG704" s="210"/>
      <c r="AH704" s="210"/>
    </row>
    <row r="705" spans="1:34" ht="12.75">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c r="Z705" s="210"/>
      <c r="AA705" s="210"/>
      <c r="AB705" s="210"/>
      <c r="AC705" s="210"/>
      <c r="AD705" s="210"/>
      <c r="AE705" s="210"/>
      <c r="AF705" s="210"/>
      <c r="AG705" s="210"/>
      <c r="AH705" s="210"/>
    </row>
    <row r="706" spans="1:34" ht="12.75">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c r="Z706" s="210"/>
      <c r="AA706" s="210"/>
      <c r="AB706" s="210"/>
      <c r="AC706" s="210"/>
      <c r="AD706" s="210"/>
      <c r="AE706" s="210"/>
      <c r="AF706" s="210"/>
      <c r="AG706" s="210"/>
      <c r="AH706" s="210"/>
    </row>
    <row r="707" spans="1:34" ht="12.75">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c r="Z707" s="210"/>
      <c r="AA707" s="210"/>
      <c r="AB707" s="210"/>
      <c r="AC707" s="210"/>
      <c r="AD707" s="210"/>
      <c r="AE707" s="210"/>
      <c r="AF707" s="210"/>
      <c r="AG707" s="210"/>
      <c r="AH707" s="210"/>
    </row>
    <row r="708" spans="1:34" ht="12.75">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c r="Z708" s="210"/>
      <c r="AA708" s="210"/>
      <c r="AB708" s="210"/>
      <c r="AC708" s="210"/>
      <c r="AD708" s="210"/>
      <c r="AE708" s="210"/>
      <c r="AF708" s="210"/>
      <c r="AG708" s="210"/>
      <c r="AH708" s="210"/>
    </row>
    <row r="709" spans="1:34" ht="12.75">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c r="Z709" s="210"/>
      <c r="AA709" s="210"/>
      <c r="AB709" s="210"/>
      <c r="AC709" s="210"/>
      <c r="AD709" s="210"/>
      <c r="AE709" s="210"/>
      <c r="AF709" s="210"/>
      <c r="AG709" s="210"/>
      <c r="AH709" s="210"/>
    </row>
    <row r="710" spans="1:34" ht="12.75">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c r="Z710" s="210"/>
      <c r="AA710" s="210"/>
      <c r="AB710" s="210"/>
      <c r="AC710" s="210"/>
      <c r="AD710" s="210"/>
      <c r="AE710" s="210"/>
      <c r="AF710" s="210"/>
      <c r="AG710" s="210"/>
      <c r="AH710" s="210"/>
    </row>
    <row r="711" spans="1:34" ht="12.75">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c r="Z711" s="210"/>
      <c r="AA711" s="210"/>
      <c r="AB711" s="210"/>
      <c r="AC711" s="210"/>
      <c r="AD711" s="210"/>
      <c r="AE711" s="210"/>
      <c r="AF711" s="210"/>
      <c r="AG711" s="210"/>
      <c r="AH711" s="210"/>
    </row>
    <row r="712" spans="1:34" ht="12.75">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c r="Z712" s="210"/>
      <c r="AA712" s="210"/>
      <c r="AB712" s="210"/>
      <c r="AC712" s="210"/>
      <c r="AD712" s="210"/>
      <c r="AE712" s="210"/>
      <c r="AF712" s="210"/>
      <c r="AG712" s="210"/>
      <c r="AH712" s="210"/>
    </row>
    <row r="713" spans="1:34" ht="12.75">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c r="Z713" s="210"/>
      <c r="AA713" s="210"/>
      <c r="AB713" s="210"/>
      <c r="AC713" s="210"/>
      <c r="AD713" s="210"/>
      <c r="AE713" s="210"/>
      <c r="AF713" s="210"/>
      <c r="AG713" s="210"/>
      <c r="AH713" s="210"/>
    </row>
    <row r="714" spans="1:34" ht="12.75">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c r="Z714" s="210"/>
      <c r="AA714" s="210"/>
      <c r="AB714" s="210"/>
      <c r="AC714" s="210"/>
      <c r="AD714" s="210"/>
      <c r="AE714" s="210"/>
      <c r="AF714" s="210"/>
      <c r="AG714" s="210"/>
      <c r="AH714" s="210"/>
    </row>
    <row r="715" spans="1:34" ht="12.75">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c r="Z715" s="210"/>
      <c r="AA715" s="210"/>
      <c r="AB715" s="210"/>
      <c r="AC715" s="210"/>
      <c r="AD715" s="210"/>
      <c r="AE715" s="210"/>
      <c r="AF715" s="210"/>
      <c r="AG715" s="210"/>
      <c r="AH715" s="210"/>
    </row>
    <row r="716" spans="1:34" ht="12.75">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c r="Z716" s="210"/>
      <c r="AA716" s="210"/>
      <c r="AB716" s="210"/>
      <c r="AC716" s="210"/>
      <c r="AD716" s="210"/>
      <c r="AE716" s="210"/>
      <c r="AF716" s="210"/>
      <c r="AG716" s="210"/>
      <c r="AH716" s="210"/>
    </row>
    <row r="717" spans="1:34" ht="12.75">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c r="Z717" s="210"/>
      <c r="AA717" s="210"/>
      <c r="AB717" s="210"/>
      <c r="AC717" s="210"/>
      <c r="AD717" s="210"/>
      <c r="AE717" s="210"/>
      <c r="AF717" s="210"/>
      <c r="AG717" s="210"/>
      <c r="AH717" s="210"/>
    </row>
    <row r="718" spans="1:34" ht="12.75">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c r="Z718" s="210"/>
      <c r="AA718" s="210"/>
      <c r="AB718" s="210"/>
      <c r="AC718" s="210"/>
      <c r="AD718" s="210"/>
      <c r="AE718" s="210"/>
      <c r="AF718" s="210"/>
      <c r="AG718" s="210"/>
      <c r="AH718" s="210"/>
    </row>
    <row r="719" spans="1:34" ht="12.75">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c r="Z719" s="210"/>
      <c r="AA719" s="210"/>
      <c r="AB719" s="210"/>
      <c r="AC719" s="210"/>
      <c r="AD719" s="210"/>
      <c r="AE719" s="210"/>
      <c r="AF719" s="210"/>
      <c r="AG719" s="210"/>
      <c r="AH719" s="210"/>
    </row>
    <row r="720" spans="1:34" ht="12.75">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c r="Z720" s="210"/>
      <c r="AA720" s="210"/>
      <c r="AB720" s="210"/>
      <c r="AC720" s="210"/>
      <c r="AD720" s="210"/>
      <c r="AE720" s="210"/>
      <c r="AF720" s="210"/>
      <c r="AG720" s="210"/>
      <c r="AH720" s="210"/>
    </row>
    <row r="721" spans="1:34" ht="12.75">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c r="Z721" s="210"/>
      <c r="AA721" s="210"/>
      <c r="AB721" s="210"/>
      <c r="AC721" s="210"/>
      <c r="AD721" s="210"/>
      <c r="AE721" s="210"/>
      <c r="AF721" s="210"/>
      <c r="AG721" s="210"/>
      <c r="AH721" s="210"/>
    </row>
    <row r="722" spans="1:34" ht="12.75">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c r="Z722" s="210"/>
      <c r="AA722" s="210"/>
      <c r="AB722" s="210"/>
      <c r="AC722" s="210"/>
      <c r="AD722" s="210"/>
      <c r="AE722" s="210"/>
      <c r="AF722" s="210"/>
      <c r="AG722" s="210"/>
      <c r="AH722" s="210"/>
    </row>
    <row r="723" spans="1:34" ht="12.75">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c r="Z723" s="210"/>
      <c r="AA723" s="210"/>
      <c r="AB723" s="210"/>
      <c r="AC723" s="210"/>
      <c r="AD723" s="210"/>
      <c r="AE723" s="210"/>
      <c r="AF723" s="210"/>
      <c r="AG723" s="210"/>
      <c r="AH723" s="210"/>
    </row>
    <row r="724" spans="1:34" ht="12.75">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c r="Z724" s="210"/>
      <c r="AA724" s="210"/>
      <c r="AB724" s="210"/>
      <c r="AC724" s="210"/>
      <c r="AD724" s="210"/>
      <c r="AE724" s="210"/>
      <c r="AF724" s="210"/>
      <c r="AG724" s="210"/>
      <c r="AH724" s="210"/>
    </row>
    <row r="725" spans="1:34" ht="12.75">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c r="Z725" s="210"/>
      <c r="AA725" s="210"/>
      <c r="AB725" s="210"/>
      <c r="AC725" s="210"/>
      <c r="AD725" s="210"/>
      <c r="AE725" s="210"/>
      <c r="AF725" s="210"/>
      <c r="AG725" s="210"/>
      <c r="AH725" s="210"/>
    </row>
    <row r="726" spans="1:34" ht="12.75">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c r="Z726" s="210"/>
      <c r="AA726" s="210"/>
      <c r="AB726" s="210"/>
      <c r="AC726" s="210"/>
      <c r="AD726" s="210"/>
      <c r="AE726" s="210"/>
      <c r="AF726" s="210"/>
      <c r="AG726" s="210"/>
      <c r="AH726" s="210"/>
    </row>
    <row r="727" spans="1:34" ht="12.75">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c r="Z727" s="210"/>
      <c r="AA727" s="210"/>
      <c r="AB727" s="210"/>
      <c r="AC727" s="210"/>
      <c r="AD727" s="210"/>
      <c r="AE727" s="210"/>
      <c r="AF727" s="210"/>
      <c r="AG727" s="210"/>
      <c r="AH727" s="210"/>
    </row>
    <row r="728" spans="1:34" ht="12.75">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c r="Z728" s="210"/>
      <c r="AA728" s="210"/>
      <c r="AB728" s="210"/>
      <c r="AC728" s="210"/>
      <c r="AD728" s="210"/>
      <c r="AE728" s="210"/>
      <c r="AF728" s="210"/>
      <c r="AG728" s="210"/>
      <c r="AH728" s="210"/>
    </row>
    <row r="729" spans="1:34" ht="12.75">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c r="Z729" s="210"/>
      <c r="AA729" s="210"/>
      <c r="AB729" s="210"/>
      <c r="AC729" s="210"/>
      <c r="AD729" s="210"/>
      <c r="AE729" s="210"/>
      <c r="AF729" s="210"/>
      <c r="AG729" s="210"/>
      <c r="AH729" s="210"/>
    </row>
    <row r="730" spans="1:34" ht="12.75">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c r="Z730" s="210"/>
      <c r="AA730" s="210"/>
      <c r="AB730" s="210"/>
      <c r="AC730" s="210"/>
      <c r="AD730" s="210"/>
      <c r="AE730" s="210"/>
      <c r="AF730" s="210"/>
      <c r="AG730" s="210"/>
      <c r="AH730" s="210"/>
    </row>
    <row r="731" spans="1:34" ht="12.75">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c r="Z731" s="210"/>
      <c r="AA731" s="210"/>
      <c r="AB731" s="210"/>
      <c r="AC731" s="210"/>
      <c r="AD731" s="210"/>
      <c r="AE731" s="210"/>
      <c r="AF731" s="210"/>
      <c r="AG731" s="210"/>
      <c r="AH731" s="210"/>
    </row>
    <row r="732" spans="1:34" ht="12.75">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c r="Z732" s="210"/>
      <c r="AA732" s="210"/>
      <c r="AB732" s="210"/>
      <c r="AC732" s="210"/>
      <c r="AD732" s="210"/>
      <c r="AE732" s="210"/>
      <c r="AF732" s="210"/>
      <c r="AG732" s="210"/>
      <c r="AH732" s="210"/>
    </row>
    <row r="733" spans="1:34" ht="12.75">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c r="Z733" s="210"/>
      <c r="AA733" s="210"/>
      <c r="AB733" s="210"/>
      <c r="AC733" s="210"/>
      <c r="AD733" s="210"/>
      <c r="AE733" s="210"/>
      <c r="AF733" s="210"/>
      <c r="AG733" s="210"/>
      <c r="AH733" s="210"/>
    </row>
    <row r="734" spans="1:34" ht="12.75">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c r="Z734" s="210"/>
      <c r="AA734" s="210"/>
      <c r="AB734" s="210"/>
      <c r="AC734" s="210"/>
      <c r="AD734" s="210"/>
      <c r="AE734" s="210"/>
      <c r="AF734" s="210"/>
      <c r="AG734" s="210"/>
      <c r="AH734" s="210"/>
    </row>
    <row r="735" spans="1:34" ht="12.75">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c r="Z735" s="210"/>
      <c r="AA735" s="210"/>
      <c r="AB735" s="210"/>
      <c r="AC735" s="210"/>
      <c r="AD735" s="210"/>
      <c r="AE735" s="210"/>
      <c r="AF735" s="210"/>
      <c r="AG735" s="210"/>
      <c r="AH735" s="210"/>
    </row>
    <row r="736" spans="1:34" ht="12.75">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c r="Z736" s="210"/>
      <c r="AA736" s="210"/>
      <c r="AB736" s="210"/>
      <c r="AC736" s="210"/>
      <c r="AD736" s="210"/>
      <c r="AE736" s="210"/>
      <c r="AF736" s="210"/>
      <c r="AG736" s="210"/>
      <c r="AH736" s="210"/>
    </row>
    <row r="737" spans="1:34" ht="12.75">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c r="Z737" s="210"/>
      <c r="AA737" s="210"/>
      <c r="AB737" s="210"/>
      <c r="AC737" s="210"/>
      <c r="AD737" s="210"/>
      <c r="AE737" s="210"/>
      <c r="AF737" s="210"/>
      <c r="AG737" s="210"/>
      <c r="AH737" s="210"/>
    </row>
    <row r="738" spans="1:34" ht="12.75">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c r="Z738" s="210"/>
      <c r="AA738" s="210"/>
      <c r="AB738" s="210"/>
      <c r="AC738" s="210"/>
      <c r="AD738" s="210"/>
      <c r="AE738" s="210"/>
      <c r="AF738" s="210"/>
      <c r="AG738" s="210"/>
      <c r="AH738" s="210"/>
    </row>
    <row r="739" spans="1:34" ht="12.75">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c r="Z739" s="210"/>
      <c r="AA739" s="210"/>
      <c r="AB739" s="210"/>
      <c r="AC739" s="210"/>
      <c r="AD739" s="210"/>
      <c r="AE739" s="210"/>
      <c r="AF739" s="210"/>
      <c r="AG739" s="210"/>
      <c r="AH739" s="210"/>
    </row>
    <row r="740" spans="1:34" ht="12.75">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c r="Z740" s="210"/>
      <c r="AA740" s="210"/>
      <c r="AB740" s="210"/>
      <c r="AC740" s="210"/>
      <c r="AD740" s="210"/>
      <c r="AE740" s="210"/>
      <c r="AF740" s="210"/>
      <c r="AG740" s="210"/>
      <c r="AH740" s="210"/>
    </row>
    <row r="741" spans="1:34" ht="12.75">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c r="Z741" s="210"/>
      <c r="AA741" s="210"/>
      <c r="AB741" s="210"/>
      <c r="AC741" s="210"/>
      <c r="AD741" s="210"/>
      <c r="AE741" s="210"/>
      <c r="AF741" s="210"/>
      <c r="AG741" s="210"/>
      <c r="AH741" s="210"/>
    </row>
    <row r="742" spans="1:34" ht="12.75">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c r="Z742" s="210"/>
      <c r="AA742" s="210"/>
      <c r="AB742" s="210"/>
      <c r="AC742" s="210"/>
      <c r="AD742" s="210"/>
      <c r="AE742" s="210"/>
      <c r="AF742" s="210"/>
      <c r="AG742" s="210"/>
      <c r="AH742" s="210"/>
    </row>
    <row r="743" spans="1:34" ht="12.75">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c r="Z743" s="210"/>
      <c r="AA743" s="210"/>
      <c r="AB743" s="210"/>
      <c r="AC743" s="210"/>
      <c r="AD743" s="210"/>
      <c r="AE743" s="210"/>
      <c r="AF743" s="210"/>
      <c r="AG743" s="210"/>
      <c r="AH743" s="210"/>
    </row>
    <row r="744" spans="1:34" ht="12.75">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c r="Z744" s="210"/>
      <c r="AA744" s="210"/>
      <c r="AB744" s="210"/>
      <c r="AC744" s="210"/>
      <c r="AD744" s="210"/>
      <c r="AE744" s="210"/>
      <c r="AF744" s="210"/>
      <c r="AG744" s="210"/>
      <c r="AH744" s="210"/>
    </row>
    <row r="745" spans="1:34" ht="12.75">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c r="Z745" s="210"/>
      <c r="AA745" s="210"/>
      <c r="AB745" s="210"/>
      <c r="AC745" s="210"/>
      <c r="AD745" s="210"/>
      <c r="AE745" s="210"/>
      <c r="AF745" s="210"/>
      <c r="AG745" s="210"/>
      <c r="AH745" s="210"/>
    </row>
    <row r="746" spans="1:34" ht="12.75">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c r="Z746" s="210"/>
      <c r="AA746" s="210"/>
      <c r="AB746" s="210"/>
      <c r="AC746" s="210"/>
      <c r="AD746" s="210"/>
      <c r="AE746" s="210"/>
      <c r="AF746" s="210"/>
      <c r="AG746" s="210"/>
      <c r="AH746" s="210"/>
    </row>
    <row r="747" spans="1:34" ht="12.75">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c r="Z747" s="210"/>
      <c r="AA747" s="210"/>
      <c r="AB747" s="210"/>
      <c r="AC747" s="210"/>
      <c r="AD747" s="210"/>
      <c r="AE747" s="210"/>
      <c r="AF747" s="210"/>
      <c r="AG747" s="210"/>
      <c r="AH747" s="210"/>
    </row>
    <row r="748" spans="1:34" ht="12.75">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c r="Z748" s="210"/>
      <c r="AA748" s="210"/>
      <c r="AB748" s="210"/>
      <c r="AC748" s="210"/>
      <c r="AD748" s="210"/>
      <c r="AE748" s="210"/>
      <c r="AF748" s="210"/>
      <c r="AG748" s="210"/>
      <c r="AH748" s="210"/>
    </row>
    <row r="749" spans="1:34" ht="12.75">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c r="Z749" s="210"/>
      <c r="AA749" s="210"/>
      <c r="AB749" s="210"/>
      <c r="AC749" s="210"/>
      <c r="AD749" s="210"/>
      <c r="AE749" s="210"/>
      <c r="AF749" s="210"/>
      <c r="AG749" s="210"/>
      <c r="AH749" s="210"/>
    </row>
    <row r="750" spans="1:34" ht="12.75">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c r="Z750" s="210"/>
      <c r="AA750" s="210"/>
      <c r="AB750" s="210"/>
      <c r="AC750" s="210"/>
      <c r="AD750" s="210"/>
      <c r="AE750" s="210"/>
      <c r="AF750" s="210"/>
      <c r="AG750" s="210"/>
      <c r="AH750" s="210"/>
    </row>
    <row r="751" spans="1:34" ht="12.75">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c r="Z751" s="210"/>
      <c r="AA751" s="210"/>
      <c r="AB751" s="210"/>
      <c r="AC751" s="210"/>
      <c r="AD751" s="210"/>
      <c r="AE751" s="210"/>
      <c r="AF751" s="210"/>
      <c r="AG751" s="210"/>
      <c r="AH751" s="210"/>
    </row>
    <row r="752" spans="1:34" ht="12.75">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c r="Z752" s="210"/>
      <c r="AA752" s="210"/>
      <c r="AB752" s="210"/>
      <c r="AC752" s="210"/>
      <c r="AD752" s="210"/>
      <c r="AE752" s="210"/>
      <c r="AF752" s="210"/>
      <c r="AG752" s="210"/>
      <c r="AH752" s="210"/>
    </row>
    <row r="753" spans="1:34" ht="12.75">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c r="Z753" s="210"/>
      <c r="AA753" s="210"/>
      <c r="AB753" s="210"/>
      <c r="AC753" s="210"/>
      <c r="AD753" s="210"/>
      <c r="AE753" s="210"/>
      <c r="AF753" s="210"/>
      <c r="AG753" s="210"/>
      <c r="AH753" s="210"/>
    </row>
    <row r="754" spans="1:34" ht="12.75">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c r="Z754" s="210"/>
      <c r="AA754" s="210"/>
      <c r="AB754" s="210"/>
      <c r="AC754" s="210"/>
      <c r="AD754" s="210"/>
      <c r="AE754" s="210"/>
      <c r="AF754" s="210"/>
      <c r="AG754" s="210"/>
      <c r="AH754" s="210"/>
    </row>
    <row r="755" spans="1:34" ht="12.75">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c r="Z755" s="210"/>
      <c r="AA755" s="210"/>
      <c r="AB755" s="210"/>
      <c r="AC755" s="210"/>
      <c r="AD755" s="210"/>
      <c r="AE755" s="210"/>
      <c r="AF755" s="210"/>
      <c r="AG755" s="210"/>
      <c r="AH755" s="210"/>
    </row>
    <row r="756" spans="1:34" ht="12.75">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c r="Z756" s="210"/>
      <c r="AA756" s="210"/>
      <c r="AB756" s="210"/>
      <c r="AC756" s="210"/>
      <c r="AD756" s="210"/>
      <c r="AE756" s="210"/>
      <c r="AF756" s="210"/>
      <c r="AG756" s="210"/>
      <c r="AH756" s="210"/>
    </row>
    <row r="757" spans="1:34" ht="12.75">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c r="Z757" s="210"/>
      <c r="AA757" s="210"/>
      <c r="AB757" s="210"/>
      <c r="AC757" s="210"/>
      <c r="AD757" s="210"/>
      <c r="AE757" s="210"/>
      <c r="AF757" s="210"/>
      <c r="AG757" s="210"/>
      <c r="AH757" s="210"/>
    </row>
    <row r="758" spans="1:34" ht="12.75">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c r="Z758" s="210"/>
      <c r="AA758" s="210"/>
      <c r="AB758" s="210"/>
      <c r="AC758" s="210"/>
      <c r="AD758" s="210"/>
      <c r="AE758" s="210"/>
      <c r="AF758" s="210"/>
      <c r="AG758" s="210"/>
      <c r="AH758" s="210"/>
    </row>
    <row r="759" spans="1:34" ht="12.75">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c r="Z759" s="210"/>
      <c r="AA759" s="210"/>
      <c r="AB759" s="210"/>
      <c r="AC759" s="210"/>
      <c r="AD759" s="210"/>
      <c r="AE759" s="210"/>
      <c r="AF759" s="210"/>
      <c r="AG759" s="210"/>
      <c r="AH759" s="210"/>
    </row>
    <row r="760" spans="1:34" ht="12.75">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c r="Z760" s="210"/>
      <c r="AA760" s="210"/>
      <c r="AB760" s="210"/>
      <c r="AC760" s="210"/>
      <c r="AD760" s="210"/>
      <c r="AE760" s="210"/>
      <c r="AF760" s="210"/>
      <c r="AG760" s="210"/>
      <c r="AH760" s="210"/>
    </row>
    <row r="761" spans="1:34" ht="12.75">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c r="Z761" s="210"/>
      <c r="AA761" s="210"/>
      <c r="AB761" s="210"/>
      <c r="AC761" s="210"/>
      <c r="AD761" s="210"/>
      <c r="AE761" s="210"/>
      <c r="AF761" s="210"/>
      <c r="AG761" s="210"/>
      <c r="AH761" s="210"/>
    </row>
    <row r="762" spans="1:34" ht="12.75">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c r="Z762" s="210"/>
      <c r="AA762" s="210"/>
      <c r="AB762" s="210"/>
      <c r="AC762" s="210"/>
      <c r="AD762" s="210"/>
      <c r="AE762" s="210"/>
      <c r="AF762" s="210"/>
      <c r="AG762" s="210"/>
      <c r="AH762" s="210"/>
    </row>
    <row r="763" spans="1:34" ht="12.75">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c r="Z763" s="210"/>
      <c r="AA763" s="210"/>
      <c r="AB763" s="210"/>
      <c r="AC763" s="210"/>
      <c r="AD763" s="210"/>
      <c r="AE763" s="210"/>
      <c r="AF763" s="210"/>
      <c r="AG763" s="210"/>
      <c r="AH763" s="210"/>
    </row>
    <row r="764" spans="1:34" ht="12.75">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c r="Z764" s="210"/>
      <c r="AA764" s="210"/>
      <c r="AB764" s="210"/>
      <c r="AC764" s="210"/>
      <c r="AD764" s="210"/>
      <c r="AE764" s="210"/>
      <c r="AF764" s="210"/>
      <c r="AG764" s="210"/>
      <c r="AH764" s="210"/>
    </row>
    <row r="765" spans="1:34" ht="12.75">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c r="Z765" s="210"/>
      <c r="AA765" s="210"/>
      <c r="AB765" s="210"/>
      <c r="AC765" s="210"/>
      <c r="AD765" s="210"/>
      <c r="AE765" s="210"/>
      <c r="AF765" s="210"/>
      <c r="AG765" s="210"/>
      <c r="AH765" s="210"/>
    </row>
    <row r="766" spans="1:34" ht="12.75">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c r="Z766" s="210"/>
      <c r="AA766" s="210"/>
      <c r="AB766" s="210"/>
      <c r="AC766" s="210"/>
      <c r="AD766" s="210"/>
      <c r="AE766" s="210"/>
      <c r="AF766" s="210"/>
      <c r="AG766" s="210"/>
      <c r="AH766" s="210"/>
    </row>
    <row r="767" spans="1:34" ht="12.75">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c r="Z767" s="210"/>
      <c r="AA767" s="210"/>
      <c r="AB767" s="210"/>
      <c r="AC767" s="210"/>
      <c r="AD767" s="210"/>
      <c r="AE767" s="210"/>
      <c r="AF767" s="210"/>
      <c r="AG767" s="210"/>
      <c r="AH767" s="210"/>
    </row>
    <row r="768" spans="1:34" ht="12.75">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c r="Z768" s="210"/>
      <c r="AA768" s="210"/>
      <c r="AB768" s="210"/>
      <c r="AC768" s="210"/>
      <c r="AD768" s="210"/>
      <c r="AE768" s="210"/>
      <c r="AF768" s="210"/>
      <c r="AG768" s="210"/>
      <c r="AH768" s="210"/>
    </row>
    <row r="769" spans="1:34" ht="12.75">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c r="Z769" s="210"/>
      <c r="AA769" s="210"/>
      <c r="AB769" s="210"/>
      <c r="AC769" s="210"/>
      <c r="AD769" s="210"/>
      <c r="AE769" s="210"/>
      <c r="AF769" s="210"/>
      <c r="AG769" s="210"/>
      <c r="AH769" s="210"/>
    </row>
    <row r="770" spans="1:34" ht="12.75">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c r="Z770" s="210"/>
      <c r="AA770" s="210"/>
      <c r="AB770" s="210"/>
      <c r="AC770" s="210"/>
      <c r="AD770" s="210"/>
      <c r="AE770" s="210"/>
      <c r="AF770" s="210"/>
      <c r="AG770" s="210"/>
      <c r="AH770" s="210"/>
    </row>
    <row r="771" spans="1:34" ht="12.75">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c r="Z771" s="210"/>
      <c r="AA771" s="210"/>
      <c r="AB771" s="210"/>
      <c r="AC771" s="210"/>
      <c r="AD771" s="210"/>
      <c r="AE771" s="210"/>
      <c r="AF771" s="210"/>
      <c r="AG771" s="210"/>
      <c r="AH771" s="210"/>
    </row>
    <row r="772" spans="1:34" ht="12.75">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c r="Z772" s="210"/>
      <c r="AA772" s="210"/>
      <c r="AB772" s="210"/>
      <c r="AC772" s="210"/>
      <c r="AD772" s="210"/>
      <c r="AE772" s="210"/>
      <c r="AF772" s="210"/>
      <c r="AG772" s="210"/>
      <c r="AH772" s="210"/>
    </row>
    <row r="773" spans="1:34" ht="12.75">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c r="Z773" s="210"/>
      <c r="AA773" s="210"/>
      <c r="AB773" s="210"/>
      <c r="AC773" s="210"/>
      <c r="AD773" s="210"/>
      <c r="AE773" s="210"/>
      <c r="AF773" s="210"/>
      <c r="AG773" s="210"/>
      <c r="AH773" s="210"/>
    </row>
    <row r="774" spans="1:34" ht="12.75">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c r="Z774" s="210"/>
      <c r="AA774" s="210"/>
      <c r="AB774" s="210"/>
      <c r="AC774" s="210"/>
      <c r="AD774" s="210"/>
      <c r="AE774" s="210"/>
      <c r="AF774" s="210"/>
      <c r="AG774" s="210"/>
      <c r="AH774" s="210"/>
    </row>
    <row r="775" spans="1:34" ht="12.75">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c r="Z775" s="210"/>
      <c r="AA775" s="210"/>
      <c r="AB775" s="210"/>
      <c r="AC775" s="210"/>
      <c r="AD775" s="210"/>
      <c r="AE775" s="210"/>
      <c r="AF775" s="210"/>
      <c r="AG775" s="210"/>
      <c r="AH775" s="210"/>
    </row>
    <row r="776" spans="1:34" ht="12.75">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c r="Z776" s="210"/>
      <c r="AA776" s="210"/>
      <c r="AB776" s="210"/>
      <c r="AC776" s="210"/>
      <c r="AD776" s="210"/>
      <c r="AE776" s="210"/>
      <c r="AF776" s="210"/>
      <c r="AG776" s="210"/>
      <c r="AH776" s="210"/>
    </row>
    <row r="777" spans="1:34" ht="12.75">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c r="Z777" s="210"/>
      <c r="AA777" s="210"/>
      <c r="AB777" s="210"/>
      <c r="AC777" s="210"/>
      <c r="AD777" s="210"/>
      <c r="AE777" s="210"/>
      <c r="AF777" s="210"/>
      <c r="AG777" s="210"/>
      <c r="AH777" s="210"/>
    </row>
    <row r="778" spans="1:34" ht="12.75">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c r="Z778" s="210"/>
      <c r="AA778" s="210"/>
      <c r="AB778" s="210"/>
      <c r="AC778" s="210"/>
      <c r="AD778" s="210"/>
      <c r="AE778" s="210"/>
      <c r="AF778" s="210"/>
      <c r="AG778" s="210"/>
      <c r="AH778" s="210"/>
    </row>
    <row r="779" spans="1:34" ht="12.75">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c r="Z779" s="210"/>
      <c r="AA779" s="210"/>
      <c r="AB779" s="210"/>
      <c r="AC779" s="210"/>
      <c r="AD779" s="210"/>
      <c r="AE779" s="210"/>
      <c r="AF779" s="210"/>
      <c r="AG779" s="210"/>
      <c r="AH779" s="210"/>
    </row>
    <row r="780" spans="1:34" ht="12.75">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c r="Z780" s="210"/>
      <c r="AA780" s="210"/>
      <c r="AB780" s="210"/>
      <c r="AC780" s="210"/>
      <c r="AD780" s="210"/>
      <c r="AE780" s="210"/>
      <c r="AF780" s="210"/>
      <c r="AG780" s="210"/>
      <c r="AH780" s="210"/>
    </row>
    <row r="781" spans="1:34" ht="12.75">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c r="Z781" s="210"/>
      <c r="AA781" s="210"/>
      <c r="AB781" s="210"/>
      <c r="AC781" s="210"/>
      <c r="AD781" s="210"/>
      <c r="AE781" s="210"/>
      <c r="AF781" s="210"/>
      <c r="AG781" s="210"/>
      <c r="AH781" s="210"/>
    </row>
    <row r="782" spans="1:34" ht="12.75">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c r="Z782" s="210"/>
      <c r="AA782" s="210"/>
      <c r="AB782" s="210"/>
      <c r="AC782" s="210"/>
      <c r="AD782" s="210"/>
      <c r="AE782" s="210"/>
      <c r="AF782" s="210"/>
      <c r="AG782" s="210"/>
      <c r="AH782" s="210"/>
    </row>
    <row r="783" spans="1:34" ht="12.75">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c r="Z783" s="210"/>
      <c r="AA783" s="210"/>
      <c r="AB783" s="210"/>
      <c r="AC783" s="210"/>
      <c r="AD783" s="210"/>
      <c r="AE783" s="210"/>
      <c r="AF783" s="210"/>
      <c r="AG783" s="210"/>
      <c r="AH783" s="210"/>
    </row>
    <row r="784" spans="1:34" ht="12.75">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c r="Z784" s="210"/>
      <c r="AA784" s="210"/>
      <c r="AB784" s="210"/>
      <c r="AC784" s="210"/>
      <c r="AD784" s="210"/>
      <c r="AE784" s="210"/>
      <c r="AF784" s="210"/>
      <c r="AG784" s="210"/>
      <c r="AH784" s="210"/>
    </row>
    <row r="785" spans="1:34" ht="12.75">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c r="Z785" s="210"/>
      <c r="AA785" s="210"/>
      <c r="AB785" s="210"/>
      <c r="AC785" s="210"/>
      <c r="AD785" s="210"/>
      <c r="AE785" s="210"/>
      <c r="AF785" s="210"/>
      <c r="AG785" s="210"/>
      <c r="AH785" s="210"/>
    </row>
    <row r="786" spans="1:34" ht="12.75">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c r="Z786" s="210"/>
      <c r="AA786" s="210"/>
      <c r="AB786" s="210"/>
      <c r="AC786" s="210"/>
      <c r="AD786" s="210"/>
      <c r="AE786" s="210"/>
      <c r="AF786" s="210"/>
      <c r="AG786" s="210"/>
      <c r="AH786" s="210"/>
    </row>
    <row r="787" spans="1:34" ht="12.75">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c r="Z787" s="210"/>
      <c r="AA787" s="210"/>
      <c r="AB787" s="210"/>
      <c r="AC787" s="210"/>
      <c r="AD787" s="210"/>
      <c r="AE787" s="210"/>
      <c r="AF787" s="210"/>
      <c r="AG787" s="210"/>
      <c r="AH787" s="210"/>
    </row>
    <row r="788" spans="1:34" ht="12.75">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c r="Z788" s="210"/>
      <c r="AA788" s="210"/>
      <c r="AB788" s="210"/>
      <c r="AC788" s="210"/>
      <c r="AD788" s="210"/>
      <c r="AE788" s="210"/>
      <c r="AF788" s="210"/>
      <c r="AG788" s="210"/>
      <c r="AH788" s="210"/>
    </row>
    <row r="789" spans="1:34" ht="12.75">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c r="Z789" s="210"/>
      <c r="AA789" s="210"/>
      <c r="AB789" s="210"/>
      <c r="AC789" s="210"/>
      <c r="AD789" s="210"/>
      <c r="AE789" s="210"/>
      <c r="AF789" s="210"/>
      <c r="AG789" s="210"/>
      <c r="AH789" s="210"/>
    </row>
    <row r="790" spans="1:34" ht="12.75">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c r="Z790" s="210"/>
      <c r="AA790" s="210"/>
      <c r="AB790" s="210"/>
      <c r="AC790" s="210"/>
      <c r="AD790" s="210"/>
      <c r="AE790" s="210"/>
      <c r="AF790" s="210"/>
      <c r="AG790" s="210"/>
      <c r="AH790" s="210"/>
    </row>
    <row r="791" spans="1:34" ht="12.75">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c r="Z791" s="210"/>
      <c r="AA791" s="210"/>
      <c r="AB791" s="210"/>
      <c r="AC791" s="210"/>
      <c r="AD791" s="210"/>
      <c r="AE791" s="210"/>
      <c r="AF791" s="210"/>
      <c r="AG791" s="210"/>
      <c r="AH791" s="210"/>
    </row>
    <row r="792" spans="1:34" ht="12.75">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c r="Z792" s="210"/>
      <c r="AA792" s="210"/>
      <c r="AB792" s="210"/>
      <c r="AC792" s="210"/>
      <c r="AD792" s="210"/>
      <c r="AE792" s="210"/>
      <c r="AF792" s="210"/>
      <c r="AG792" s="210"/>
      <c r="AH792" s="210"/>
    </row>
    <row r="793" spans="1:34" ht="12.75">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c r="Z793" s="210"/>
      <c r="AA793" s="210"/>
      <c r="AB793" s="210"/>
      <c r="AC793" s="210"/>
      <c r="AD793" s="210"/>
      <c r="AE793" s="210"/>
      <c r="AF793" s="210"/>
      <c r="AG793" s="210"/>
      <c r="AH793" s="210"/>
    </row>
    <row r="794" spans="1:34" ht="12.75">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c r="Z794" s="210"/>
      <c r="AA794" s="210"/>
      <c r="AB794" s="210"/>
      <c r="AC794" s="210"/>
      <c r="AD794" s="210"/>
      <c r="AE794" s="210"/>
      <c r="AF794" s="210"/>
      <c r="AG794" s="210"/>
      <c r="AH794" s="210"/>
    </row>
    <row r="795" spans="1:34" ht="12.75">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c r="Z795" s="210"/>
      <c r="AA795" s="210"/>
      <c r="AB795" s="210"/>
      <c r="AC795" s="210"/>
      <c r="AD795" s="210"/>
      <c r="AE795" s="210"/>
      <c r="AF795" s="210"/>
      <c r="AG795" s="210"/>
      <c r="AH795" s="210"/>
    </row>
    <row r="796" spans="1:34" ht="12.75">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c r="Z796" s="210"/>
      <c r="AA796" s="210"/>
      <c r="AB796" s="210"/>
      <c r="AC796" s="210"/>
      <c r="AD796" s="210"/>
      <c r="AE796" s="210"/>
      <c r="AF796" s="210"/>
      <c r="AG796" s="210"/>
      <c r="AH796" s="210"/>
    </row>
    <row r="797" spans="1:34" ht="12.75">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c r="Z797" s="210"/>
      <c r="AA797" s="210"/>
      <c r="AB797" s="210"/>
      <c r="AC797" s="210"/>
      <c r="AD797" s="210"/>
      <c r="AE797" s="210"/>
      <c r="AF797" s="210"/>
      <c r="AG797" s="210"/>
      <c r="AH797" s="210"/>
    </row>
    <row r="798" spans="1:34" ht="12.75">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c r="Z798" s="210"/>
      <c r="AA798" s="210"/>
      <c r="AB798" s="210"/>
      <c r="AC798" s="210"/>
      <c r="AD798" s="210"/>
      <c r="AE798" s="210"/>
      <c r="AF798" s="210"/>
      <c r="AG798" s="210"/>
      <c r="AH798" s="210"/>
    </row>
    <row r="799" spans="1:34" ht="12.75">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c r="Z799" s="210"/>
      <c r="AA799" s="210"/>
      <c r="AB799" s="210"/>
      <c r="AC799" s="210"/>
      <c r="AD799" s="210"/>
      <c r="AE799" s="210"/>
      <c r="AF799" s="210"/>
      <c r="AG799" s="210"/>
      <c r="AH799" s="210"/>
    </row>
    <row r="800" spans="1:34" ht="12.75">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c r="Z800" s="210"/>
      <c r="AA800" s="210"/>
      <c r="AB800" s="210"/>
      <c r="AC800" s="210"/>
      <c r="AD800" s="210"/>
      <c r="AE800" s="210"/>
      <c r="AF800" s="210"/>
      <c r="AG800" s="210"/>
      <c r="AH800" s="210"/>
    </row>
    <row r="801" spans="1:34" ht="12.75">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c r="Z801" s="210"/>
      <c r="AA801" s="210"/>
      <c r="AB801" s="210"/>
      <c r="AC801" s="210"/>
      <c r="AD801" s="210"/>
      <c r="AE801" s="210"/>
      <c r="AF801" s="210"/>
      <c r="AG801" s="210"/>
      <c r="AH801" s="210"/>
    </row>
    <row r="802" spans="1:34" ht="12.75">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c r="Z802" s="210"/>
      <c r="AA802" s="210"/>
      <c r="AB802" s="210"/>
      <c r="AC802" s="210"/>
      <c r="AD802" s="210"/>
      <c r="AE802" s="210"/>
      <c r="AF802" s="210"/>
      <c r="AG802" s="210"/>
      <c r="AH802" s="210"/>
    </row>
    <row r="803" spans="1:34" ht="12.75">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c r="Z803" s="210"/>
      <c r="AA803" s="210"/>
      <c r="AB803" s="210"/>
      <c r="AC803" s="210"/>
      <c r="AD803" s="210"/>
      <c r="AE803" s="210"/>
      <c r="AF803" s="210"/>
      <c r="AG803" s="210"/>
      <c r="AH803" s="210"/>
    </row>
    <row r="804" spans="1:34" ht="12.75">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c r="Z804" s="210"/>
      <c r="AA804" s="210"/>
      <c r="AB804" s="210"/>
      <c r="AC804" s="210"/>
      <c r="AD804" s="210"/>
      <c r="AE804" s="210"/>
      <c r="AF804" s="210"/>
      <c r="AG804" s="210"/>
      <c r="AH804" s="210"/>
    </row>
    <row r="805" spans="1:34" ht="12.75">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c r="Z805" s="210"/>
      <c r="AA805" s="210"/>
      <c r="AB805" s="210"/>
      <c r="AC805" s="210"/>
      <c r="AD805" s="210"/>
      <c r="AE805" s="210"/>
      <c r="AF805" s="210"/>
      <c r="AG805" s="210"/>
      <c r="AH805" s="210"/>
    </row>
    <row r="806" spans="1:34" ht="12.75">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c r="Z806" s="210"/>
      <c r="AA806" s="210"/>
      <c r="AB806" s="210"/>
      <c r="AC806" s="210"/>
      <c r="AD806" s="210"/>
      <c r="AE806" s="210"/>
      <c r="AF806" s="210"/>
      <c r="AG806" s="210"/>
      <c r="AH806" s="210"/>
    </row>
    <row r="807" spans="1:34" ht="12.75">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c r="Z807" s="210"/>
      <c r="AA807" s="210"/>
      <c r="AB807" s="210"/>
      <c r="AC807" s="210"/>
      <c r="AD807" s="210"/>
      <c r="AE807" s="210"/>
      <c r="AF807" s="210"/>
      <c r="AG807" s="210"/>
      <c r="AH807" s="210"/>
    </row>
    <row r="808" spans="1:34" ht="12.75">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c r="Z808" s="210"/>
      <c r="AA808" s="210"/>
      <c r="AB808" s="210"/>
      <c r="AC808" s="210"/>
      <c r="AD808" s="210"/>
      <c r="AE808" s="210"/>
      <c r="AF808" s="210"/>
      <c r="AG808" s="210"/>
      <c r="AH808" s="210"/>
    </row>
    <row r="809" spans="1:34" ht="12.75">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c r="Z809" s="210"/>
      <c r="AA809" s="210"/>
      <c r="AB809" s="210"/>
      <c r="AC809" s="210"/>
      <c r="AD809" s="210"/>
      <c r="AE809" s="210"/>
      <c r="AF809" s="210"/>
      <c r="AG809" s="210"/>
      <c r="AH809" s="210"/>
    </row>
    <row r="810" spans="1:34" ht="12.75">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c r="Z810" s="210"/>
      <c r="AA810" s="210"/>
      <c r="AB810" s="210"/>
      <c r="AC810" s="210"/>
      <c r="AD810" s="210"/>
      <c r="AE810" s="210"/>
      <c r="AF810" s="210"/>
      <c r="AG810" s="210"/>
      <c r="AH810" s="210"/>
    </row>
    <row r="811" spans="1:34" ht="12.75">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c r="Z811" s="210"/>
      <c r="AA811" s="210"/>
      <c r="AB811" s="210"/>
      <c r="AC811" s="210"/>
      <c r="AD811" s="210"/>
      <c r="AE811" s="210"/>
      <c r="AF811" s="210"/>
      <c r="AG811" s="210"/>
      <c r="AH811" s="210"/>
    </row>
    <row r="812" spans="1:34" ht="12.75">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c r="Z812" s="210"/>
      <c r="AA812" s="210"/>
      <c r="AB812" s="210"/>
      <c r="AC812" s="210"/>
      <c r="AD812" s="210"/>
      <c r="AE812" s="210"/>
      <c r="AF812" s="210"/>
      <c r="AG812" s="210"/>
      <c r="AH812" s="210"/>
    </row>
    <row r="813" spans="1:34" ht="12.75">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c r="Z813" s="210"/>
      <c r="AA813" s="210"/>
      <c r="AB813" s="210"/>
      <c r="AC813" s="210"/>
      <c r="AD813" s="210"/>
      <c r="AE813" s="210"/>
      <c r="AF813" s="210"/>
      <c r="AG813" s="210"/>
      <c r="AH813" s="210"/>
    </row>
    <row r="814" spans="1:34" ht="12.75">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c r="Z814" s="210"/>
      <c r="AA814" s="210"/>
      <c r="AB814" s="210"/>
      <c r="AC814" s="210"/>
      <c r="AD814" s="210"/>
      <c r="AE814" s="210"/>
      <c r="AF814" s="210"/>
      <c r="AG814" s="210"/>
      <c r="AH814" s="210"/>
    </row>
    <row r="815" spans="1:34" ht="12.75">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c r="Z815" s="210"/>
      <c r="AA815" s="210"/>
      <c r="AB815" s="210"/>
      <c r="AC815" s="210"/>
      <c r="AD815" s="210"/>
      <c r="AE815" s="210"/>
      <c r="AF815" s="210"/>
      <c r="AG815" s="210"/>
      <c r="AH815" s="210"/>
    </row>
    <row r="816" spans="1:34" ht="12.75">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c r="Z816" s="210"/>
      <c r="AA816" s="210"/>
      <c r="AB816" s="210"/>
      <c r="AC816" s="210"/>
      <c r="AD816" s="210"/>
      <c r="AE816" s="210"/>
      <c r="AF816" s="210"/>
      <c r="AG816" s="210"/>
      <c r="AH816" s="210"/>
    </row>
    <row r="817" spans="1:34" ht="12.75">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c r="Z817" s="210"/>
      <c r="AA817" s="210"/>
      <c r="AB817" s="210"/>
      <c r="AC817" s="210"/>
      <c r="AD817" s="210"/>
      <c r="AE817" s="210"/>
      <c r="AF817" s="210"/>
      <c r="AG817" s="210"/>
      <c r="AH817" s="210"/>
    </row>
    <row r="818" spans="1:34" ht="12.75">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c r="Z818" s="210"/>
      <c r="AA818" s="210"/>
      <c r="AB818" s="210"/>
      <c r="AC818" s="210"/>
      <c r="AD818" s="210"/>
      <c r="AE818" s="210"/>
      <c r="AF818" s="210"/>
      <c r="AG818" s="210"/>
      <c r="AH818" s="210"/>
    </row>
    <row r="819" spans="1:34" ht="12.75">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c r="Z819" s="210"/>
      <c r="AA819" s="210"/>
      <c r="AB819" s="210"/>
      <c r="AC819" s="210"/>
      <c r="AD819" s="210"/>
      <c r="AE819" s="210"/>
      <c r="AF819" s="210"/>
      <c r="AG819" s="210"/>
      <c r="AH819" s="210"/>
    </row>
    <row r="820" spans="1:34" ht="12.75">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c r="Z820" s="210"/>
      <c r="AA820" s="210"/>
      <c r="AB820" s="210"/>
      <c r="AC820" s="210"/>
      <c r="AD820" s="210"/>
      <c r="AE820" s="210"/>
      <c r="AF820" s="210"/>
      <c r="AG820" s="210"/>
      <c r="AH820" s="210"/>
    </row>
    <row r="821" spans="1:34" ht="12.75">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c r="Z821" s="210"/>
      <c r="AA821" s="210"/>
      <c r="AB821" s="210"/>
      <c r="AC821" s="210"/>
      <c r="AD821" s="210"/>
      <c r="AE821" s="210"/>
      <c r="AF821" s="210"/>
      <c r="AG821" s="210"/>
      <c r="AH821" s="210"/>
    </row>
    <row r="822" spans="1:34" ht="12.75">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c r="Z822" s="210"/>
      <c r="AA822" s="210"/>
      <c r="AB822" s="210"/>
      <c r="AC822" s="210"/>
      <c r="AD822" s="210"/>
      <c r="AE822" s="210"/>
      <c r="AF822" s="210"/>
      <c r="AG822" s="210"/>
      <c r="AH822" s="210"/>
    </row>
    <row r="823" spans="1:34" ht="12.75">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c r="Z823" s="210"/>
      <c r="AA823" s="210"/>
      <c r="AB823" s="210"/>
      <c r="AC823" s="210"/>
      <c r="AD823" s="210"/>
      <c r="AE823" s="210"/>
      <c r="AF823" s="210"/>
      <c r="AG823" s="210"/>
      <c r="AH823" s="210"/>
    </row>
    <row r="824" spans="1:34" ht="12.75">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c r="Z824" s="210"/>
      <c r="AA824" s="210"/>
      <c r="AB824" s="210"/>
      <c r="AC824" s="210"/>
      <c r="AD824" s="210"/>
      <c r="AE824" s="210"/>
      <c r="AF824" s="210"/>
      <c r="AG824" s="210"/>
      <c r="AH824" s="210"/>
    </row>
    <row r="825" spans="1:34" ht="12.75">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c r="Z825" s="210"/>
      <c r="AA825" s="210"/>
      <c r="AB825" s="210"/>
      <c r="AC825" s="210"/>
      <c r="AD825" s="210"/>
      <c r="AE825" s="210"/>
      <c r="AF825" s="210"/>
      <c r="AG825" s="210"/>
      <c r="AH825" s="210"/>
    </row>
    <row r="826" spans="1:34" ht="12.75">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c r="Z826" s="210"/>
      <c r="AA826" s="210"/>
      <c r="AB826" s="210"/>
      <c r="AC826" s="210"/>
      <c r="AD826" s="210"/>
      <c r="AE826" s="210"/>
      <c r="AF826" s="210"/>
      <c r="AG826" s="210"/>
      <c r="AH826" s="210"/>
    </row>
    <row r="827" spans="1:34" ht="12.75">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c r="Z827" s="210"/>
      <c r="AA827" s="210"/>
      <c r="AB827" s="210"/>
      <c r="AC827" s="210"/>
      <c r="AD827" s="210"/>
      <c r="AE827" s="210"/>
      <c r="AF827" s="210"/>
      <c r="AG827" s="210"/>
      <c r="AH827" s="210"/>
    </row>
    <row r="828" spans="1:34" ht="12.75">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c r="Z828" s="210"/>
      <c r="AA828" s="210"/>
      <c r="AB828" s="210"/>
      <c r="AC828" s="210"/>
      <c r="AD828" s="210"/>
      <c r="AE828" s="210"/>
      <c r="AF828" s="210"/>
      <c r="AG828" s="210"/>
      <c r="AH828" s="210"/>
    </row>
    <row r="829" spans="1:34" ht="12.75">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c r="Z829" s="210"/>
      <c r="AA829" s="210"/>
      <c r="AB829" s="210"/>
      <c r="AC829" s="210"/>
      <c r="AD829" s="210"/>
      <c r="AE829" s="210"/>
      <c r="AF829" s="210"/>
      <c r="AG829" s="210"/>
      <c r="AH829" s="210"/>
    </row>
    <row r="830" spans="1:34" ht="12.75">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c r="Z830" s="210"/>
      <c r="AA830" s="210"/>
      <c r="AB830" s="210"/>
      <c r="AC830" s="210"/>
      <c r="AD830" s="210"/>
      <c r="AE830" s="210"/>
      <c r="AF830" s="210"/>
      <c r="AG830" s="210"/>
      <c r="AH830" s="210"/>
    </row>
    <row r="831" spans="1:34" ht="12.75">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c r="Z831" s="210"/>
      <c r="AA831" s="210"/>
      <c r="AB831" s="210"/>
      <c r="AC831" s="210"/>
      <c r="AD831" s="210"/>
      <c r="AE831" s="210"/>
      <c r="AF831" s="210"/>
      <c r="AG831" s="210"/>
      <c r="AH831" s="210"/>
    </row>
    <row r="832" spans="1:34" ht="12.75">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c r="Z832" s="210"/>
      <c r="AA832" s="210"/>
      <c r="AB832" s="210"/>
      <c r="AC832" s="210"/>
      <c r="AD832" s="210"/>
      <c r="AE832" s="210"/>
      <c r="AF832" s="210"/>
      <c r="AG832" s="210"/>
      <c r="AH832" s="210"/>
    </row>
    <row r="833" spans="1:34" ht="12.75">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c r="Z833" s="210"/>
      <c r="AA833" s="210"/>
      <c r="AB833" s="210"/>
      <c r="AC833" s="210"/>
      <c r="AD833" s="210"/>
      <c r="AE833" s="210"/>
      <c r="AF833" s="210"/>
      <c r="AG833" s="210"/>
      <c r="AH833" s="210"/>
    </row>
    <row r="834" spans="1:34" ht="12.75">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c r="Z834" s="210"/>
      <c r="AA834" s="210"/>
      <c r="AB834" s="210"/>
      <c r="AC834" s="210"/>
      <c r="AD834" s="210"/>
      <c r="AE834" s="210"/>
      <c r="AF834" s="210"/>
      <c r="AG834" s="210"/>
      <c r="AH834" s="210"/>
    </row>
    <row r="835" spans="1:34" ht="12.75">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c r="Z835" s="210"/>
      <c r="AA835" s="210"/>
      <c r="AB835" s="210"/>
      <c r="AC835" s="210"/>
      <c r="AD835" s="210"/>
      <c r="AE835" s="210"/>
      <c r="AF835" s="210"/>
      <c r="AG835" s="210"/>
      <c r="AH835" s="210"/>
    </row>
    <row r="836" spans="1:34" ht="12.75">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c r="Z836" s="210"/>
      <c r="AA836" s="210"/>
      <c r="AB836" s="210"/>
      <c r="AC836" s="210"/>
      <c r="AD836" s="210"/>
      <c r="AE836" s="210"/>
      <c r="AF836" s="210"/>
      <c r="AG836" s="210"/>
      <c r="AH836" s="210"/>
    </row>
    <row r="837" spans="1:34" ht="12.75">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c r="Z837" s="210"/>
      <c r="AA837" s="210"/>
      <c r="AB837" s="210"/>
      <c r="AC837" s="210"/>
      <c r="AD837" s="210"/>
      <c r="AE837" s="210"/>
      <c r="AF837" s="210"/>
      <c r="AG837" s="210"/>
      <c r="AH837" s="210"/>
    </row>
    <row r="838" spans="1:34" ht="12.75">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c r="Z838" s="210"/>
      <c r="AA838" s="210"/>
      <c r="AB838" s="210"/>
      <c r="AC838" s="210"/>
      <c r="AD838" s="210"/>
      <c r="AE838" s="210"/>
      <c r="AF838" s="210"/>
      <c r="AG838" s="210"/>
      <c r="AH838" s="210"/>
    </row>
    <row r="839" spans="1:34" ht="12.75">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c r="Z839" s="210"/>
      <c r="AA839" s="210"/>
      <c r="AB839" s="210"/>
      <c r="AC839" s="210"/>
      <c r="AD839" s="210"/>
      <c r="AE839" s="210"/>
      <c r="AF839" s="210"/>
      <c r="AG839" s="210"/>
      <c r="AH839" s="210"/>
    </row>
    <row r="840" spans="1:34" ht="12.75">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c r="Z840" s="210"/>
      <c r="AA840" s="210"/>
      <c r="AB840" s="210"/>
      <c r="AC840" s="210"/>
      <c r="AD840" s="210"/>
      <c r="AE840" s="210"/>
      <c r="AF840" s="210"/>
      <c r="AG840" s="210"/>
      <c r="AH840" s="210"/>
    </row>
    <row r="841" spans="1:34" ht="12.75">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c r="Z841" s="210"/>
      <c r="AA841" s="210"/>
      <c r="AB841" s="210"/>
      <c r="AC841" s="210"/>
      <c r="AD841" s="210"/>
      <c r="AE841" s="210"/>
      <c r="AF841" s="210"/>
      <c r="AG841" s="210"/>
      <c r="AH841" s="210"/>
    </row>
    <row r="842" spans="1:34" ht="12.75">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c r="Z842" s="210"/>
      <c r="AA842" s="210"/>
      <c r="AB842" s="210"/>
      <c r="AC842" s="210"/>
      <c r="AD842" s="210"/>
      <c r="AE842" s="210"/>
      <c r="AF842" s="210"/>
      <c r="AG842" s="210"/>
      <c r="AH842" s="210"/>
    </row>
    <row r="843" spans="1:34" ht="12.75">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c r="Z843" s="210"/>
      <c r="AA843" s="210"/>
      <c r="AB843" s="210"/>
      <c r="AC843" s="210"/>
      <c r="AD843" s="210"/>
      <c r="AE843" s="210"/>
      <c r="AF843" s="210"/>
      <c r="AG843" s="210"/>
      <c r="AH843" s="210"/>
    </row>
    <row r="844" spans="1:34" ht="12.75">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c r="Z844" s="210"/>
      <c r="AA844" s="210"/>
      <c r="AB844" s="210"/>
      <c r="AC844" s="210"/>
      <c r="AD844" s="210"/>
      <c r="AE844" s="210"/>
      <c r="AF844" s="210"/>
      <c r="AG844" s="210"/>
      <c r="AH844" s="210"/>
    </row>
    <row r="845" spans="1:34" ht="12.75">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c r="Z845" s="210"/>
      <c r="AA845" s="210"/>
      <c r="AB845" s="210"/>
      <c r="AC845" s="210"/>
      <c r="AD845" s="210"/>
      <c r="AE845" s="210"/>
      <c r="AF845" s="210"/>
      <c r="AG845" s="210"/>
      <c r="AH845" s="210"/>
    </row>
    <row r="846" spans="1:34" ht="12.75">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c r="Z846" s="210"/>
      <c r="AA846" s="210"/>
      <c r="AB846" s="210"/>
      <c r="AC846" s="210"/>
      <c r="AD846" s="210"/>
      <c r="AE846" s="210"/>
      <c r="AF846" s="210"/>
      <c r="AG846" s="210"/>
      <c r="AH846" s="210"/>
    </row>
    <row r="847" spans="1:34" ht="12.75">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c r="Z847" s="210"/>
      <c r="AA847" s="210"/>
      <c r="AB847" s="210"/>
      <c r="AC847" s="210"/>
      <c r="AD847" s="210"/>
      <c r="AE847" s="210"/>
      <c r="AF847" s="210"/>
      <c r="AG847" s="210"/>
      <c r="AH847" s="210"/>
    </row>
    <row r="848" spans="1:34" ht="12.75">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c r="Z848" s="210"/>
      <c r="AA848" s="210"/>
      <c r="AB848" s="210"/>
      <c r="AC848" s="210"/>
      <c r="AD848" s="210"/>
      <c r="AE848" s="210"/>
      <c r="AF848" s="210"/>
      <c r="AG848" s="210"/>
      <c r="AH848" s="210"/>
    </row>
    <row r="849" spans="1:34" ht="12.75">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c r="Z849" s="210"/>
      <c r="AA849" s="210"/>
      <c r="AB849" s="210"/>
      <c r="AC849" s="210"/>
      <c r="AD849" s="210"/>
      <c r="AE849" s="210"/>
      <c r="AF849" s="210"/>
      <c r="AG849" s="210"/>
      <c r="AH849" s="210"/>
    </row>
    <row r="850" spans="1:34" ht="12.75">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c r="Z850" s="210"/>
      <c r="AA850" s="210"/>
      <c r="AB850" s="210"/>
      <c r="AC850" s="210"/>
      <c r="AD850" s="210"/>
      <c r="AE850" s="210"/>
      <c r="AF850" s="210"/>
      <c r="AG850" s="210"/>
      <c r="AH850" s="210"/>
    </row>
    <row r="851" spans="1:34" ht="12.75">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c r="Z851" s="210"/>
      <c r="AA851" s="210"/>
      <c r="AB851" s="210"/>
      <c r="AC851" s="210"/>
      <c r="AD851" s="210"/>
      <c r="AE851" s="210"/>
      <c r="AF851" s="210"/>
      <c r="AG851" s="210"/>
      <c r="AH851" s="210"/>
    </row>
    <row r="852" spans="1:34" ht="12.75">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c r="Z852" s="210"/>
      <c r="AA852" s="210"/>
      <c r="AB852" s="210"/>
      <c r="AC852" s="210"/>
      <c r="AD852" s="210"/>
      <c r="AE852" s="210"/>
      <c r="AF852" s="210"/>
      <c r="AG852" s="210"/>
      <c r="AH852" s="210"/>
    </row>
    <row r="853" spans="1:34" ht="12.75">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c r="Z853" s="210"/>
      <c r="AA853" s="210"/>
      <c r="AB853" s="210"/>
      <c r="AC853" s="210"/>
      <c r="AD853" s="210"/>
      <c r="AE853" s="210"/>
      <c r="AF853" s="210"/>
      <c r="AG853" s="210"/>
      <c r="AH853" s="210"/>
    </row>
    <row r="854" spans="1:34" ht="12.75">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c r="Z854" s="210"/>
      <c r="AA854" s="210"/>
      <c r="AB854" s="210"/>
      <c r="AC854" s="210"/>
      <c r="AD854" s="210"/>
      <c r="AE854" s="210"/>
      <c r="AF854" s="210"/>
      <c r="AG854" s="210"/>
      <c r="AH854" s="210"/>
    </row>
    <row r="855" spans="1:34" ht="12.75">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c r="Z855" s="210"/>
      <c r="AA855" s="210"/>
      <c r="AB855" s="210"/>
      <c r="AC855" s="210"/>
      <c r="AD855" s="210"/>
      <c r="AE855" s="210"/>
      <c r="AF855" s="210"/>
      <c r="AG855" s="210"/>
      <c r="AH855" s="210"/>
    </row>
    <row r="856" spans="1:34" ht="12.75">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c r="Z856" s="210"/>
      <c r="AA856" s="210"/>
      <c r="AB856" s="210"/>
      <c r="AC856" s="210"/>
      <c r="AD856" s="210"/>
      <c r="AE856" s="210"/>
      <c r="AF856" s="210"/>
      <c r="AG856" s="210"/>
      <c r="AH856" s="210"/>
    </row>
    <row r="857" spans="1:34" ht="12.75">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c r="Z857" s="210"/>
      <c r="AA857" s="210"/>
      <c r="AB857" s="210"/>
      <c r="AC857" s="210"/>
      <c r="AD857" s="210"/>
      <c r="AE857" s="210"/>
      <c r="AF857" s="210"/>
      <c r="AG857" s="210"/>
      <c r="AH857" s="210"/>
    </row>
    <row r="858" spans="1:34" ht="12.75">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c r="Z858" s="210"/>
      <c r="AA858" s="210"/>
      <c r="AB858" s="210"/>
      <c r="AC858" s="210"/>
      <c r="AD858" s="210"/>
      <c r="AE858" s="210"/>
      <c r="AF858" s="210"/>
      <c r="AG858" s="210"/>
      <c r="AH858" s="210"/>
    </row>
    <row r="859" spans="1:34" ht="12.75">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c r="Z859" s="210"/>
      <c r="AA859" s="210"/>
      <c r="AB859" s="210"/>
      <c r="AC859" s="210"/>
      <c r="AD859" s="210"/>
      <c r="AE859" s="210"/>
      <c r="AF859" s="210"/>
      <c r="AG859" s="210"/>
      <c r="AH859" s="210"/>
    </row>
    <row r="860" spans="1:34" ht="12.75">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c r="Z860" s="210"/>
      <c r="AA860" s="210"/>
      <c r="AB860" s="210"/>
      <c r="AC860" s="210"/>
      <c r="AD860" s="210"/>
      <c r="AE860" s="210"/>
      <c r="AF860" s="210"/>
      <c r="AG860" s="210"/>
      <c r="AH860" s="210"/>
    </row>
    <row r="861" spans="1:34" ht="12.75">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c r="Z861" s="210"/>
      <c r="AA861" s="210"/>
      <c r="AB861" s="210"/>
      <c r="AC861" s="210"/>
      <c r="AD861" s="210"/>
      <c r="AE861" s="210"/>
      <c r="AF861" s="210"/>
      <c r="AG861" s="210"/>
      <c r="AH861" s="210"/>
    </row>
    <row r="862" spans="1:34" ht="12.75">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c r="Z862" s="210"/>
      <c r="AA862" s="210"/>
      <c r="AB862" s="210"/>
      <c r="AC862" s="210"/>
      <c r="AD862" s="210"/>
      <c r="AE862" s="210"/>
      <c r="AF862" s="210"/>
      <c r="AG862" s="210"/>
      <c r="AH862" s="210"/>
    </row>
    <row r="863" spans="1:34" ht="12.75">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c r="Z863" s="210"/>
      <c r="AA863" s="210"/>
      <c r="AB863" s="210"/>
      <c r="AC863" s="210"/>
      <c r="AD863" s="210"/>
      <c r="AE863" s="210"/>
      <c r="AF863" s="210"/>
      <c r="AG863" s="210"/>
      <c r="AH863" s="210"/>
    </row>
    <row r="864" spans="1:34" ht="12.75">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c r="Z864" s="210"/>
      <c r="AA864" s="210"/>
      <c r="AB864" s="210"/>
      <c r="AC864" s="210"/>
      <c r="AD864" s="210"/>
      <c r="AE864" s="210"/>
      <c r="AF864" s="210"/>
      <c r="AG864" s="210"/>
      <c r="AH864" s="210"/>
    </row>
    <row r="865" spans="1:34" ht="12.75">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c r="Z865" s="210"/>
      <c r="AA865" s="210"/>
      <c r="AB865" s="210"/>
      <c r="AC865" s="210"/>
      <c r="AD865" s="210"/>
      <c r="AE865" s="210"/>
      <c r="AF865" s="210"/>
      <c r="AG865" s="210"/>
      <c r="AH865" s="210"/>
    </row>
    <row r="866" spans="1:34" ht="12.75">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c r="Z866" s="210"/>
      <c r="AA866" s="210"/>
      <c r="AB866" s="210"/>
      <c r="AC866" s="210"/>
      <c r="AD866" s="210"/>
      <c r="AE866" s="210"/>
      <c r="AF866" s="210"/>
      <c r="AG866" s="210"/>
      <c r="AH866" s="210"/>
    </row>
    <row r="867" spans="1:34" ht="12.75">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c r="Z867" s="210"/>
      <c r="AA867" s="210"/>
      <c r="AB867" s="210"/>
      <c r="AC867" s="210"/>
      <c r="AD867" s="210"/>
      <c r="AE867" s="210"/>
      <c r="AF867" s="210"/>
      <c r="AG867" s="210"/>
      <c r="AH867" s="210"/>
    </row>
    <row r="868" spans="1:34" ht="12.75">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c r="Z868" s="210"/>
      <c r="AA868" s="210"/>
      <c r="AB868" s="210"/>
      <c r="AC868" s="210"/>
      <c r="AD868" s="210"/>
      <c r="AE868" s="210"/>
      <c r="AF868" s="210"/>
      <c r="AG868" s="210"/>
      <c r="AH868" s="210"/>
    </row>
    <row r="869" spans="1:34" ht="12.75">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c r="Z869" s="210"/>
      <c r="AA869" s="210"/>
      <c r="AB869" s="210"/>
      <c r="AC869" s="210"/>
      <c r="AD869" s="210"/>
      <c r="AE869" s="210"/>
      <c r="AF869" s="210"/>
      <c r="AG869" s="210"/>
      <c r="AH869" s="210"/>
    </row>
    <row r="870" spans="1:34" ht="12.75">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c r="Z870" s="210"/>
      <c r="AA870" s="210"/>
      <c r="AB870" s="210"/>
      <c r="AC870" s="210"/>
      <c r="AD870" s="210"/>
      <c r="AE870" s="210"/>
      <c r="AF870" s="210"/>
      <c r="AG870" s="210"/>
      <c r="AH870" s="210"/>
    </row>
    <row r="871" spans="1:34" ht="12.75">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c r="Z871" s="210"/>
      <c r="AA871" s="210"/>
      <c r="AB871" s="210"/>
      <c r="AC871" s="210"/>
      <c r="AD871" s="210"/>
      <c r="AE871" s="210"/>
      <c r="AF871" s="210"/>
      <c r="AG871" s="210"/>
      <c r="AH871" s="210"/>
    </row>
    <row r="872" spans="1:34" ht="12.75">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c r="Z872" s="210"/>
      <c r="AA872" s="210"/>
      <c r="AB872" s="210"/>
      <c r="AC872" s="210"/>
      <c r="AD872" s="210"/>
      <c r="AE872" s="210"/>
      <c r="AF872" s="210"/>
      <c r="AG872" s="210"/>
      <c r="AH872" s="210"/>
    </row>
    <row r="873" spans="1:34" ht="12.75">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c r="Z873" s="210"/>
      <c r="AA873" s="210"/>
      <c r="AB873" s="210"/>
      <c r="AC873" s="210"/>
      <c r="AD873" s="210"/>
      <c r="AE873" s="210"/>
      <c r="AF873" s="210"/>
      <c r="AG873" s="210"/>
      <c r="AH873" s="210"/>
    </row>
    <row r="874" spans="1:34" ht="12.75">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c r="Z874" s="210"/>
      <c r="AA874" s="210"/>
      <c r="AB874" s="210"/>
      <c r="AC874" s="210"/>
      <c r="AD874" s="210"/>
      <c r="AE874" s="210"/>
      <c r="AF874" s="210"/>
      <c r="AG874" s="210"/>
      <c r="AH874" s="210"/>
    </row>
    <row r="875" spans="1:34" ht="12.75">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c r="Z875" s="210"/>
      <c r="AA875" s="210"/>
      <c r="AB875" s="210"/>
      <c r="AC875" s="210"/>
      <c r="AD875" s="210"/>
      <c r="AE875" s="210"/>
      <c r="AF875" s="210"/>
      <c r="AG875" s="210"/>
      <c r="AH875" s="210"/>
    </row>
    <row r="876" spans="1:34" ht="12.75">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c r="Z876" s="210"/>
      <c r="AA876" s="210"/>
      <c r="AB876" s="210"/>
      <c r="AC876" s="210"/>
      <c r="AD876" s="210"/>
      <c r="AE876" s="210"/>
      <c r="AF876" s="210"/>
      <c r="AG876" s="210"/>
      <c r="AH876" s="210"/>
    </row>
    <row r="877" spans="1:34" ht="12.75">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c r="Z877" s="210"/>
      <c r="AA877" s="210"/>
      <c r="AB877" s="210"/>
      <c r="AC877" s="210"/>
      <c r="AD877" s="210"/>
      <c r="AE877" s="210"/>
      <c r="AF877" s="210"/>
      <c r="AG877" s="210"/>
      <c r="AH877" s="210"/>
    </row>
    <row r="878" spans="1:34" ht="12.75">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c r="Z878" s="210"/>
      <c r="AA878" s="210"/>
      <c r="AB878" s="210"/>
      <c r="AC878" s="210"/>
      <c r="AD878" s="210"/>
      <c r="AE878" s="210"/>
      <c r="AF878" s="210"/>
      <c r="AG878" s="210"/>
      <c r="AH878" s="210"/>
    </row>
    <row r="879" spans="1:34" ht="12.75">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c r="Z879" s="210"/>
      <c r="AA879" s="210"/>
      <c r="AB879" s="210"/>
      <c r="AC879" s="210"/>
      <c r="AD879" s="210"/>
      <c r="AE879" s="210"/>
      <c r="AF879" s="210"/>
      <c r="AG879" s="210"/>
      <c r="AH879" s="210"/>
    </row>
    <row r="880" spans="1:34" ht="12.75">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c r="Z880" s="210"/>
      <c r="AA880" s="210"/>
      <c r="AB880" s="210"/>
      <c r="AC880" s="210"/>
      <c r="AD880" s="210"/>
      <c r="AE880" s="210"/>
      <c r="AF880" s="210"/>
      <c r="AG880" s="210"/>
      <c r="AH880" s="210"/>
    </row>
    <row r="881" spans="1:34" ht="12.75">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c r="Z881" s="210"/>
      <c r="AA881" s="210"/>
      <c r="AB881" s="210"/>
      <c r="AC881" s="210"/>
      <c r="AD881" s="210"/>
      <c r="AE881" s="210"/>
      <c r="AF881" s="210"/>
      <c r="AG881" s="210"/>
      <c r="AH881" s="210"/>
    </row>
    <row r="882" spans="1:34" ht="12.75">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c r="Z882" s="210"/>
      <c r="AA882" s="210"/>
      <c r="AB882" s="210"/>
      <c r="AC882" s="210"/>
      <c r="AD882" s="210"/>
      <c r="AE882" s="210"/>
      <c r="AF882" s="210"/>
      <c r="AG882" s="210"/>
      <c r="AH882" s="210"/>
    </row>
    <row r="883" spans="1:34" ht="12.75">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c r="Z883" s="210"/>
      <c r="AA883" s="210"/>
      <c r="AB883" s="210"/>
      <c r="AC883" s="210"/>
      <c r="AD883" s="210"/>
      <c r="AE883" s="210"/>
      <c r="AF883" s="210"/>
      <c r="AG883" s="210"/>
      <c r="AH883" s="210"/>
    </row>
    <row r="884" spans="1:34" ht="12.75">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c r="Z884" s="210"/>
      <c r="AA884" s="210"/>
      <c r="AB884" s="210"/>
      <c r="AC884" s="210"/>
      <c r="AD884" s="210"/>
      <c r="AE884" s="210"/>
      <c r="AF884" s="210"/>
      <c r="AG884" s="210"/>
      <c r="AH884" s="210"/>
    </row>
    <row r="885" spans="1:34" ht="12.75">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c r="Z885" s="210"/>
      <c r="AA885" s="210"/>
      <c r="AB885" s="210"/>
      <c r="AC885" s="210"/>
      <c r="AD885" s="210"/>
      <c r="AE885" s="210"/>
      <c r="AF885" s="210"/>
      <c r="AG885" s="210"/>
      <c r="AH885" s="210"/>
    </row>
    <row r="886" spans="1:34" ht="12.75">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c r="Z886" s="210"/>
      <c r="AA886" s="210"/>
      <c r="AB886" s="210"/>
      <c r="AC886" s="210"/>
      <c r="AD886" s="210"/>
      <c r="AE886" s="210"/>
      <c r="AF886" s="210"/>
      <c r="AG886" s="210"/>
      <c r="AH886" s="210"/>
    </row>
    <row r="887" spans="1:34" ht="12.75">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c r="Z887" s="210"/>
      <c r="AA887" s="210"/>
      <c r="AB887" s="210"/>
      <c r="AC887" s="210"/>
      <c r="AD887" s="210"/>
      <c r="AE887" s="210"/>
      <c r="AF887" s="210"/>
      <c r="AG887" s="210"/>
      <c r="AH887" s="210"/>
    </row>
    <row r="888" spans="1:34" ht="12.75">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c r="Z888" s="210"/>
      <c r="AA888" s="210"/>
      <c r="AB888" s="210"/>
      <c r="AC888" s="210"/>
      <c r="AD888" s="210"/>
      <c r="AE888" s="210"/>
      <c r="AF888" s="210"/>
      <c r="AG888" s="210"/>
      <c r="AH888" s="210"/>
    </row>
    <row r="889" spans="1:34" ht="12.75">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c r="Z889" s="210"/>
      <c r="AA889" s="210"/>
      <c r="AB889" s="210"/>
      <c r="AC889" s="210"/>
      <c r="AD889" s="210"/>
      <c r="AE889" s="210"/>
      <c r="AF889" s="210"/>
      <c r="AG889" s="210"/>
      <c r="AH889" s="210"/>
    </row>
    <row r="890" spans="1:34" ht="12.75">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c r="Z890" s="210"/>
      <c r="AA890" s="210"/>
      <c r="AB890" s="210"/>
      <c r="AC890" s="210"/>
      <c r="AD890" s="210"/>
      <c r="AE890" s="210"/>
      <c r="AF890" s="210"/>
      <c r="AG890" s="210"/>
      <c r="AH890" s="210"/>
    </row>
    <row r="891" spans="1:34" ht="12.75">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c r="Z891" s="210"/>
      <c r="AA891" s="210"/>
      <c r="AB891" s="210"/>
      <c r="AC891" s="210"/>
      <c r="AD891" s="210"/>
      <c r="AE891" s="210"/>
      <c r="AF891" s="210"/>
      <c r="AG891" s="210"/>
      <c r="AH891" s="210"/>
    </row>
    <row r="892" spans="1:34" ht="12.75">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c r="Z892" s="210"/>
      <c r="AA892" s="210"/>
      <c r="AB892" s="210"/>
      <c r="AC892" s="210"/>
      <c r="AD892" s="210"/>
      <c r="AE892" s="210"/>
      <c r="AF892" s="210"/>
      <c r="AG892" s="210"/>
      <c r="AH892" s="210"/>
    </row>
    <row r="893" spans="1:34" ht="12.75">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c r="Z893" s="210"/>
      <c r="AA893" s="210"/>
      <c r="AB893" s="210"/>
      <c r="AC893" s="210"/>
      <c r="AD893" s="210"/>
      <c r="AE893" s="210"/>
      <c r="AF893" s="210"/>
      <c r="AG893" s="210"/>
      <c r="AH893" s="210"/>
    </row>
    <row r="894" spans="1:34" ht="12.75">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c r="Z894" s="210"/>
      <c r="AA894" s="210"/>
      <c r="AB894" s="210"/>
      <c r="AC894" s="210"/>
      <c r="AD894" s="210"/>
      <c r="AE894" s="210"/>
      <c r="AF894" s="210"/>
      <c r="AG894" s="210"/>
      <c r="AH894" s="210"/>
    </row>
    <row r="895" spans="1:34" ht="12.75">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c r="Z895" s="210"/>
      <c r="AA895" s="210"/>
      <c r="AB895" s="210"/>
      <c r="AC895" s="210"/>
      <c r="AD895" s="210"/>
      <c r="AE895" s="210"/>
      <c r="AF895" s="210"/>
      <c r="AG895" s="210"/>
      <c r="AH895" s="210"/>
    </row>
    <row r="896" spans="1:34" ht="12.75">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c r="Z896" s="210"/>
      <c r="AA896" s="210"/>
      <c r="AB896" s="210"/>
      <c r="AC896" s="210"/>
      <c r="AD896" s="210"/>
      <c r="AE896" s="210"/>
      <c r="AF896" s="210"/>
      <c r="AG896" s="210"/>
      <c r="AH896" s="210"/>
    </row>
    <row r="897" spans="1:34" ht="12.75">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c r="Z897" s="210"/>
      <c r="AA897" s="210"/>
      <c r="AB897" s="210"/>
      <c r="AC897" s="210"/>
      <c r="AD897" s="210"/>
      <c r="AE897" s="210"/>
      <c r="AF897" s="210"/>
      <c r="AG897" s="210"/>
      <c r="AH897" s="210"/>
    </row>
    <row r="898" spans="1:34" ht="12.75">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c r="Z898" s="210"/>
      <c r="AA898" s="210"/>
      <c r="AB898" s="210"/>
      <c r="AC898" s="210"/>
      <c r="AD898" s="210"/>
      <c r="AE898" s="210"/>
      <c r="AF898" s="210"/>
      <c r="AG898" s="210"/>
      <c r="AH898" s="210"/>
    </row>
    <row r="899" spans="1:34" ht="12.75">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c r="Z899" s="210"/>
      <c r="AA899" s="210"/>
      <c r="AB899" s="210"/>
      <c r="AC899" s="210"/>
      <c r="AD899" s="210"/>
      <c r="AE899" s="210"/>
      <c r="AF899" s="210"/>
      <c r="AG899" s="210"/>
      <c r="AH899" s="210"/>
    </row>
    <row r="900" spans="1:34" ht="12.75">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c r="Z900" s="210"/>
      <c r="AA900" s="210"/>
      <c r="AB900" s="210"/>
      <c r="AC900" s="210"/>
      <c r="AD900" s="210"/>
      <c r="AE900" s="210"/>
      <c r="AF900" s="210"/>
      <c r="AG900" s="210"/>
      <c r="AH900" s="210"/>
    </row>
    <row r="901" spans="1:34" ht="12.75">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c r="Z901" s="210"/>
      <c r="AA901" s="210"/>
      <c r="AB901" s="210"/>
      <c r="AC901" s="210"/>
      <c r="AD901" s="210"/>
      <c r="AE901" s="210"/>
      <c r="AF901" s="210"/>
      <c r="AG901" s="210"/>
      <c r="AH901" s="210"/>
    </row>
    <row r="902" spans="1:34" ht="12.75">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c r="Z902" s="210"/>
      <c r="AA902" s="210"/>
      <c r="AB902" s="210"/>
      <c r="AC902" s="210"/>
      <c r="AD902" s="210"/>
      <c r="AE902" s="210"/>
      <c r="AF902" s="210"/>
      <c r="AG902" s="210"/>
      <c r="AH902" s="210"/>
    </row>
    <row r="903" spans="1:34" ht="12.75">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c r="Z903" s="210"/>
      <c r="AA903" s="210"/>
      <c r="AB903" s="210"/>
      <c r="AC903" s="210"/>
      <c r="AD903" s="210"/>
      <c r="AE903" s="210"/>
      <c r="AF903" s="210"/>
      <c r="AG903" s="210"/>
      <c r="AH903" s="210"/>
    </row>
    <row r="904" spans="1:34" ht="12.75">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c r="Z904" s="210"/>
      <c r="AA904" s="210"/>
      <c r="AB904" s="210"/>
      <c r="AC904" s="210"/>
      <c r="AD904" s="210"/>
      <c r="AE904" s="210"/>
      <c r="AF904" s="210"/>
      <c r="AG904" s="210"/>
      <c r="AH904" s="210"/>
    </row>
    <row r="905" spans="1:34" ht="12.75">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c r="Z905" s="210"/>
      <c r="AA905" s="210"/>
      <c r="AB905" s="210"/>
      <c r="AC905" s="210"/>
      <c r="AD905" s="210"/>
      <c r="AE905" s="210"/>
      <c r="AF905" s="210"/>
      <c r="AG905" s="210"/>
      <c r="AH905" s="210"/>
    </row>
    <row r="906" spans="1:34" ht="12.75">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c r="Z906" s="210"/>
      <c r="AA906" s="210"/>
      <c r="AB906" s="210"/>
      <c r="AC906" s="210"/>
      <c r="AD906" s="210"/>
      <c r="AE906" s="210"/>
      <c r="AF906" s="210"/>
      <c r="AG906" s="210"/>
      <c r="AH906" s="210"/>
    </row>
    <row r="907" spans="1:34" ht="12.75">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c r="Z907" s="210"/>
      <c r="AA907" s="210"/>
      <c r="AB907" s="210"/>
      <c r="AC907" s="210"/>
      <c r="AD907" s="210"/>
      <c r="AE907" s="210"/>
      <c r="AF907" s="210"/>
      <c r="AG907" s="210"/>
      <c r="AH907" s="210"/>
    </row>
    <row r="908" spans="1:34" ht="12.75">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c r="Z908" s="210"/>
      <c r="AA908" s="210"/>
      <c r="AB908" s="210"/>
      <c r="AC908" s="210"/>
      <c r="AD908" s="210"/>
      <c r="AE908" s="210"/>
      <c r="AF908" s="210"/>
      <c r="AG908" s="210"/>
      <c r="AH908" s="210"/>
    </row>
    <row r="909" spans="1:34" ht="12.75">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c r="Z909" s="210"/>
      <c r="AA909" s="210"/>
      <c r="AB909" s="210"/>
      <c r="AC909" s="210"/>
      <c r="AD909" s="210"/>
      <c r="AE909" s="210"/>
      <c r="AF909" s="210"/>
      <c r="AG909" s="210"/>
      <c r="AH909" s="210"/>
    </row>
    <row r="910" spans="1:34" ht="12.75">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c r="Z910" s="210"/>
      <c r="AA910" s="210"/>
      <c r="AB910" s="210"/>
      <c r="AC910" s="210"/>
      <c r="AD910" s="210"/>
      <c r="AE910" s="210"/>
      <c r="AF910" s="210"/>
      <c r="AG910" s="210"/>
      <c r="AH910" s="210"/>
    </row>
    <row r="911" spans="1:34" ht="12.75">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c r="Z911" s="210"/>
      <c r="AA911" s="210"/>
      <c r="AB911" s="210"/>
      <c r="AC911" s="210"/>
      <c r="AD911" s="210"/>
      <c r="AE911" s="210"/>
      <c r="AF911" s="210"/>
      <c r="AG911" s="210"/>
      <c r="AH911" s="210"/>
    </row>
    <row r="912" spans="1:34" ht="12.75">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c r="Z912" s="210"/>
      <c r="AA912" s="210"/>
      <c r="AB912" s="210"/>
      <c r="AC912" s="210"/>
      <c r="AD912" s="210"/>
      <c r="AE912" s="210"/>
      <c r="AF912" s="210"/>
      <c r="AG912" s="210"/>
      <c r="AH912" s="210"/>
    </row>
    <row r="913" spans="1:34" ht="12.75">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c r="Z913" s="210"/>
      <c r="AA913" s="210"/>
      <c r="AB913" s="210"/>
      <c r="AC913" s="210"/>
      <c r="AD913" s="210"/>
      <c r="AE913" s="210"/>
      <c r="AF913" s="210"/>
      <c r="AG913" s="210"/>
      <c r="AH913" s="210"/>
    </row>
    <row r="914" spans="1:34" ht="12.75">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c r="Z914" s="210"/>
      <c r="AA914" s="210"/>
      <c r="AB914" s="210"/>
      <c r="AC914" s="210"/>
      <c r="AD914" s="210"/>
      <c r="AE914" s="210"/>
      <c r="AF914" s="210"/>
      <c r="AG914" s="210"/>
      <c r="AH914" s="210"/>
    </row>
    <row r="915" spans="1:34" ht="12.75">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c r="Z915" s="210"/>
      <c r="AA915" s="210"/>
      <c r="AB915" s="210"/>
      <c r="AC915" s="210"/>
      <c r="AD915" s="210"/>
      <c r="AE915" s="210"/>
      <c r="AF915" s="210"/>
      <c r="AG915" s="210"/>
      <c r="AH915" s="210"/>
    </row>
    <row r="916" spans="1:34" ht="12.75">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c r="Z916" s="210"/>
      <c r="AA916" s="210"/>
      <c r="AB916" s="210"/>
      <c r="AC916" s="210"/>
      <c r="AD916" s="210"/>
      <c r="AE916" s="210"/>
      <c r="AF916" s="210"/>
      <c r="AG916" s="210"/>
      <c r="AH916" s="210"/>
    </row>
    <row r="917" spans="1:34" ht="12.75">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c r="Z917" s="210"/>
      <c r="AA917" s="210"/>
      <c r="AB917" s="210"/>
      <c r="AC917" s="210"/>
      <c r="AD917" s="210"/>
      <c r="AE917" s="210"/>
      <c r="AF917" s="210"/>
      <c r="AG917" s="210"/>
      <c r="AH917" s="210"/>
    </row>
    <row r="918" spans="1:34" ht="12.75">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c r="Z918" s="210"/>
      <c r="AA918" s="210"/>
      <c r="AB918" s="210"/>
      <c r="AC918" s="210"/>
      <c r="AD918" s="210"/>
      <c r="AE918" s="210"/>
      <c r="AF918" s="210"/>
      <c r="AG918" s="210"/>
      <c r="AH918" s="210"/>
    </row>
    <row r="919" spans="1:34" ht="12.75">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c r="Z919" s="210"/>
      <c r="AA919" s="210"/>
      <c r="AB919" s="210"/>
      <c r="AC919" s="210"/>
      <c r="AD919" s="210"/>
      <c r="AE919" s="210"/>
      <c r="AF919" s="210"/>
      <c r="AG919" s="210"/>
      <c r="AH919" s="210"/>
    </row>
    <row r="920" spans="1:34" ht="12.75">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c r="Z920" s="210"/>
      <c r="AA920" s="210"/>
      <c r="AB920" s="210"/>
      <c r="AC920" s="210"/>
      <c r="AD920" s="210"/>
      <c r="AE920" s="210"/>
      <c r="AF920" s="210"/>
      <c r="AG920" s="210"/>
      <c r="AH920" s="210"/>
    </row>
    <row r="921" spans="1:34" ht="12.75">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c r="Z921" s="210"/>
      <c r="AA921" s="210"/>
      <c r="AB921" s="210"/>
      <c r="AC921" s="210"/>
      <c r="AD921" s="210"/>
      <c r="AE921" s="210"/>
      <c r="AF921" s="210"/>
      <c r="AG921" s="210"/>
      <c r="AH921" s="210"/>
    </row>
    <row r="922" spans="1:34" ht="12.75">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c r="Z922" s="210"/>
      <c r="AA922" s="210"/>
      <c r="AB922" s="210"/>
      <c r="AC922" s="210"/>
      <c r="AD922" s="210"/>
      <c r="AE922" s="210"/>
      <c r="AF922" s="210"/>
      <c r="AG922" s="210"/>
      <c r="AH922" s="210"/>
    </row>
    <row r="923" spans="1:34" ht="12.75">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c r="Z923" s="210"/>
      <c r="AA923" s="210"/>
      <c r="AB923" s="210"/>
      <c r="AC923" s="210"/>
      <c r="AD923" s="210"/>
      <c r="AE923" s="210"/>
      <c r="AF923" s="210"/>
      <c r="AG923" s="210"/>
      <c r="AH923" s="210"/>
    </row>
    <row r="924" spans="1:34" ht="12.75">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c r="Z924" s="210"/>
      <c r="AA924" s="210"/>
      <c r="AB924" s="210"/>
      <c r="AC924" s="210"/>
      <c r="AD924" s="210"/>
      <c r="AE924" s="210"/>
      <c r="AF924" s="210"/>
      <c r="AG924" s="210"/>
      <c r="AH924" s="210"/>
    </row>
    <row r="925" spans="1:34" ht="12.75">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c r="Z925" s="210"/>
      <c r="AA925" s="210"/>
      <c r="AB925" s="210"/>
      <c r="AC925" s="210"/>
      <c r="AD925" s="210"/>
      <c r="AE925" s="210"/>
      <c r="AF925" s="210"/>
      <c r="AG925" s="210"/>
      <c r="AH925" s="210"/>
    </row>
    <row r="926" spans="1:34" ht="12.75">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c r="Z926" s="210"/>
      <c r="AA926" s="210"/>
      <c r="AB926" s="210"/>
      <c r="AC926" s="210"/>
      <c r="AD926" s="210"/>
      <c r="AE926" s="210"/>
      <c r="AF926" s="210"/>
      <c r="AG926" s="210"/>
      <c r="AH926" s="210"/>
    </row>
    <row r="927" spans="1:34" ht="12.75">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c r="Z927" s="210"/>
      <c r="AA927" s="210"/>
      <c r="AB927" s="210"/>
      <c r="AC927" s="210"/>
      <c r="AD927" s="210"/>
      <c r="AE927" s="210"/>
      <c r="AF927" s="210"/>
      <c r="AG927" s="210"/>
      <c r="AH927" s="210"/>
    </row>
    <row r="928" spans="1:34" ht="12.75">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c r="Z928" s="210"/>
      <c r="AA928" s="210"/>
      <c r="AB928" s="210"/>
      <c r="AC928" s="210"/>
      <c r="AD928" s="210"/>
      <c r="AE928" s="210"/>
      <c r="AF928" s="210"/>
      <c r="AG928" s="210"/>
      <c r="AH928" s="210"/>
    </row>
    <row r="929" spans="1:34" ht="12.75">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c r="Z929" s="210"/>
      <c r="AA929" s="210"/>
      <c r="AB929" s="210"/>
      <c r="AC929" s="210"/>
      <c r="AD929" s="210"/>
      <c r="AE929" s="210"/>
      <c r="AF929" s="210"/>
      <c r="AG929" s="210"/>
      <c r="AH929" s="210"/>
    </row>
    <row r="930" spans="1:34" ht="12.75">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c r="Z930" s="210"/>
      <c r="AA930" s="210"/>
      <c r="AB930" s="210"/>
      <c r="AC930" s="210"/>
      <c r="AD930" s="210"/>
      <c r="AE930" s="210"/>
      <c r="AF930" s="210"/>
      <c r="AG930" s="210"/>
      <c r="AH930" s="210"/>
    </row>
    <row r="931" spans="1:34" ht="12.75">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c r="Z931" s="210"/>
      <c r="AA931" s="210"/>
      <c r="AB931" s="210"/>
      <c r="AC931" s="210"/>
      <c r="AD931" s="210"/>
      <c r="AE931" s="210"/>
      <c r="AF931" s="210"/>
      <c r="AG931" s="210"/>
      <c r="AH931" s="210"/>
    </row>
    <row r="932" spans="1:34" ht="12.75">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c r="Z932" s="210"/>
      <c r="AA932" s="210"/>
      <c r="AB932" s="210"/>
      <c r="AC932" s="210"/>
      <c r="AD932" s="210"/>
      <c r="AE932" s="210"/>
      <c r="AF932" s="210"/>
      <c r="AG932" s="210"/>
      <c r="AH932" s="210"/>
    </row>
    <row r="933" spans="1:34" ht="12.75">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c r="Z933" s="210"/>
      <c r="AA933" s="210"/>
      <c r="AB933" s="210"/>
      <c r="AC933" s="210"/>
      <c r="AD933" s="210"/>
      <c r="AE933" s="210"/>
      <c r="AF933" s="210"/>
      <c r="AG933" s="210"/>
      <c r="AH933" s="210"/>
    </row>
    <row r="934" spans="1:34" ht="12.75">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c r="Z934" s="210"/>
      <c r="AA934" s="210"/>
      <c r="AB934" s="210"/>
      <c r="AC934" s="210"/>
      <c r="AD934" s="210"/>
      <c r="AE934" s="210"/>
      <c r="AF934" s="210"/>
      <c r="AG934" s="210"/>
      <c r="AH934" s="210"/>
    </row>
    <row r="935" spans="1:34" ht="12.75">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c r="Z935" s="210"/>
      <c r="AA935" s="210"/>
      <c r="AB935" s="210"/>
      <c r="AC935" s="210"/>
      <c r="AD935" s="210"/>
      <c r="AE935" s="210"/>
      <c r="AF935" s="210"/>
      <c r="AG935" s="210"/>
      <c r="AH935" s="210"/>
    </row>
    <row r="936" spans="1:34" ht="12.75">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c r="Z936" s="210"/>
      <c r="AA936" s="210"/>
      <c r="AB936" s="210"/>
      <c r="AC936" s="210"/>
      <c r="AD936" s="210"/>
      <c r="AE936" s="210"/>
      <c r="AF936" s="210"/>
      <c r="AG936" s="210"/>
      <c r="AH936" s="210"/>
    </row>
    <row r="937" spans="1:34" ht="12.75">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c r="Z937" s="210"/>
      <c r="AA937" s="210"/>
      <c r="AB937" s="210"/>
      <c r="AC937" s="210"/>
      <c r="AD937" s="210"/>
      <c r="AE937" s="210"/>
      <c r="AF937" s="210"/>
      <c r="AG937" s="210"/>
      <c r="AH937" s="210"/>
    </row>
    <row r="938" spans="1:34" ht="12.75">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c r="Z938" s="210"/>
      <c r="AA938" s="210"/>
      <c r="AB938" s="210"/>
      <c r="AC938" s="210"/>
      <c r="AD938" s="210"/>
      <c r="AE938" s="210"/>
      <c r="AF938" s="210"/>
      <c r="AG938" s="210"/>
      <c r="AH938" s="210"/>
    </row>
    <row r="939" spans="1:34" ht="12.75">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c r="Z939" s="210"/>
      <c r="AA939" s="210"/>
      <c r="AB939" s="210"/>
      <c r="AC939" s="210"/>
      <c r="AD939" s="210"/>
      <c r="AE939" s="210"/>
      <c r="AF939" s="210"/>
      <c r="AG939" s="210"/>
      <c r="AH939" s="210"/>
    </row>
    <row r="940" spans="1:34" ht="12.75">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c r="Z940" s="210"/>
      <c r="AA940" s="210"/>
      <c r="AB940" s="210"/>
      <c r="AC940" s="210"/>
      <c r="AD940" s="210"/>
      <c r="AE940" s="210"/>
      <c r="AF940" s="210"/>
      <c r="AG940" s="210"/>
      <c r="AH940" s="210"/>
    </row>
    <row r="941" spans="1:34" ht="12.75">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c r="Z941" s="210"/>
      <c r="AA941" s="210"/>
      <c r="AB941" s="210"/>
      <c r="AC941" s="210"/>
      <c r="AD941" s="210"/>
      <c r="AE941" s="210"/>
      <c r="AF941" s="210"/>
      <c r="AG941" s="210"/>
      <c r="AH941" s="210"/>
    </row>
    <row r="942" spans="1:34" ht="12.75">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c r="Z942" s="210"/>
      <c r="AA942" s="210"/>
      <c r="AB942" s="210"/>
      <c r="AC942" s="210"/>
      <c r="AD942" s="210"/>
      <c r="AE942" s="210"/>
      <c r="AF942" s="210"/>
      <c r="AG942" s="210"/>
      <c r="AH942" s="210"/>
    </row>
    <row r="943" spans="1:34" ht="12.75">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c r="Z943" s="210"/>
      <c r="AA943" s="210"/>
      <c r="AB943" s="210"/>
      <c r="AC943" s="210"/>
      <c r="AD943" s="210"/>
      <c r="AE943" s="210"/>
      <c r="AF943" s="210"/>
      <c r="AG943" s="210"/>
      <c r="AH943" s="210"/>
    </row>
    <row r="944" spans="1:34" ht="12.75">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c r="Z944" s="210"/>
      <c r="AA944" s="210"/>
      <c r="AB944" s="210"/>
      <c r="AC944" s="210"/>
      <c r="AD944" s="210"/>
      <c r="AE944" s="210"/>
      <c r="AF944" s="210"/>
      <c r="AG944" s="210"/>
      <c r="AH944" s="210"/>
    </row>
    <row r="945" spans="1:34" ht="12.75">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c r="Z945" s="210"/>
      <c r="AA945" s="210"/>
      <c r="AB945" s="210"/>
      <c r="AC945" s="210"/>
      <c r="AD945" s="210"/>
      <c r="AE945" s="210"/>
      <c r="AF945" s="210"/>
      <c r="AG945" s="210"/>
      <c r="AH945" s="210"/>
    </row>
    <row r="946" spans="1:34" ht="12.75">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c r="Z946" s="210"/>
      <c r="AA946" s="210"/>
      <c r="AB946" s="210"/>
      <c r="AC946" s="210"/>
      <c r="AD946" s="210"/>
      <c r="AE946" s="210"/>
      <c r="AF946" s="210"/>
      <c r="AG946" s="210"/>
      <c r="AH946" s="210"/>
    </row>
    <row r="947" spans="1:34" ht="12.75">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c r="Z947" s="210"/>
      <c r="AA947" s="210"/>
      <c r="AB947" s="210"/>
      <c r="AC947" s="210"/>
      <c r="AD947" s="210"/>
      <c r="AE947" s="210"/>
      <c r="AF947" s="210"/>
      <c r="AG947" s="210"/>
      <c r="AH947" s="210"/>
    </row>
    <row r="948" spans="1:34" ht="12.75">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c r="Z948" s="210"/>
      <c r="AA948" s="210"/>
      <c r="AB948" s="210"/>
      <c r="AC948" s="210"/>
      <c r="AD948" s="210"/>
      <c r="AE948" s="210"/>
      <c r="AF948" s="210"/>
      <c r="AG948" s="210"/>
      <c r="AH948" s="210"/>
    </row>
    <row r="949" spans="1:34" ht="12.75">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c r="Z949" s="210"/>
      <c r="AA949" s="210"/>
      <c r="AB949" s="210"/>
      <c r="AC949" s="210"/>
      <c r="AD949" s="210"/>
      <c r="AE949" s="210"/>
      <c r="AF949" s="210"/>
      <c r="AG949" s="210"/>
      <c r="AH949" s="210"/>
    </row>
    <row r="950" spans="1:34" ht="12.75">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c r="Z950" s="210"/>
      <c r="AA950" s="210"/>
      <c r="AB950" s="210"/>
      <c r="AC950" s="210"/>
      <c r="AD950" s="210"/>
      <c r="AE950" s="210"/>
      <c r="AF950" s="210"/>
      <c r="AG950" s="210"/>
      <c r="AH950" s="210"/>
    </row>
    <row r="951" spans="1:34" ht="12.75">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c r="Z951" s="210"/>
      <c r="AA951" s="210"/>
      <c r="AB951" s="210"/>
      <c r="AC951" s="210"/>
      <c r="AD951" s="210"/>
      <c r="AE951" s="210"/>
      <c r="AF951" s="210"/>
      <c r="AG951" s="210"/>
      <c r="AH951" s="210"/>
    </row>
    <row r="952" spans="1:34" ht="12.75">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c r="Z952" s="210"/>
      <c r="AA952" s="210"/>
      <c r="AB952" s="210"/>
      <c r="AC952" s="210"/>
      <c r="AD952" s="210"/>
      <c r="AE952" s="210"/>
      <c r="AF952" s="210"/>
      <c r="AG952" s="210"/>
      <c r="AH952" s="210"/>
    </row>
    <row r="953" spans="1:34" ht="12.75">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c r="Z953" s="210"/>
      <c r="AA953" s="210"/>
      <c r="AB953" s="210"/>
      <c r="AC953" s="210"/>
      <c r="AD953" s="210"/>
      <c r="AE953" s="210"/>
      <c r="AF953" s="210"/>
      <c r="AG953" s="210"/>
      <c r="AH953" s="210"/>
    </row>
    <row r="954" spans="1:34" ht="12.75">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c r="Z954" s="210"/>
      <c r="AA954" s="210"/>
      <c r="AB954" s="210"/>
      <c r="AC954" s="210"/>
      <c r="AD954" s="210"/>
      <c r="AE954" s="210"/>
      <c r="AF954" s="210"/>
      <c r="AG954" s="210"/>
      <c r="AH954" s="210"/>
    </row>
    <row r="955" spans="1:34" ht="12.75">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c r="Z955" s="210"/>
      <c r="AA955" s="210"/>
      <c r="AB955" s="210"/>
      <c r="AC955" s="210"/>
      <c r="AD955" s="210"/>
      <c r="AE955" s="210"/>
      <c r="AF955" s="210"/>
      <c r="AG955" s="210"/>
      <c r="AH955" s="210"/>
    </row>
    <row r="956" spans="1:34" ht="12.75">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c r="Z956" s="210"/>
      <c r="AA956" s="210"/>
      <c r="AB956" s="210"/>
      <c r="AC956" s="210"/>
      <c r="AD956" s="210"/>
      <c r="AE956" s="210"/>
      <c r="AF956" s="210"/>
      <c r="AG956" s="210"/>
      <c r="AH956" s="210"/>
    </row>
    <row r="957" spans="1:34" ht="12.75">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c r="Z957" s="210"/>
      <c r="AA957" s="210"/>
      <c r="AB957" s="210"/>
      <c r="AC957" s="210"/>
      <c r="AD957" s="210"/>
      <c r="AE957" s="210"/>
      <c r="AF957" s="210"/>
      <c r="AG957" s="210"/>
      <c r="AH957" s="210"/>
    </row>
    <row r="958" spans="1:34" ht="12.75">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c r="Z958" s="210"/>
      <c r="AA958" s="210"/>
      <c r="AB958" s="210"/>
      <c r="AC958" s="210"/>
      <c r="AD958" s="210"/>
      <c r="AE958" s="210"/>
      <c r="AF958" s="210"/>
      <c r="AG958" s="210"/>
      <c r="AH958" s="210"/>
    </row>
    <row r="959" spans="1:34" ht="12.75">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c r="Z959" s="210"/>
      <c r="AA959" s="210"/>
      <c r="AB959" s="210"/>
      <c r="AC959" s="210"/>
      <c r="AD959" s="210"/>
      <c r="AE959" s="210"/>
      <c r="AF959" s="210"/>
      <c r="AG959" s="210"/>
      <c r="AH959" s="210"/>
    </row>
    <row r="960" spans="1:34" ht="12.75">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c r="Z960" s="210"/>
      <c r="AA960" s="210"/>
      <c r="AB960" s="210"/>
      <c r="AC960" s="210"/>
      <c r="AD960" s="210"/>
      <c r="AE960" s="210"/>
      <c r="AF960" s="210"/>
      <c r="AG960" s="210"/>
      <c r="AH960" s="210"/>
    </row>
    <row r="961" spans="1:34" ht="12.75">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c r="Z961" s="210"/>
      <c r="AA961" s="210"/>
      <c r="AB961" s="210"/>
      <c r="AC961" s="210"/>
      <c r="AD961" s="210"/>
      <c r="AE961" s="210"/>
      <c r="AF961" s="210"/>
      <c r="AG961" s="210"/>
      <c r="AH961" s="210"/>
    </row>
    <row r="962" spans="1:34" ht="12.75">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c r="Z962" s="210"/>
      <c r="AA962" s="210"/>
      <c r="AB962" s="210"/>
      <c r="AC962" s="210"/>
      <c r="AD962" s="210"/>
      <c r="AE962" s="210"/>
      <c r="AF962" s="210"/>
      <c r="AG962" s="210"/>
      <c r="AH962" s="210"/>
    </row>
    <row r="963" spans="1:34" ht="12.75">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c r="Z963" s="210"/>
      <c r="AA963" s="210"/>
      <c r="AB963" s="210"/>
      <c r="AC963" s="210"/>
      <c r="AD963" s="210"/>
      <c r="AE963" s="210"/>
      <c r="AF963" s="210"/>
      <c r="AG963" s="210"/>
      <c r="AH963" s="210"/>
    </row>
    <row r="964" spans="1:34" ht="12.75">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c r="Z964" s="210"/>
      <c r="AA964" s="210"/>
      <c r="AB964" s="210"/>
      <c r="AC964" s="210"/>
      <c r="AD964" s="210"/>
      <c r="AE964" s="210"/>
      <c r="AF964" s="210"/>
      <c r="AG964" s="210"/>
      <c r="AH964" s="210"/>
    </row>
    <row r="965" spans="1:34" ht="12.75">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c r="Z965" s="210"/>
      <c r="AA965" s="210"/>
      <c r="AB965" s="210"/>
      <c r="AC965" s="210"/>
      <c r="AD965" s="210"/>
      <c r="AE965" s="210"/>
      <c r="AF965" s="210"/>
      <c r="AG965" s="210"/>
      <c r="AH965" s="210"/>
    </row>
    <row r="966" spans="1:34" ht="12.75">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c r="Z966" s="210"/>
      <c r="AA966" s="210"/>
      <c r="AB966" s="210"/>
      <c r="AC966" s="210"/>
      <c r="AD966" s="210"/>
      <c r="AE966" s="210"/>
      <c r="AF966" s="210"/>
      <c r="AG966" s="210"/>
      <c r="AH966" s="210"/>
    </row>
    <row r="967" spans="1:34" ht="12.75">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c r="Z967" s="210"/>
      <c r="AA967" s="210"/>
      <c r="AB967" s="210"/>
      <c r="AC967" s="210"/>
      <c r="AD967" s="210"/>
      <c r="AE967" s="210"/>
      <c r="AF967" s="210"/>
      <c r="AG967" s="210"/>
      <c r="AH967" s="210"/>
    </row>
    <row r="968" spans="1:34" ht="12.75">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c r="Z968" s="210"/>
      <c r="AA968" s="210"/>
      <c r="AB968" s="210"/>
      <c r="AC968" s="210"/>
      <c r="AD968" s="210"/>
      <c r="AE968" s="210"/>
      <c r="AF968" s="210"/>
      <c r="AG968" s="210"/>
      <c r="AH968" s="210"/>
    </row>
    <row r="969" spans="1:34" ht="12.75">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c r="Z969" s="210"/>
      <c r="AA969" s="210"/>
      <c r="AB969" s="210"/>
      <c r="AC969" s="210"/>
      <c r="AD969" s="210"/>
      <c r="AE969" s="210"/>
      <c r="AF969" s="210"/>
      <c r="AG969" s="210"/>
      <c r="AH969" s="210"/>
    </row>
    <row r="970" spans="1:34" ht="12.75">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c r="Z970" s="210"/>
      <c r="AA970" s="210"/>
      <c r="AB970" s="210"/>
      <c r="AC970" s="210"/>
      <c r="AD970" s="210"/>
      <c r="AE970" s="210"/>
      <c r="AF970" s="210"/>
      <c r="AG970" s="210"/>
      <c r="AH970" s="210"/>
    </row>
    <row r="971" spans="1:34" ht="12.75">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c r="Z971" s="210"/>
      <c r="AA971" s="210"/>
      <c r="AB971" s="210"/>
      <c r="AC971" s="210"/>
      <c r="AD971" s="210"/>
      <c r="AE971" s="210"/>
      <c r="AF971" s="210"/>
      <c r="AG971" s="210"/>
      <c r="AH971" s="210"/>
    </row>
    <row r="972" spans="1:34" ht="12.75">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c r="Z972" s="210"/>
      <c r="AA972" s="210"/>
      <c r="AB972" s="210"/>
      <c r="AC972" s="210"/>
      <c r="AD972" s="210"/>
      <c r="AE972" s="210"/>
      <c r="AF972" s="210"/>
      <c r="AG972" s="210"/>
      <c r="AH972" s="210"/>
    </row>
    <row r="973" spans="1:34" ht="12.75">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c r="Z973" s="210"/>
      <c r="AA973" s="210"/>
      <c r="AB973" s="210"/>
      <c r="AC973" s="210"/>
      <c r="AD973" s="210"/>
      <c r="AE973" s="210"/>
      <c r="AF973" s="210"/>
      <c r="AG973" s="210"/>
      <c r="AH973" s="210"/>
    </row>
    <row r="974" spans="1:34" ht="12.75">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c r="Z974" s="210"/>
      <c r="AA974" s="210"/>
      <c r="AB974" s="210"/>
      <c r="AC974" s="210"/>
      <c r="AD974" s="210"/>
      <c r="AE974" s="210"/>
      <c r="AF974" s="210"/>
      <c r="AG974" s="210"/>
      <c r="AH974" s="210"/>
    </row>
    <row r="975" spans="1:34" ht="12.75">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c r="Z975" s="210"/>
      <c r="AA975" s="210"/>
      <c r="AB975" s="210"/>
      <c r="AC975" s="210"/>
      <c r="AD975" s="210"/>
      <c r="AE975" s="210"/>
      <c r="AF975" s="210"/>
      <c r="AG975" s="210"/>
      <c r="AH975" s="210"/>
    </row>
    <row r="976" spans="1:34" ht="12.75">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c r="Z976" s="210"/>
      <c r="AA976" s="210"/>
      <c r="AB976" s="210"/>
      <c r="AC976" s="210"/>
      <c r="AD976" s="210"/>
      <c r="AE976" s="210"/>
      <c r="AF976" s="210"/>
      <c r="AG976" s="210"/>
      <c r="AH976" s="210"/>
    </row>
    <row r="977" spans="1:34" ht="12.75">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c r="AA977" s="210"/>
      <c r="AB977" s="210"/>
      <c r="AC977" s="210"/>
      <c r="AD977" s="210"/>
      <c r="AE977" s="210"/>
      <c r="AF977" s="210"/>
      <c r="AG977" s="210"/>
      <c r="AH977" s="210"/>
    </row>
    <row r="978" spans="1:34" ht="12.75">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c r="AA978" s="210"/>
      <c r="AB978" s="210"/>
      <c r="AC978" s="210"/>
      <c r="AD978" s="210"/>
      <c r="AE978" s="210"/>
      <c r="AF978" s="210"/>
      <c r="AG978" s="210"/>
      <c r="AH978" s="210"/>
    </row>
    <row r="979" spans="1:34" ht="12.75">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c r="AA979" s="210"/>
      <c r="AB979" s="210"/>
      <c r="AC979" s="210"/>
      <c r="AD979" s="210"/>
      <c r="AE979" s="210"/>
      <c r="AF979" s="210"/>
      <c r="AG979" s="210"/>
      <c r="AH979" s="210"/>
    </row>
    <row r="980" spans="1:34" ht="12.75">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c r="AA980" s="210"/>
      <c r="AB980" s="210"/>
      <c r="AC980" s="210"/>
      <c r="AD980" s="210"/>
      <c r="AE980" s="210"/>
      <c r="AF980" s="210"/>
      <c r="AG980" s="210"/>
      <c r="AH980" s="210"/>
    </row>
    <row r="981" spans="1:34" ht="12.75">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c r="AA981" s="210"/>
      <c r="AB981" s="210"/>
      <c r="AC981" s="210"/>
      <c r="AD981" s="210"/>
      <c r="AE981" s="210"/>
      <c r="AF981" s="210"/>
      <c r="AG981" s="210"/>
      <c r="AH981" s="210"/>
    </row>
    <row r="982" spans="1:34" ht="12.75">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c r="AA982" s="210"/>
      <c r="AB982" s="210"/>
      <c r="AC982" s="210"/>
      <c r="AD982" s="210"/>
      <c r="AE982" s="210"/>
      <c r="AF982" s="210"/>
      <c r="AG982" s="210"/>
      <c r="AH982" s="210"/>
    </row>
    <row r="983" spans="1:34" ht="12.75">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c r="AA983" s="210"/>
      <c r="AB983" s="210"/>
      <c r="AC983" s="210"/>
      <c r="AD983" s="210"/>
      <c r="AE983" s="210"/>
      <c r="AF983" s="210"/>
      <c r="AG983" s="210"/>
      <c r="AH983" s="210"/>
    </row>
    <row r="984" spans="1:34" ht="12.75">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c r="AA984" s="210"/>
      <c r="AB984" s="210"/>
      <c r="AC984" s="210"/>
      <c r="AD984" s="210"/>
      <c r="AE984" s="210"/>
      <c r="AF984" s="210"/>
      <c r="AG984" s="210"/>
      <c r="AH984" s="210"/>
    </row>
    <row r="985" spans="1:34" ht="12.75">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c r="AA985" s="210"/>
      <c r="AB985" s="210"/>
      <c r="AC985" s="210"/>
      <c r="AD985" s="210"/>
      <c r="AE985" s="210"/>
      <c r="AF985" s="210"/>
      <c r="AG985" s="210"/>
      <c r="AH985" s="210"/>
    </row>
    <row r="986" spans="1:34" ht="12.75">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c r="AA986" s="210"/>
      <c r="AB986" s="210"/>
      <c r="AC986" s="210"/>
      <c r="AD986" s="210"/>
      <c r="AE986" s="210"/>
      <c r="AF986" s="210"/>
      <c r="AG986" s="210"/>
      <c r="AH986" s="210"/>
    </row>
    <row r="987" spans="1:34" ht="12.75">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c r="AA987" s="210"/>
      <c r="AB987" s="210"/>
      <c r="AC987" s="210"/>
      <c r="AD987" s="210"/>
      <c r="AE987" s="210"/>
      <c r="AF987" s="210"/>
      <c r="AG987" s="210"/>
      <c r="AH987" s="210"/>
    </row>
    <row r="988" spans="1:34" ht="12.75">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c r="AA988" s="210"/>
      <c r="AB988" s="210"/>
      <c r="AC988" s="210"/>
      <c r="AD988" s="210"/>
      <c r="AE988" s="210"/>
      <c r="AF988" s="210"/>
      <c r="AG988" s="210"/>
      <c r="AH988" s="210"/>
    </row>
    <row r="989" spans="1:34" ht="12.75">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c r="Z989" s="210"/>
      <c r="AA989" s="210"/>
      <c r="AB989" s="210"/>
      <c r="AC989" s="210"/>
      <c r="AD989" s="210"/>
      <c r="AE989" s="210"/>
      <c r="AF989" s="210"/>
      <c r="AG989" s="210"/>
      <c r="AH989" s="210"/>
    </row>
    <row r="990" spans="1:34" ht="12.75">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c r="Z990" s="210"/>
      <c r="AA990" s="210"/>
      <c r="AB990" s="210"/>
      <c r="AC990" s="210"/>
      <c r="AD990" s="210"/>
      <c r="AE990" s="210"/>
      <c r="AF990" s="210"/>
      <c r="AG990" s="210"/>
      <c r="AH990" s="210"/>
    </row>
    <row r="991" spans="1:34" ht="12.75">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c r="Z991" s="210"/>
      <c r="AA991" s="210"/>
      <c r="AB991" s="210"/>
      <c r="AC991" s="210"/>
      <c r="AD991" s="210"/>
      <c r="AE991" s="210"/>
      <c r="AF991" s="210"/>
      <c r="AG991" s="210"/>
      <c r="AH991" s="210"/>
    </row>
    <row r="992" spans="1:34" ht="12.75">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c r="Z992" s="210"/>
      <c r="AA992" s="210"/>
      <c r="AB992" s="210"/>
      <c r="AC992" s="210"/>
      <c r="AD992" s="210"/>
      <c r="AE992" s="210"/>
      <c r="AF992" s="210"/>
      <c r="AG992" s="210"/>
      <c r="AH992" s="210"/>
    </row>
    <row r="993" spans="1:34" ht="12.75">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c r="Z993" s="210"/>
      <c r="AA993" s="210"/>
      <c r="AB993" s="210"/>
      <c r="AC993" s="210"/>
      <c r="AD993" s="210"/>
      <c r="AE993" s="210"/>
      <c r="AF993" s="210"/>
      <c r="AG993" s="210"/>
      <c r="AH993" s="210"/>
    </row>
    <row r="994" spans="1:34" ht="12.75">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c r="Z994" s="210"/>
      <c r="AA994" s="210"/>
      <c r="AB994" s="210"/>
      <c r="AC994" s="210"/>
      <c r="AD994" s="210"/>
      <c r="AE994" s="210"/>
      <c r="AF994" s="210"/>
      <c r="AG994" s="210"/>
      <c r="AH994" s="210"/>
    </row>
    <row r="995" spans="1:34" ht="12.75">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c r="Z995" s="210"/>
      <c r="AA995" s="210"/>
      <c r="AB995" s="210"/>
      <c r="AC995" s="210"/>
      <c r="AD995" s="210"/>
      <c r="AE995" s="210"/>
      <c r="AF995" s="210"/>
      <c r="AG995" s="210"/>
      <c r="AH995" s="210"/>
    </row>
    <row r="996" spans="1:34" ht="12.75">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c r="Z996" s="210"/>
      <c r="AA996" s="210"/>
      <c r="AB996" s="210"/>
      <c r="AC996" s="210"/>
      <c r="AD996" s="210"/>
      <c r="AE996" s="210"/>
      <c r="AF996" s="210"/>
      <c r="AG996" s="210"/>
      <c r="AH996" s="210"/>
    </row>
    <row r="997" spans="1:34" ht="12.75">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c r="Z997" s="210"/>
      <c r="AA997" s="210"/>
      <c r="AB997" s="210"/>
      <c r="AC997" s="210"/>
      <c r="AD997" s="210"/>
      <c r="AE997" s="210"/>
      <c r="AF997" s="210"/>
      <c r="AG997" s="210"/>
      <c r="AH997" s="210"/>
    </row>
    <row r="998" spans="1:34" ht="12.75">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c r="Z998" s="210"/>
      <c r="AA998" s="210"/>
      <c r="AB998" s="210"/>
      <c r="AC998" s="210"/>
      <c r="AD998" s="210"/>
      <c r="AE998" s="210"/>
      <c r="AF998" s="210"/>
      <c r="AG998" s="210"/>
      <c r="AH998" s="210"/>
    </row>
    <row r="999" spans="1:34" ht="12.75">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c r="Z999" s="210"/>
      <c r="AA999" s="210"/>
      <c r="AB999" s="210"/>
      <c r="AC999" s="210"/>
      <c r="AD999" s="210"/>
      <c r="AE999" s="210"/>
      <c r="AF999" s="210"/>
      <c r="AG999" s="210"/>
      <c r="AH999" s="210"/>
    </row>
    <row r="1000" spans="1:34" ht="12.75">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c r="AA1000" s="210"/>
      <c r="AB1000" s="210"/>
      <c r="AC1000" s="210"/>
      <c r="AD1000" s="210"/>
      <c r="AE1000" s="210"/>
      <c r="AF1000" s="210"/>
      <c r="AG1000" s="210"/>
      <c r="AH1000" s="210"/>
    </row>
    <row r="1001" spans="1:34" ht="12.75">
      <c r="A1001" s="210"/>
      <c r="B1001" s="210"/>
      <c r="C1001" s="210"/>
      <c r="D1001" s="210"/>
      <c r="E1001" s="210"/>
      <c r="F1001" s="210"/>
      <c r="G1001" s="210"/>
      <c r="H1001" s="210"/>
      <c r="I1001" s="210"/>
      <c r="J1001" s="210"/>
      <c r="K1001" s="210"/>
      <c r="L1001" s="210"/>
      <c r="M1001" s="210"/>
      <c r="N1001" s="210"/>
      <c r="O1001" s="210"/>
      <c r="P1001" s="210"/>
      <c r="Q1001" s="210"/>
      <c r="R1001" s="210"/>
      <c r="S1001" s="210"/>
      <c r="T1001" s="210"/>
      <c r="U1001" s="210"/>
      <c r="V1001" s="210"/>
      <c r="W1001" s="210"/>
      <c r="X1001" s="210"/>
      <c r="Y1001" s="210"/>
      <c r="Z1001" s="210"/>
      <c r="AA1001" s="210"/>
      <c r="AB1001" s="210"/>
      <c r="AC1001" s="210"/>
      <c r="AD1001" s="210"/>
      <c r="AE1001" s="210"/>
      <c r="AF1001" s="210"/>
      <c r="AG1001" s="210"/>
      <c r="AH1001" s="210"/>
    </row>
    <row r="1002" spans="1:34" ht="12.75">
      <c r="A1002" s="210"/>
      <c r="B1002" s="210"/>
      <c r="C1002" s="210"/>
      <c r="D1002" s="210"/>
      <c r="E1002" s="210"/>
      <c r="F1002" s="210"/>
      <c r="G1002" s="210"/>
      <c r="H1002" s="210"/>
      <c r="I1002" s="210"/>
      <c r="J1002" s="210"/>
      <c r="K1002" s="210"/>
      <c r="L1002" s="210"/>
      <c r="M1002" s="210"/>
      <c r="N1002" s="210"/>
      <c r="O1002" s="210"/>
      <c r="P1002" s="210"/>
      <c r="Q1002" s="210"/>
      <c r="R1002" s="210"/>
      <c r="S1002" s="210"/>
      <c r="T1002" s="210"/>
      <c r="U1002" s="210"/>
      <c r="V1002" s="210"/>
      <c r="W1002" s="210"/>
      <c r="X1002" s="210"/>
      <c r="Y1002" s="210"/>
      <c r="Z1002" s="210"/>
      <c r="AA1002" s="210"/>
      <c r="AB1002" s="210"/>
      <c r="AC1002" s="210"/>
      <c r="AD1002" s="210"/>
      <c r="AE1002" s="210"/>
      <c r="AF1002" s="210"/>
      <c r="AG1002" s="210"/>
      <c r="AH1002" s="210"/>
    </row>
  </sheetData>
  <hyperlinks>
    <hyperlink ref="B1" r:id="rId1" xr:uid="{00000000-0004-0000-1000-000000000000}"/>
    <hyperlink ref="B12" r:id="rId2" xr:uid="{00000000-0004-0000-1000-000001000000}"/>
    <hyperlink ref="B25" r:id="rId3" xr:uid="{00000000-0004-0000-1000-000002000000}"/>
    <hyperlink ref="B26" r:id="rId4" location="dmp_created" xr:uid="{00000000-0004-0000-1000-000003000000}"/>
    <hyperlink ref="B55" r:id="rId5" location="contributor_id_id" xr:uid="{00000000-0004-0000-1000-000004000000}"/>
    <hyperlink ref="B56" r:id="rId6" location="contributor_id_type" xr:uid="{00000000-0004-0000-1000-000005000000}"/>
    <hyperlink ref="B57" r:id="rId7" location="dmp_contributor_name" xr:uid="{00000000-0004-0000-1000-000006000000}"/>
    <hyperlink ref="B58" r:id="rId8" location="dmp_contributor_role" xr:uid="{00000000-0004-0000-1000-000007000000}"/>
    <hyperlink ref="B65" r:id="rId9" location="funding_table" xr:uid="{00000000-0004-0000-1000-000008000000}"/>
    <hyperlink ref="B67" r:id="rId10" location="funder_id_id" xr:uid="{00000000-0004-0000-1000-000009000000}"/>
    <hyperlink ref="B68" r:id="rId11" location="funder_id_type" xr:uid="{00000000-0004-0000-1000-00000A000000}"/>
    <hyperlink ref="B69" r:id="rId12" location="funding_status" xr:uid="{00000000-0004-0000-1000-00000B000000}"/>
    <hyperlink ref="B71" r:id="rId13" location="grant_id_id" xr:uid="{00000000-0004-0000-1000-00000C000000}"/>
    <hyperlink ref="B72" r:id="rId14" location="grant_id_type" xr:uid="{00000000-0004-0000-1000-00000D000000}"/>
    <hyperlink ref="T79" r:id="rId15" xr:uid="{00000000-0004-0000-1000-00000E000000}"/>
    <hyperlink ref="B85" r:id="rId16" location="metadata_language" xr:uid="{00000000-0004-0000-1000-00000F000000}"/>
    <hyperlink ref="B115" r:id="rId17" location="metadata_id_id" xr:uid="{00000000-0004-0000-1000-000010000000}"/>
    <hyperlink ref="B117" r:id="rId18" location="contact_id_identifier" xr:uid="{00000000-0004-0000-1000-000011000000}"/>
    <hyperlink ref="B118" r:id="rId19" location="contributor_id_id" xr:uid="{00000000-0004-0000-1000-00001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1000-000000000000}">
          <x14:formula1>
            <xm:f>#REF!</xm:f>
          </x14:formula1>
          <xm:sqref>N79</xm:sqref>
        </x14:dataValidation>
        <x14:dataValidation type="list" allowBlank="1" showErrorMessage="1" xr:uid="{00000000-0002-0000-1000-000001000000}">
          <x14:formula1>
            <xm:f>#REF!</xm:f>
          </x14:formula1>
          <xm:sqref>L123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outlinePr summaryBelow="0" summaryRight="0"/>
  </sheetPr>
  <dimension ref="A1:D180"/>
  <sheetViews>
    <sheetView workbookViewId="0">
      <pane ySplit="1" topLeftCell="A2" activePane="bottomLeft" state="frozen"/>
      <selection pane="bottomLeft" activeCell="B3" sqref="B3"/>
    </sheetView>
  </sheetViews>
  <sheetFormatPr baseColWidth="10" defaultColWidth="12.5703125" defaultRowHeight="15.75" customHeight="1"/>
  <cols>
    <col min="4" max="4" width="30.140625" customWidth="1"/>
  </cols>
  <sheetData>
    <row r="1" spans="1:4">
      <c r="A1" s="295" t="s">
        <v>4583</v>
      </c>
      <c r="B1" s="295" t="s">
        <v>4584</v>
      </c>
      <c r="C1" s="295" t="s">
        <v>4585</v>
      </c>
      <c r="D1" s="295" t="s">
        <v>2172</v>
      </c>
    </row>
    <row r="2" spans="1:4">
      <c r="A2" s="297" t="s">
        <v>2407</v>
      </c>
      <c r="B2" s="297">
        <v>124</v>
      </c>
      <c r="C2" s="297">
        <v>2</v>
      </c>
      <c r="D2" s="296" t="s">
        <v>4586</v>
      </c>
    </row>
    <row r="3" spans="1:4">
      <c r="A3" s="297" t="s">
        <v>2408</v>
      </c>
      <c r="B3" s="297">
        <v>978</v>
      </c>
      <c r="C3" s="297">
        <v>2</v>
      </c>
      <c r="D3" s="296" t="s">
        <v>4587</v>
      </c>
    </row>
    <row r="4" spans="1:4">
      <c r="A4" s="297" t="s">
        <v>2410</v>
      </c>
      <c r="B4" s="297">
        <v>826</v>
      </c>
      <c r="C4" s="297">
        <v>2</v>
      </c>
      <c r="D4" s="296" t="s">
        <v>4588</v>
      </c>
    </row>
    <row r="5" spans="1:4">
      <c r="A5" s="297" t="s">
        <v>422</v>
      </c>
      <c r="B5" s="297">
        <v>840</v>
      </c>
      <c r="C5" s="297">
        <v>2</v>
      </c>
      <c r="D5" s="296" t="s">
        <v>4589</v>
      </c>
    </row>
    <row r="6" spans="1:4">
      <c r="A6" s="297" t="s">
        <v>2411</v>
      </c>
      <c r="B6" s="297">
        <v>784</v>
      </c>
      <c r="C6" s="297">
        <v>2</v>
      </c>
      <c r="D6" s="296" t="s">
        <v>4590</v>
      </c>
    </row>
    <row r="7" spans="1:4">
      <c r="A7" s="297" t="s">
        <v>2412</v>
      </c>
      <c r="B7" s="297">
        <v>971</v>
      </c>
      <c r="C7" s="297">
        <v>2</v>
      </c>
      <c r="D7" s="296" t="s">
        <v>4591</v>
      </c>
    </row>
    <row r="8" spans="1:4">
      <c r="A8" s="297" t="s">
        <v>2413</v>
      </c>
      <c r="B8" s="297">
        <v>8</v>
      </c>
      <c r="C8" s="297">
        <v>2</v>
      </c>
      <c r="D8" s="296" t="s">
        <v>4592</v>
      </c>
    </row>
    <row r="9" spans="1:4">
      <c r="A9" s="297" t="s">
        <v>2414</v>
      </c>
      <c r="B9" s="297">
        <v>51</v>
      </c>
      <c r="C9" s="297">
        <v>2</v>
      </c>
      <c r="D9" s="296" t="s">
        <v>4593</v>
      </c>
    </row>
    <row r="10" spans="1:4">
      <c r="A10" s="297" t="s">
        <v>2415</v>
      </c>
      <c r="B10" s="297">
        <v>532</v>
      </c>
      <c r="C10" s="297">
        <v>2</v>
      </c>
      <c r="D10" s="296" t="s">
        <v>4594</v>
      </c>
    </row>
    <row r="11" spans="1:4">
      <c r="A11" s="297" t="s">
        <v>2416</v>
      </c>
      <c r="B11" s="297">
        <v>973</v>
      </c>
      <c r="C11" s="297">
        <v>2</v>
      </c>
      <c r="D11" s="296" t="s">
        <v>4595</v>
      </c>
    </row>
    <row r="12" spans="1:4">
      <c r="A12" s="297" t="s">
        <v>2418</v>
      </c>
      <c r="B12" s="297">
        <v>32</v>
      </c>
      <c r="C12" s="297">
        <v>2</v>
      </c>
      <c r="D12" s="296" t="s">
        <v>4596</v>
      </c>
    </row>
    <row r="13" spans="1:4">
      <c r="A13" s="297" t="s">
        <v>2420</v>
      </c>
      <c r="B13" s="297">
        <v>36</v>
      </c>
      <c r="C13" s="297">
        <v>2</v>
      </c>
      <c r="D13" s="296" t="s">
        <v>4597</v>
      </c>
    </row>
    <row r="14" spans="1:4">
      <c r="A14" s="297" t="s">
        <v>2422</v>
      </c>
      <c r="B14" s="297">
        <v>533</v>
      </c>
      <c r="C14" s="297">
        <v>2</v>
      </c>
      <c r="D14" s="296" t="s">
        <v>4598</v>
      </c>
    </row>
    <row r="15" spans="1:4">
      <c r="A15" s="297" t="s">
        <v>2423</v>
      </c>
      <c r="B15" s="297">
        <v>944</v>
      </c>
      <c r="C15" s="297">
        <v>2</v>
      </c>
      <c r="D15" s="296" t="s">
        <v>4599</v>
      </c>
    </row>
    <row r="16" spans="1:4">
      <c r="A16" s="297" t="s">
        <v>2424</v>
      </c>
      <c r="B16" s="297">
        <v>977</v>
      </c>
      <c r="C16" s="297">
        <v>2</v>
      </c>
      <c r="D16" s="296" t="s">
        <v>4600</v>
      </c>
    </row>
    <row r="17" spans="1:4">
      <c r="A17" s="297" t="s">
        <v>2425</v>
      </c>
      <c r="B17" s="297">
        <v>52</v>
      </c>
      <c r="C17" s="297">
        <v>2</v>
      </c>
      <c r="D17" s="296" t="s">
        <v>4601</v>
      </c>
    </row>
    <row r="18" spans="1:4">
      <c r="A18" s="297" t="s">
        <v>2426</v>
      </c>
      <c r="B18" s="297">
        <v>50</v>
      </c>
      <c r="C18" s="297">
        <v>2</v>
      </c>
      <c r="D18" s="296" t="s">
        <v>4602</v>
      </c>
    </row>
    <row r="19" spans="1:4">
      <c r="A19" s="297" t="s">
        <v>2427</v>
      </c>
      <c r="B19" s="297">
        <v>975</v>
      </c>
      <c r="C19" s="297">
        <v>2</v>
      </c>
      <c r="D19" s="296" t="s">
        <v>4603</v>
      </c>
    </row>
    <row r="20" spans="1:4">
      <c r="A20" s="297" t="s">
        <v>2428</v>
      </c>
      <c r="B20" s="297">
        <v>48</v>
      </c>
      <c r="C20" s="297">
        <v>3</v>
      </c>
      <c r="D20" s="296" t="s">
        <v>4604</v>
      </c>
    </row>
    <row r="21" spans="1:4">
      <c r="A21" s="297" t="s">
        <v>2430</v>
      </c>
      <c r="B21" s="297">
        <v>108</v>
      </c>
      <c r="C21" s="297">
        <v>0</v>
      </c>
      <c r="D21" s="296" t="s">
        <v>4605</v>
      </c>
    </row>
    <row r="22" spans="1:4">
      <c r="A22" s="297" t="s">
        <v>2431</v>
      </c>
      <c r="B22" s="297">
        <v>60</v>
      </c>
      <c r="C22" s="297">
        <v>2</v>
      </c>
      <c r="D22" s="296" t="s">
        <v>4606</v>
      </c>
    </row>
    <row r="23" spans="1:4">
      <c r="A23" s="297" t="s">
        <v>2433</v>
      </c>
      <c r="B23" s="297">
        <v>96</v>
      </c>
      <c r="C23" s="297">
        <v>2</v>
      </c>
      <c r="D23" s="296" t="s">
        <v>4607</v>
      </c>
    </row>
    <row r="24" spans="1:4">
      <c r="A24" s="297" t="s">
        <v>2435</v>
      </c>
      <c r="B24" s="297">
        <v>68</v>
      </c>
      <c r="C24" s="297">
        <v>2</v>
      </c>
      <c r="D24" s="296" t="s">
        <v>4608</v>
      </c>
    </row>
    <row r="25" spans="1:4">
      <c r="A25" s="297" t="s">
        <v>2437</v>
      </c>
      <c r="B25" s="297">
        <v>984</v>
      </c>
      <c r="C25" s="297">
        <v>2</v>
      </c>
      <c r="D25" s="297" t="s">
        <v>4609</v>
      </c>
    </row>
    <row r="26" spans="1:4">
      <c r="A26" s="297" t="s">
        <v>2439</v>
      </c>
      <c r="B26" s="297">
        <v>986</v>
      </c>
      <c r="C26" s="297">
        <v>2</v>
      </c>
      <c r="D26" s="296" t="s">
        <v>4610</v>
      </c>
    </row>
    <row r="27" spans="1:4">
      <c r="A27" s="297" t="s">
        <v>2441</v>
      </c>
      <c r="B27" s="297">
        <v>44</v>
      </c>
      <c r="C27" s="297">
        <v>2</v>
      </c>
      <c r="D27" s="296" t="s">
        <v>4611</v>
      </c>
    </row>
    <row r="28" spans="1:4">
      <c r="A28" s="297" t="s">
        <v>2442</v>
      </c>
      <c r="B28" s="297">
        <v>64</v>
      </c>
      <c r="C28" s="297">
        <v>2</v>
      </c>
      <c r="D28" s="296" t="s">
        <v>4612</v>
      </c>
    </row>
    <row r="29" spans="1:4">
      <c r="A29" s="297" t="s">
        <v>2443</v>
      </c>
      <c r="B29" s="297">
        <v>72</v>
      </c>
      <c r="C29" s="297">
        <v>2</v>
      </c>
      <c r="D29" s="296" t="s">
        <v>4613</v>
      </c>
    </row>
    <row r="30" spans="1:4">
      <c r="A30" s="297" t="s">
        <v>2444</v>
      </c>
      <c r="B30" s="297">
        <v>933</v>
      </c>
      <c r="C30" s="297">
        <v>2</v>
      </c>
      <c r="D30" s="296" t="s">
        <v>4614</v>
      </c>
    </row>
    <row r="31" spans="1:4">
      <c r="A31" s="297" t="s">
        <v>2445</v>
      </c>
      <c r="B31" s="297">
        <v>84</v>
      </c>
      <c r="C31" s="297">
        <v>2</v>
      </c>
      <c r="D31" s="296" t="s">
        <v>4615</v>
      </c>
    </row>
    <row r="32" spans="1:4">
      <c r="A32" s="297" t="s">
        <v>2446</v>
      </c>
      <c r="B32" s="297">
        <v>976</v>
      </c>
      <c r="C32" s="297">
        <v>2</v>
      </c>
      <c r="D32" s="296" t="s">
        <v>4616</v>
      </c>
    </row>
    <row r="33" spans="1:4">
      <c r="A33" s="297" t="s">
        <v>2447</v>
      </c>
      <c r="B33" s="297">
        <v>947</v>
      </c>
      <c r="C33" s="297">
        <v>2</v>
      </c>
      <c r="D33" s="296" t="s">
        <v>4617</v>
      </c>
    </row>
    <row r="34" spans="1:4">
      <c r="A34" s="297" t="s">
        <v>2448</v>
      </c>
      <c r="B34" s="297">
        <v>756</v>
      </c>
      <c r="C34" s="297">
        <v>2</v>
      </c>
      <c r="D34" s="296" t="s">
        <v>4618</v>
      </c>
    </row>
    <row r="35" spans="1:4">
      <c r="A35" s="297" t="s">
        <v>2450</v>
      </c>
      <c r="B35" s="297">
        <v>948</v>
      </c>
      <c r="C35" s="297">
        <v>2</v>
      </c>
      <c r="D35" s="296" t="s">
        <v>4619</v>
      </c>
    </row>
    <row r="36" spans="1:4">
      <c r="A36" s="297" t="s">
        <v>2452</v>
      </c>
      <c r="B36" s="297">
        <v>990</v>
      </c>
      <c r="C36" s="297">
        <v>4</v>
      </c>
      <c r="D36" s="296" t="s">
        <v>4620</v>
      </c>
    </row>
    <row r="37" spans="1:4">
      <c r="A37" s="297" t="s">
        <v>2454</v>
      </c>
      <c r="B37" s="297">
        <v>152</v>
      </c>
      <c r="C37" s="297">
        <v>0</v>
      </c>
      <c r="D37" s="296" t="s">
        <v>4621</v>
      </c>
    </row>
    <row r="38" spans="1:4">
      <c r="A38" s="297" t="s">
        <v>2456</v>
      </c>
      <c r="B38" s="297">
        <v>156</v>
      </c>
      <c r="C38" s="297">
        <v>2</v>
      </c>
      <c r="D38" s="296" t="s">
        <v>4622</v>
      </c>
    </row>
    <row r="39" spans="1:4">
      <c r="A39" s="297" t="s">
        <v>2457</v>
      </c>
      <c r="B39" s="297">
        <v>170</v>
      </c>
      <c r="C39" s="297">
        <v>2</v>
      </c>
      <c r="D39" s="296" t="s">
        <v>4623</v>
      </c>
    </row>
    <row r="40" spans="1:4">
      <c r="A40" s="297" t="s">
        <v>2458</v>
      </c>
      <c r="B40" s="297">
        <v>970</v>
      </c>
      <c r="C40" s="298" t="s">
        <v>4624</v>
      </c>
      <c r="D40" s="299" t="s">
        <v>4625</v>
      </c>
    </row>
    <row r="41" spans="1:4">
      <c r="A41" s="297" t="s">
        <v>2459</v>
      </c>
      <c r="B41" s="297">
        <v>188</v>
      </c>
      <c r="C41" s="297">
        <v>2</v>
      </c>
      <c r="D41" s="296" t="s">
        <v>4626</v>
      </c>
    </row>
    <row r="42" spans="1:4">
      <c r="A42" s="297" t="s">
        <v>2461</v>
      </c>
      <c r="B42" s="297">
        <v>931</v>
      </c>
      <c r="C42" s="297">
        <v>2</v>
      </c>
      <c r="D42" s="296" t="s">
        <v>4627</v>
      </c>
    </row>
    <row r="43" spans="1:4">
      <c r="A43" s="297" t="s">
        <v>2462</v>
      </c>
      <c r="B43" s="297">
        <v>192</v>
      </c>
      <c r="C43" s="297">
        <v>2</v>
      </c>
      <c r="D43" s="296" t="s">
        <v>4628</v>
      </c>
    </row>
    <row r="44" spans="1:4">
      <c r="A44" s="297" t="s">
        <v>2463</v>
      </c>
      <c r="B44" s="297">
        <v>132</v>
      </c>
      <c r="C44" s="297">
        <v>2</v>
      </c>
      <c r="D44" s="296" t="s">
        <v>4629</v>
      </c>
    </row>
    <row r="45" spans="1:4">
      <c r="A45" s="297" t="s">
        <v>2464</v>
      </c>
      <c r="B45" s="297">
        <v>203</v>
      </c>
      <c r="C45" s="297">
        <v>2</v>
      </c>
      <c r="D45" s="296" t="s">
        <v>4630</v>
      </c>
    </row>
    <row r="46" spans="1:4">
      <c r="A46" s="297" t="s">
        <v>2465</v>
      </c>
      <c r="B46" s="297">
        <v>262</v>
      </c>
      <c r="C46" s="297">
        <v>0</v>
      </c>
      <c r="D46" s="296" t="s">
        <v>4631</v>
      </c>
    </row>
    <row r="47" spans="1:4">
      <c r="A47" s="297" t="s">
        <v>2467</v>
      </c>
      <c r="B47" s="297">
        <v>208</v>
      </c>
      <c r="C47" s="297">
        <v>2</v>
      </c>
      <c r="D47" s="296" t="s">
        <v>4632</v>
      </c>
    </row>
    <row r="48" spans="1:4">
      <c r="A48" s="297" t="s">
        <v>2469</v>
      </c>
      <c r="B48" s="297">
        <v>214</v>
      </c>
      <c r="C48" s="297">
        <v>2</v>
      </c>
      <c r="D48" s="296" t="s">
        <v>4633</v>
      </c>
    </row>
    <row r="49" spans="1:4">
      <c r="A49" s="297" t="s">
        <v>2471</v>
      </c>
      <c r="B49" s="297">
        <v>12</v>
      </c>
      <c r="C49" s="297">
        <v>2</v>
      </c>
      <c r="D49" s="296" t="s">
        <v>4634</v>
      </c>
    </row>
    <row r="50" spans="1:4">
      <c r="A50" s="297" t="s">
        <v>2472</v>
      </c>
      <c r="B50" s="297">
        <v>818</v>
      </c>
      <c r="C50" s="297">
        <v>2</v>
      </c>
      <c r="D50" s="296" t="s">
        <v>4635</v>
      </c>
    </row>
    <row r="51" spans="1:4">
      <c r="A51" s="297" t="s">
        <v>2473</v>
      </c>
      <c r="B51" s="297">
        <v>232</v>
      </c>
      <c r="C51" s="297">
        <v>2</v>
      </c>
      <c r="D51" s="296" t="s">
        <v>4636</v>
      </c>
    </row>
    <row r="52" spans="1:4">
      <c r="A52" s="297" t="s">
        <v>2474</v>
      </c>
      <c r="B52" s="297">
        <v>230</v>
      </c>
      <c r="C52" s="297">
        <v>2</v>
      </c>
      <c r="D52" s="296" t="s">
        <v>4637</v>
      </c>
    </row>
    <row r="53" spans="1:4">
      <c r="A53" s="297" t="s">
        <v>2475</v>
      </c>
      <c r="B53" s="297">
        <v>242</v>
      </c>
      <c r="C53" s="297">
        <v>2</v>
      </c>
      <c r="D53" s="296" t="s">
        <v>4638</v>
      </c>
    </row>
    <row r="54" spans="1:4">
      <c r="A54" s="297" t="s">
        <v>2476</v>
      </c>
      <c r="B54" s="297">
        <v>238</v>
      </c>
      <c r="C54" s="297">
        <v>2</v>
      </c>
      <c r="D54" s="296" t="s">
        <v>4639</v>
      </c>
    </row>
    <row r="55" spans="1:4">
      <c r="A55" s="297" t="s">
        <v>2477</v>
      </c>
      <c r="B55" s="297">
        <v>981</v>
      </c>
      <c r="C55" s="297">
        <v>2</v>
      </c>
      <c r="D55" s="296" t="s">
        <v>4640</v>
      </c>
    </row>
    <row r="56" spans="1:4">
      <c r="A56" s="297" t="s">
        <v>2478</v>
      </c>
      <c r="B56" s="297">
        <v>936</v>
      </c>
      <c r="C56" s="297">
        <v>2</v>
      </c>
      <c r="D56" s="296" t="s">
        <v>4641</v>
      </c>
    </row>
    <row r="57" spans="1:4">
      <c r="A57" s="297" t="s">
        <v>2480</v>
      </c>
      <c r="B57" s="297">
        <v>292</v>
      </c>
      <c r="C57" s="297">
        <v>2</v>
      </c>
      <c r="D57" s="296" t="s">
        <v>4642</v>
      </c>
    </row>
    <row r="58" spans="1:4">
      <c r="A58" s="297" t="s">
        <v>2482</v>
      </c>
      <c r="B58" s="297">
        <v>270</v>
      </c>
      <c r="C58" s="297">
        <v>2</v>
      </c>
      <c r="D58" s="296" t="s">
        <v>4643</v>
      </c>
    </row>
    <row r="59" spans="1:4">
      <c r="A59" s="297" t="s">
        <v>2483</v>
      </c>
      <c r="B59" s="297">
        <v>324</v>
      </c>
      <c r="C59" s="297">
        <v>0</v>
      </c>
      <c r="D59" s="296" t="s">
        <v>4644</v>
      </c>
    </row>
    <row r="60" spans="1:4">
      <c r="A60" s="297" t="s">
        <v>2484</v>
      </c>
      <c r="B60" s="297">
        <v>320</v>
      </c>
      <c r="C60" s="297">
        <v>2</v>
      </c>
      <c r="D60" s="296" t="s">
        <v>4645</v>
      </c>
    </row>
    <row r="61" spans="1:4">
      <c r="A61" s="297" t="s">
        <v>2485</v>
      </c>
      <c r="B61" s="297">
        <v>328</v>
      </c>
      <c r="C61" s="297">
        <v>2</v>
      </c>
      <c r="D61" s="296" t="s">
        <v>4646</v>
      </c>
    </row>
    <row r="62" spans="1:4">
      <c r="A62" s="297" t="s">
        <v>2486</v>
      </c>
      <c r="B62" s="297">
        <v>344</v>
      </c>
      <c r="C62" s="297">
        <v>2</v>
      </c>
      <c r="D62" s="296" t="s">
        <v>4647</v>
      </c>
    </row>
    <row r="63" spans="1:4">
      <c r="A63" s="297" t="s">
        <v>2487</v>
      </c>
      <c r="B63" s="297">
        <v>340</v>
      </c>
      <c r="C63" s="297">
        <v>2</v>
      </c>
      <c r="D63" s="296" t="s">
        <v>4648</v>
      </c>
    </row>
    <row r="64" spans="1:4">
      <c r="A64" s="297" t="s">
        <v>2488</v>
      </c>
      <c r="B64" s="297">
        <v>191</v>
      </c>
      <c r="C64" s="297">
        <v>2</v>
      </c>
      <c r="D64" s="296" t="s">
        <v>4649</v>
      </c>
    </row>
    <row r="65" spans="1:4">
      <c r="A65" s="297" t="s">
        <v>2489</v>
      </c>
      <c r="B65" s="297">
        <v>332</v>
      </c>
      <c r="C65" s="297">
        <v>2</v>
      </c>
      <c r="D65" s="296" t="s">
        <v>4650</v>
      </c>
    </row>
    <row r="66" spans="1:4">
      <c r="A66" s="297" t="s">
        <v>2490</v>
      </c>
      <c r="B66" s="297">
        <v>348</v>
      </c>
      <c r="C66" s="297">
        <v>2</v>
      </c>
      <c r="D66" s="296" t="s">
        <v>4651</v>
      </c>
    </row>
    <row r="67" spans="1:4">
      <c r="A67" s="297" t="s">
        <v>2492</v>
      </c>
      <c r="B67" s="297">
        <v>360</v>
      </c>
      <c r="C67" s="297">
        <v>2</v>
      </c>
      <c r="D67" s="296" t="s">
        <v>4652</v>
      </c>
    </row>
    <row r="68" spans="1:4">
      <c r="A68" s="297" t="s">
        <v>2493</v>
      </c>
      <c r="B68" s="297">
        <v>376</v>
      </c>
      <c r="C68" s="297">
        <v>2</v>
      </c>
      <c r="D68" s="296" t="s">
        <v>4653</v>
      </c>
    </row>
    <row r="69" spans="1:4">
      <c r="A69" s="297" t="s">
        <v>2494</v>
      </c>
      <c r="B69" s="297">
        <v>356</v>
      </c>
      <c r="C69" s="297">
        <v>2</v>
      </c>
      <c r="D69" s="296" t="s">
        <v>4654</v>
      </c>
    </row>
    <row r="70" spans="1:4">
      <c r="A70" s="297" t="s">
        <v>2495</v>
      </c>
      <c r="B70" s="297">
        <v>368</v>
      </c>
      <c r="C70" s="297">
        <v>3</v>
      </c>
      <c r="D70" s="296" t="s">
        <v>4655</v>
      </c>
    </row>
    <row r="71" spans="1:4">
      <c r="A71" s="297" t="s">
        <v>2497</v>
      </c>
      <c r="B71" s="297">
        <v>364</v>
      </c>
      <c r="C71" s="297">
        <v>2</v>
      </c>
      <c r="D71" s="296" t="s">
        <v>4656</v>
      </c>
    </row>
    <row r="72" spans="1:4">
      <c r="A72" s="297" t="s">
        <v>2498</v>
      </c>
      <c r="B72" s="297">
        <v>352</v>
      </c>
      <c r="C72" s="297">
        <v>0</v>
      </c>
      <c r="D72" s="296" t="s">
        <v>4657</v>
      </c>
    </row>
    <row r="73" spans="1:4">
      <c r="A73" s="297" t="s">
        <v>2499</v>
      </c>
      <c r="B73" s="297">
        <v>388</v>
      </c>
      <c r="C73" s="297">
        <v>2</v>
      </c>
      <c r="D73" s="296" t="s">
        <v>4658</v>
      </c>
    </row>
    <row r="74" spans="1:4">
      <c r="A74" s="297" t="s">
        <v>2501</v>
      </c>
      <c r="B74" s="297">
        <v>400</v>
      </c>
      <c r="C74" s="297">
        <v>3</v>
      </c>
      <c r="D74" s="296" t="s">
        <v>4659</v>
      </c>
    </row>
    <row r="75" spans="1:4">
      <c r="A75" s="297" t="s">
        <v>2503</v>
      </c>
      <c r="B75" s="297">
        <v>392</v>
      </c>
      <c r="C75" s="297">
        <v>0</v>
      </c>
      <c r="D75" s="296" t="s">
        <v>4660</v>
      </c>
    </row>
    <row r="76" spans="1:4">
      <c r="A76" s="297" t="s">
        <v>2504</v>
      </c>
      <c r="B76" s="297">
        <v>404</v>
      </c>
      <c r="C76" s="297">
        <v>2</v>
      </c>
      <c r="D76" s="296" t="s">
        <v>4661</v>
      </c>
    </row>
    <row r="77" spans="1:4">
      <c r="A77" s="297" t="s">
        <v>2505</v>
      </c>
      <c r="B77" s="297">
        <v>417</v>
      </c>
      <c r="C77" s="297">
        <v>2</v>
      </c>
      <c r="D77" s="296" t="s">
        <v>4662</v>
      </c>
    </row>
    <row r="78" spans="1:4">
      <c r="A78" s="297" t="s">
        <v>2507</v>
      </c>
      <c r="B78" s="297">
        <v>116</v>
      </c>
      <c r="C78" s="297">
        <v>2</v>
      </c>
      <c r="D78" s="296" t="s">
        <v>4663</v>
      </c>
    </row>
    <row r="79" spans="1:4">
      <c r="A79" s="297" t="s">
        <v>2509</v>
      </c>
      <c r="B79" s="297">
        <v>174</v>
      </c>
      <c r="C79" s="297">
        <v>0</v>
      </c>
      <c r="D79" s="296" t="s">
        <v>4664</v>
      </c>
    </row>
    <row r="80" spans="1:4">
      <c r="A80" s="297" t="s">
        <v>2510</v>
      </c>
      <c r="B80" s="297">
        <v>408</v>
      </c>
      <c r="C80" s="297">
        <v>2</v>
      </c>
      <c r="D80" s="296" t="s">
        <v>4665</v>
      </c>
    </row>
    <row r="81" spans="1:4">
      <c r="A81" s="297" t="s">
        <v>2512</v>
      </c>
      <c r="B81" s="297">
        <v>410</v>
      </c>
      <c r="C81" s="297">
        <v>0</v>
      </c>
      <c r="D81" s="296" t="s">
        <v>4666</v>
      </c>
    </row>
    <row r="82" spans="1:4">
      <c r="A82" s="297" t="s">
        <v>2513</v>
      </c>
      <c r="B82" s="297">
        <v>414</v>
      </c>
      <c r="C82" s="297">
        <v>3</v>
      </c>
      <c r="D82" s="296" t="s">
        <v>4667</v>
      </c>
    </row>
    <row r="83" spans="1:4">
      <c r="A83" s="297" t="s">
        <v>2514</v>
      </c>
      <c r="B83" s="297">
        <v>136</v>
      </c>
      <c r="C83" s="297">
        <v>2</v>
      </c>
      <c r="D83" s="296" t="s">
        <v>4668</v>
      </c>
    </row>
    <row r="84" spans="1:4">
      <c r="A84" s="297" t="s">
        <v>2515</v>
      </c>
      <c r="B84" s="297">
        <v>398</v>
      </c>
      <c r="C84" s="297">
        <v>2</v>
      </c>
      <c r="D84" s="296" t="s">
        <v>4669</v>
      </c>
    </row>
    <row r="85" spans="1:4">
      <c r="A85" s="297" t="s">
        <v>2516</v>
      </c>
      <c r="B85" s="297">
        <v>418</v>
      </c>
      <c r="C85" s="297">
        <v>2</v>
      </c>
      <c r="D85" s="296" t="s">
        <v>4670</v>
      </c>
    </row>
    <row r="86" spans="1:4">
      <c r="A86" s="297" t="s">
        <v>2517</v>
      </c>
      <c r="B86" s="297">
        <v>422</v>
      </c>
      <c r="C86" s="297">
        <v>2</v>
      </c>
      <c r="D86" s="296" t="s">
        <v>4671</v>
      </c>
    </row>
    <row r="87" spans="1:4">
      <c r="A87" s="297" t="s">
        <v>2519</v>
      </c>
      <c r="B87" s="297">
        <v>144</v>
      </c>
      <c r="C87" s="297">
        <v>2</v>
      </c>
      <c r="D87" s="296" t="s">
        <v>4672</v>
      </c>
    </row>
    <row r="88" spans="1:4">
      <c r="A88" s="297" t="s">
        <v>2520</v>
      </c>
      <c r="B88" s="297">
        <v>430</v>
      </c>
      <c r="C88" s="297">
        <v>2</v>
      </c>
      <c r="D88" s="296" t="s">
        <v>4673</v>
      </c>
    </row>
    <row r="89" spans="1:4">
      <c r="A89" s="297" t="s">
        <v>2522</v>
      </c>
      <c r="B89" s="297">
        <v>426</v>
      </c>
      <c r="C89" s="297">
        <v>2</v>
      </c>
      <c r="D89" s="296" t="s">
        <v>4674</v>
      </c>
    </row>
    <row r="90" spans="1:4">
      <c r="A90" s="297" t="s">
        <v>2523</v>
      </c>
      <c r="B90" s="297">
        <v>434</v>
      </c>
      <c r="C90" s="297">
        <v>3</v>
      </c>
      <c r="D90" s="296" t="s">
        <v>4675</v>
      </c>
    </row>
    <row r="91" spans="1:4">
      <c r="A91" s="297" t="s">
        <v>2524</v>
      </c>
      <c r="B91" s="297">
        <v>504</v>
      </c>
      <c r="C91" s="297">
        <v>2</v>
      </c>
      <c r="D91" s="296" t="s">
        <v>4676</v>
      </c>
    </row>
    <row r="92" spans="1:4">
      <c r="A92" s="297" t="s">
        <v>2525</v>
      </c>
      <c r="B92" s="297">
        <v>498</v>
      </c>
      <c r="C92" s="297">
        <v>2</v>
      </c>
      <c r="D92" s="296" t="s">
        <v>4677</v>
      </c>
    </row>
    <row r="93" spans="1:4">
      <c r="A93" s="297" t="s">
        <v>2526</v>
      </c>
      <c r="B93" s="297">
        <v>969</v>
      </c>
      <c r="C93" s="298" t="s">
        <v>4678</v>
      </c>
      <c r="D93" s="296" t="s">
        <v>4679</v>
      </c>
    </row>
    <row r="94" spans="1:4">
      <c r="A94" s="297" t="s">
        <v>2527</v>
      </c>
      <c r="B94" s="297">
        <v>807</v>
      </c>
      <c r="C94" s="297">
        <v>2</v>
      </c>
      <c r="D94" s="296" t="s">
        <v>4680</v>
      </c>
    </row>
    <row r="95" spans="1:4">
      <c r="A95" s="297" t="s">
        <v>2529</v>
      </c>
      <c r="B95" s="297">
        <v>104</v>
      </c>
      <c r="C95" s="297">
        <v>2</v>
      </c>
      <c r="D95" s="296" t="s">
        <v>4681</v>
      </c>
    </row>
    <row r="96" spans="1:4">
      <c r="A96" s="297" t="s">
        <v>2530</v>
      </c>
      <c r="B96" s="297">
        <v>496</v>
      </c>
      <c r="C96" s="297">
        <v>2</v>
      </c>
      <c r="D96" s="296" t="s">
        <v>4682</v>
      </c>
    </row>
    <row r="97" spans="1:4">
      <c r="A97" s="297" t="s">
        <v>2531</v>
      </c>
      <c r="B97" s="297">
        <v>446</v>
      </c>
      <c r="C97" s="297">
        <v>2</v>
      </c>
      <c r="D97" s="296" t="s">
        <v>4683</v>
      </c>
    </row>
    <row r="98" spans="1:4">
      <c r="A98" s="298" t="s">
        <v>4684</v>
      </c>
      <c r="B98" s="297">
        <v>929</v>
      </c>
      <c r="C98" s="298" t="s">
        <v>4678</v>
      </c>
      <c r="D98" s="296" t="s">
        <v>4685</v>
      </c>
    </row>
    <row r="99" spans="1:4">
      <c r="A99" s="297" t="s">
        <v>2532</v>
      </c>
      <c r="B99" s="297">
        <v>480</v>
      </c>
      <c r="C99" s="297">
        <v>2</v>
      </c>
      <c r="D99" s="296" t="s">
        <v>4686</v>
      </c>
    </row>
    <row r="100" spans="1:4">
      <c r="A100" s="297" t="s">
        <v>2534</v>
      </c>
      <c r="B100" s="297">
        <v>462</v>
      </c>
      <c r="C100" s="297">
        <v>2</v>
      </c>
      <c r="D100" s="296" t="s">
        <v>4687</v>
      </c>
    </row>
    <row r="101" spans="1:4">
      <c r="A101" s="297" t="s">
        <v>2535</v>
      </c>
      <c r="B101" s="297">
        <v>454</v>
      </c>
      <c r="C101" s="297">
        <v>2</v>
      </c>
      <c r="D101" s="296" t="s">
        <v>4688</v>
      </c>
    </row>
    <row r="102" spans="1:4">
      <c r="A102" s="297" t="s">
        <v>2536</v>
      </c>
      <c r="B102" s="297">
        <v>484</v>
      </c>
      <c r="C102" s="297">
        <v>2</v>
      </c>
      <c r="D102" s="296" t="s">
        <v>4689</v>
      </c>
    </row>
    <row r="103" spans="1:4">
      <c r="A103" s="297" t="s">
        <v>2537</v>
      </c>
      <c r="B103" s="297">
        <v>979</v>
      </c>
      <c r="C103" s="297">
        <v>2</v>
      </c>
      <c r="D103" s="296" t="s">
        <v>4690</v>
      </c>
    </row>
    <row r="104" spans="1:4">
      <c r="A104" s="297" t="s">
        <v>2538</v>
      </c>
      <c r="B104" s="297">
        <v>458</v>
      </c>
      <c r="C104" s="297">
        <v>2</v>
      </c>
      <c r="D104" s="296" t="s">
        <v>4691</v>
      </c>
    </row>
    <row r="105" spans="1:4">
      <c r="A105" s="297" t="s">
        <v>2539</v>
      </c>
      <c r="B105" s="297">
        <v>943</v>
      </c>
      <c r="C105" s="297">
        <v>2</v>
      </c>
      <c r="D105" s="296" t="s">
        <v>4692</v>
      </c>
    </row>
    <row r="106" spans="1:4">
      <c r="A106" s="297" t="s">
        <v>2540</v>
      </c>
      <c r="B106" s="297">
        <v>516</v>
      </c>
      <c r="C106" s="297">
        <v>2</v>
      </c>
      <c r="D106" s="296" t="s">
        <v>4693</v>
      </c>
    </row>
    <row r="107" spans="1:4">
      <c r="A107" s="297" t="s">
        <v>2541</v>
      </c>
      <c r="B107" s="297">
        <v>566</v>
      </c>
      <c r="C107" s="297">
        <v>2</v>
      </c>
      <c r="D107" s="296" t="s">
        <v>4694</v>
      </c>
    </row>
    <row r="108" spans="1:4">
      <c r="A108" s="297" t="s">
        <v>2542</v>
      </c>
      <c r="B108" s="297">
        <v>558</v>
      </c>
      <c r="C108" s="297">
        <v>2</v>
      </c>
      <c r="D108" s="296" t="s">
        <v>4695</v>
      </c>
    </row>
    <row r="109" spans="1:4">
      <c r="A109" s="297" t="s">
        <v>2544</v>
      </c>
      <c r="B109" s="297">
        <v>578</v>
      </c>
      <c r="C109" s="297">
        <v>2</v>
      </c>
      <c r="D109" s="296" t="s">
        <v>4696</v>
      </c>
    </row>
    <row r="110" spans="1:4">
      <c r="A110" s="297" t="s">
        <v>2547</v>
      </c>
      <c r="B110" s="297">
        <v>524</v>
      </c>
      <c r="C110" s="297">
        <v>2</v>
      </c>
      <c r="D110" s="296" t="s">
        <v>4697</v>
      </c>
    </row>
    <row r="111" spans="1:4">
      <c r="A111" s="297" t="s">
        <v>2548</v>
      </c>
      <c r="B111" s="297">
        <v>554</v>
      </c>
      <c r="C111" s="297">
        <v>2</v>
      </c>
      <c r="D111" s="296" t="s">
        <v>4698</v>
      </c>
    </row>
    <row r="112" spans="1:4">
      <c r="A112" s="297" t="s">
        <v>2549</v>
      </c>
      <c r="B112" s="297">
        <v>512</v>
      </c>
      <c r="C112" s="297">
        <v>3</v>
      </c>
      <c r="D112" s="296" t="s">
        <v>4699</v>
      </c>
    </row>
    <row r="113" spans="1:4">
      <c r="A113" s="297" t="s">
        <v>2551</v>
      </c>
      <c r="B113" s="297">
        <v>590</v>
      </c>
      <c r="C113" s="297">
        <v>2</v>
      </c>
      <c r="D113" s="296" t="s">
        <v>4700</v>
      </c>
    </row>
    <row r="114" spans="1:4">
      <c r="A114" s="297" t="s">
        <v>2552</v>
      </c>
      <c r="B114" s="297">
        <v>604</v>
      </c>
      <c r="C114" s="297">
        <v>2</v>
      </c>
      <c r="D114" s="296" t="s">
        <v>4701</v>
      </c>
    </row>
    <row r="115" spans="1:4">
      <c r="A115" s="297" t="s">
        <v>2553</v>
      </c>
      <c r="B115" s="297">
        <v>598</v>
      </c>
      <c r="C115" s="297">
        <v>2</v>
      </c>
      <c r="D115" s="296" t="s">
        <v>4702</v>
      </c>
    </row>
    <row r="116" spans="1:4">
      <c r="A116" s="297" t="s">
        <v>2554</v>
      </c>
      <c r="B116" s="297">
        <v>608</v>
      </c>
      <c r="C116" s="297">
        <v>2</v>
      </c>
      <c r="D116" s="296" t="s">
        <v>4703</v>
      </c>
    </row>
    <row r="117" spans="1:4">
      <c r="A117" s="297" t="s">
        <v>2555</v>
      </c>
      <c r="B117" s="297">
        <v>586</v>
      </c>
      <c r="C117" s="297">
        <v>2</v>
      </c>
      <c r="D117" s="296" t="s">
        <v>4704</v>
      </c>
    </row>
    <row r="118" spans="1:4">
      <c r="A118" s="297" t="s">
        <v>2556</v>
      </c>
      <c r="B118" s="297">
        <v>985</v>
      </c>
      <c r="C118" s="297">
        <v>2</v>
      </c>
      <c r="D118" s="296" t="s">
        <v>4705</v>
      </c>
    </row>
    <row r="119" spans="1:4">
      <c r="A119" s="297" t="s">
        <v>2557</v>
      </c>
      <c r="B119" s="297">
        <v>600</v>
      </c>
      <c r="C119" s="297">
        <v>0</v>
      </c>
      <c r="D119" s="296" t="s">
        <v>4706</v>
      </c>
    </row>
    <row r="120" spans="1:4">
      <c r="A120" s="297" t="s">
        <v>2558</v>
      </c>
      <c r="B120" s="297">
        <v>634</v>
      </c>
      <c r="C120" s="297">
        <v>2</v>
      </c>
      <c r="D120" s="296" t="s">
        <v>4707</v>
      </c>
    </row>
    <row r="121" spans="1:4">
      <c r="A121" s="297" t="s">
        <v>2559</v>
      </c>
      <c r="B121" s="297">
        <v>946</v>
      </c>
      <c r="C121" s="297">
        <v>2</v>
      </c>
      <c r="D121" s="296" t="s">
        <v>4708</v>
      </c>
    </row>
    <row r="122" spans="1:4">
      <c r="A122" s="297" t="s">
        <v>2560</v>
      </c>
      <c r="B122" s="297">
        <v>941</v>
      </c>
      <c r="C122" s="297">
        <v>2</v>
      </c>
      <c r="D122" s="296" t="s">
        <v>4709</v>
      </c>
    </row>
    <row r="123" spans="1:4">
      <c r="A123" s="297" t="s">
        <v>2562</v>
      </c>
      <c r="B123" s="297">
        <v>643</v>
      </c>
      <c r="C123" s="297">
        <v>2</v>
      </c>
      <c r="D123" s="296" t="s">
        <v>4710</v>
      </c>
    </row>
    <row r="124" spans="1:4">
      <c r="A124" s="297" t="s">
        <v>2563</v>
      </c>
      <c r="B124" s="297">
        <v>646</v>
      </c>
      <c r="C124" s="297">
        <v>0</v>
      </c>
      <c r="D124" s="296" t="s">
        <v>4711</v>
      </c>
    </row>
    <row r="125" spans="1:4">
      <c r="A125" s="297" t="s">
        <v>2564</v>
      </c>
      <c r="B125" s="297">
        <v>682</v>
      </c>
      <c r="C125" s="297">
        <v>2</v>
      </c>
      <c r="D125" s="296" t="s">
        <v>4712</v>
      </c>
    </row>
    <row r="126" spans="1:4">
      <c r="A126" s="297" t="s">
        <v>2565</v>
      </c>
      <c r="B126" s="297">
        <v>90</v>
      </c>
      <c r="C126" s="297">
        <v>2</v>
      </c>
      <c r="D126" s="296" t="s">
        <v>4713</v>
      </c>
    </row>
    <row r="127" spans="1:4">
      <c r="A127" s="297" t="s">
        <v>2566</v>
      </c>
      <c r="B127" s="297">
        <v>690</v>
      </c>
      <c r="C127" s="297">
        <v>2</v>
      </c>
      <c r="D127" s="296" t="s">
        <v>4714</v>
      </c>
    </row>
    <row r="128" spans="1:4">
      <c r="A128" s="297" t="s">
        <v>2568</v>
      </c>
      <c r="B128" s="297">
        <v>938</v>
      </c>
      <c r="C128" s="297">
        <v>2</v>
      </c>
      <c r="D128" s="296" t="s">
        <v>4715</v>
      </c>
    </row>
    <row r="129" spans="1:4">
      <c r="A129" s="297" t="s">
        <v>2569</v>
      </c>
      <c r="B129" s="297">
        <v>752</v>
      </c>
      <c r="C129" s="297">
        <v>2</v>
      </c>
      <c r="D129" s="296" t="s">
        <v>4716</v>
      </c>
    </row>
    <row r="130" spans="1:4">
      <c r="A130" s="297" t="s">
        <v>2571</v>
      </c>
      <c r="B130" s="297">
        <v>702</v>
      </c>
      <c r="C130" s="297">
        <v>2</v>
      </c>
      <c r="D130" s="296" t="s">
        <v>4717</v>
      </c>
    </row>
    <row r="131" spans="1:4">
      <c r="A131" s="297" t="s">
        <v>2572</v>
      </c>
      <c r="B131" s="297">
        <v>654</v>
      </c>
      <c r="C131" s="297">
        <v>2</v>
      </c>
      <c r="D131" s="296" t="s">
        <v>4718</v>
      </c>
    </row>
    <row r="132" spans="1:4">
      <c r="A132" s="297" t="s">
        <v>2573</v>
      </c>
      <c r="B132" s="297">
        <v>694</v>
      </c>
      <c r="C132" s="297">
        <v>2</v>
      </c>
      <c r="D132" s="296" t="s">
        <v>4719</v>
      </c>
    </row>
    <row r="133" spans="1:4">
      <c r="A133" s="297" t="s">
        <v>2574</v>
      </c>
      <c r="B133" s="297">
        <v>706</v>
      </c>
      <c r="C133" s="297">
        <v>2</v>
      </c>
      <c r="D133" s="296" t="s">
        <v>4720</v>
      </c>
    </row>
    <row r="134" spans="1:4">
      <c r="A134" s="297" t="s">
        <v>2575</v>
      </c>
      <c r="B134" s="297">
        <v>968</v>
      </c>
      <c r="C134" s="297">
        <v>2</v>
      </c>
      <c r="D134" s="296" t="s">
        <v>4721</v>
      </c>
    </row>
    <row r="135" spans="1:4">
      <c r="A135" s="297" t="s">
        <v>2576</v>
      </c>
      <c r="B135" s="297">
        <v>728</v>
      </c>
      <c r="C135" s="297">
        <v>2</v>
      </c>
      <c r="D135" s="296" t="s">
        <v>4722</v>
      </c>
    </row>
    <row r="136" spans="1:4">
      <c r="A136" s="298" t="s">
        <v>4723</v>
      </c>
      <c r="B136" s="297">
        <v>930</v>
      </c>
      <c r="C136" s="297">
        <v>2</v>
      </c>
      <c r="D136" s="296" t="s">
        <v>4724</v>
      </c>
    </row>
    <row r="137" spans="1:4">
      <c r="A137" s="297" t="s">
        <v>2578</v>
      </c>
      <c r="B137" s="297">
        <v>222</v>
      </c>
      <c r="C137" s="297">
        <v>2</v>
      </c>
      <c r="D137" s="296" t="s">
        <v>4725</v>
      </c>
    </row>
    <row r="138" spans="1:4">
      <c r="A138" s="297" t="s">
        <v>2579</v>
      </c>
      <c r="B138" s="297">
        <v>760</v>
      </c>
      <c r="C138" s="297">
        <v>2</v>
      </c>
      <c r="D138" s="296" t="s">
        <v>4726</v>
      </c>
    </row>
    <row r="139" spans="1:4">
      <c r="A139" s="297" t="s">
        <v>2580</v>
      </c>
      <c r="B139" s="297">
        <v>748</v>
      </c>
      <c r="C139" s="297">
        <v>2</v>
      </c>
      <c r="D139" s="296" t="s">
        <v>4727</v>
      </c>
    </row>
    <row r="140" spans="1:4">
      <c r="A140" s="297" t="s">
        <v>2581</v>
      </c>
      <c r="B140" s="297">
        <v>764</v>
      </c>
      <c r="C140" s="297">
        <v>2</v>
      </c>
      <c r="D140" s="296" t="s">
        <v>4728</v>
      </c>
    </row>
    <row r="141" spans="1:4">
      <c r="A141" s="297" t="s">
        <v>2583</v>
      </c>
      <c r="B141" s="297">
        <v>972</v>
      </c>
      <c r="C141" s="297">
        <v>2</v>
      </c>
      <c r="D141" s="296" t="s">
        <v>4729</v>
      </c>
    </row>
    <row r="142" spans="1:4">
      <c r="A142" s="297" t="s">
        <v>2585</v>
      </c>
      <c r="B142" s="297">
        <v>934</v>
      </c>
      <c r="C142" s="297">
        <v>2</v>
      </c>
      <c r="D142" s="296" t="s">
        <v>4730</v>
      </c>
    </row>
    <row r="143" spans="1:4">
      <c r="A143" s="297" t="s">
        <v>2586</v>
      </c>
      <c r="B143" s="297">
        <v>788</v>
      </c>
      <c r="C143" s="297">
        <v>3</v>
      </c>
      <c r="D143" s="296" t="s">
        <v>4731</v>
      </c>
    </row>
    <row r="144" spans="1:4">
      <c r="A144" s="297" t="s">
        <v>2587</v>
      </c>
      <c r="B144" s="297">
        <v>776</v>
      </c>
      <c r="C144" s="297">
        <v>2</v>
      </c>
      <c r="D144" s="296" t="s">
        <v>4732</v>
      </c>
    </row>
    <row r="145" spans="1:4">
      <c r="A145" s="297" t="s">
        <v>2588</v>
      </c>
      <c r="B145" s="297">
        <v>949</v>
      </c>
      <c r="C145" s="297">
        <v>2</v>
      </c>
      <c r="D145" s="296" t="s">
        <v>4733</v>
      </c>
    </row>
    <row r="146" spans="1:4">
      <c r="A146" s="297" t="s">
        <v>2589</v>
      </c>
      <c r="B146" s="297">
        <v>780</v>
      </c>
      <c r="C146" s="297">
        <v>2</v>
      </c>
      <c r="D146" s="296" t="s">
        <v>4734</v>
      </c>
    </row>
    <row r="147" spans="1:4">
      <c r="A147" s="297" t="s">
        <v>2590</v>
      </c>
      <c r="B147" s="297">
        <v>901</v>
      </c>
      <c r="C147" s="297">
        <v>2</v>
      </c>
      <c r="D147" s="296" t="s">
        <v>4735</v>
      </c>
    </row>
    <row r="148" spans="1:4">
      <c r="A148" s="297" t="s">
        <v>2592</v>
      </c>
      <c r="B148" s="297">
        <v>834</v>
      </c>
      <c r="C148" s="297">
        <v>2</v>
      </c>
      <c r="D148" s="296" t="s">
        <v>4736</v>
      </c>
    </row>
    <row r="149" spans="1:4">
      <c r="A149" s="297" t="s">
        <v>2593</v>
      </c>
      <c r="B149" s="297">
        <v>980</v>
      </c>
      <c r="C149" s="297">
        <v>2</v>
      </c>
      <c r="D149" s="296" t="s">
        <v>4737</v>
      </c>
    </row>
    <row r="150" spans="1:4">
      <c r="A150" s="297" t="s">
        <v>2595</v>
      </c>
      <c r="B150" s="297">
        <v>800</v>
      </c>
      <c r="C150" s="297">
        <v>0</v>
      </c>
      <c r="D150" s="296" t="s">
        <v>4738</v>
      </c>
    </row>
    <row r="151" spans="1:4">
      <c r="A151" s="297" t="s">
        <v>2596</v>
      </c>
      <c r="B151" s="297">
        <v>997</v>
      </c>
      <c r="C151" s="297">
        <v>2</v>
      </c>
      <c r="D151" s="297" t="s">
        <v>4739</v>
      </c>
    </row>
    <row r="152" spans="1:4">
      <c r="A152" s="297" t="s">
        <v>2598</v>
      </c>
      <c r="B152" s="297">
        <v>940</v>
      </c>
      <c r="C152" s="297">
        <v>0</v>
      </c>
      <c r="D152" s="297" t="s">
        <v>4740</v>
      </c>
    </row>
    <row r="153" spans="1:4">
      <c r="A153" s="297" t="s">
        <v>2599</v>
      </c>
      <c r="B153" s="297">
        <v>858</v>
      </c>
      <c r="C153" s="297">
        <v>2</v>
      </c>
      <c r="D153" s="296" t="s">
        <v>4741</v>
      </c>
    </row>
    <row r="154" spans="1:4">
      <c r="A154" s="297" t="s">
        <v>2601</v>
      </c>
      <c r="B154" s="297">
        <v>927</v>
      </c>
      <c r="C154" s="297">
        <v>4</v>
      </c>
      <c r="D154" s="298" t="s">
        <v>4742</v>
      </c>
    </row>
    <row r="155" spans="1:4">
      <c r="A155" s="297" t="s">
        <v>2602</v>
      </c>
      <c r="B155" s="297">
        <v>860</v>
      </c>
      <c r="C155" s="297">
        <v>2</v>
      </c>
      <c r="D155" s="296" t="s">
        <v>4743</v>
      </c>
    </row>
    <row r="156" spans="1:4">
      <c r="A156" s="297" t="s">
        <v>2603</v>
      </c>
      <c r="B156" s="297">
        <v>928</v>
      </c>
      <c r="C156" s="297">
        <v>2</v>
      </c>
      <c r="D156" s="296" t="s">
        <v>4744</v>
      </c>
    </row>
    <row r="157" spans="1:4">
      <c r="A157" s="297" t="s">
        <v>2604</v>
      </c>
      <c r="B157" s="297">
        <v>704</v>
      </c>
      <c r="C157" s="297">
        <v>0</v>
      </c>
      <c r="D157" s="296" t="s">
        <v>4745</v>
      </c>
    </row>
    <row r="158" spans="1:4">
      <c r="A158" s="297" t="s">
        <v>2605</v>
      </c>
      <c r="B158" s="297">
        <v>548</v>
      </c>
      <c r="C158" s="297">
        <v>0</v>
      </c>
      <c r="D158" s="296" t="s">
        <v>4746</v>
      </c>
    </row>
    <row r="159" spans="1:4">
      <c r="A159" s="297" t="s">
        <v>2607</v>
      </c>
      <c r="B159" s="297">
        <v>882</v>
      </c>
      <c r="C159" s="297">
        <v>2</v>
      </c>
      <c r="D159" s="296" t="s">
        <v>4747</v>
      </c>
    </row>
    <row r="160" spans="1:4">
      <c r="A160" s="297" t="s">
        <v>2608</v>
      </c>
      <c r="B160" s="297">
        <v>950</v>
      </c>
      <c r="C160" s="297">
        <v>0</v>
      </c>
      <c r="D160" s="296" t="s">
        <v>4748</v>
      </c>
    </row>
    <row r="161" spans="1:4">
      <c r="A161" s="297" t="s">
        <v>2609</v>
      </c>
      <c r="B161" s="297">
        <v>961</v>
      </c>
      <c r="C161" s="297" t="s">
        <v>4749</v>
      </c>
      <c r="D161" s="296" t="s">
        <v>4750</v>
      </c>
    </row>
    <row r="162" spans="1:4">
      <c r="A162" s="297" t="s">
        <v>2611</v>
      </c>
      <c r="B162" s="297">
        <v>959</v>
      </c>
      <c r="C162" s="297" t="s">
        <v>4749</v>
      </c>
      <c r="D162" s="296" t="s">
        <v>4751</v>
      </c>
    </row>
    <row r="163" spans="1:4">
      <c r="A163" s="297" t="s">
        <v>2612</v>
      </c>
      <c r="B163" s="297">
        <v>955</v>
      </c>
      <c r="C163" s="297" t="s">
        <v>4749</v>
      </c>
      <c r="D163" s="296" t="s">
        <v>4752</v>
      </c>
    </row>
    <row r="164" spans="1:4">
      <c r="A164" s="297" t="s">
        <v>2614</v>
      </c>
      <c r="B164" s="297">
        <v>956</v>
      </c>
      <c r="C164" s="297" t="s">
        <v>4749</v>
      </c>
      <c r="D164" s="296" t="s">
        <v>4753</v>
      </c>
    </row>
    <row r="165" spans="1:4">
      <c r="A165" s="297" t="s">
        <v>2615</v>
      </c>
      <c r="B165" s="297">
        <v>957</v>
      </c>
      <c r="C165" s="297" t="s">
        <v>4749</v>
      </c>
      <c r="D165" s="296" t="s">
        <v>4754</v>
      </c>
    </row>
    <row r="166" spans="1:4">
      <c r="A166" s="297" t="s">
        <v>2617</v>
      </c>
      <c r="B166" s="297">
        <v>958</v>
      </c>
      <c r="C166" s="297" t="s">
        <v>4749</v>
      </c>
      <c r="D166" s="296" t="s">
        <v>4755</v>
      </c>
    </row>
    <row r="167" spans="1:4">
      <c r="A167" s="297" t="s">
        <v>2618</v>
      </c>
      <c r="B167" s="297">
        <v>951</v>
      </c>
      <c r="C167" s="297">
        <v>2</v>
      </c>
      <c r="D167" s="296" t="s">
        <v>4756</v>
      </c>
    </row>
    <row r="168" spans="1:4">
      <c r="A168" s="297" t="s">
        <v>2619</v>
      </c>
      <c r="B168" s="297">
        <v>960</v>
      </c>
      <c r="C168" s="297" t="s">
        <v>4749</v>
      </c>
      <c r="D168" s="296" t="s">
        <v>4757</v>
      </c>
    </row>
    <row r="169" spans="1:4">
      <c r="A169" s="297" t="s">
        <v>2620</v>
      </c>
      <c r="B169" s="297">
        <v>952</v>
      </c>
      <c r="C169" s="297">
        <v>0</v>
      </c>
      <c r="D169" s="296" t="s">
        <v>4758</v>
      </c>
    </row>
    <row r="170" spans="1:4">
      <c r="A170" s="297" t="s">
        <v>2622</v>
      </c>
      <c r="B170" s="297">
        <v>964</v>
      </c>
      <c r="C170" s="297" t="s">
        <v>4749</v>
      </c>
      <c r="D170" s="296" t="s">
        <v>4759</v>
      </c>
    </row>
    <row r="171" spans="1:4">
      <c r="A171" s="297" t="s">
        <v>2623</v>
      </c>
      <c r="B171" s="297">
        <v>953</v>
      </c>
      <c r="C171" s="297">
        <v>0</v>
      </c>
      <c r="D171" s="296" t="s">
        <v>4760</v>
      </c>
    </row>
    <row r="172" spans="1:4">
      <c r="A172" s="297" t="s">
        <v>2624</v>
      </c>
      <c r="B172" s="297">
        <v>962</v>
      </c>
      <c r="C172" s="297" t="s">
        <v>4749</v>
      </c>
      <c r="D172" s="296" t="s">
        <v>4761</v>
      </c>
    </row>
    <row r="173" spans="1:4">
      <c r="A173" s="297" t="s">
        <v>2626</v>
      </c>
      <c r="B173" s="297">
        <v>994</v>
      </c>
      <c r="C173" s="297" t="s">
        <v>4749</v>
      </c>
      <c r="D173" s="296" t="s">
        <v>4762</v>
      </c>
    </row>
    <row r="174" spans="1:4">
      <c r="A174" s="297" t="s">
        <v>2627</v>
      </c>
      <c r="B174" s="297">
        <v>963</v>
      </c>
      <c r="C174" s="297" t="s">
        <v>4749</v>
      </c>
      <c r="D174" s="297" t="s">
        <v>4763</v>
      </c>
    </row>
    <row r="175" spans="1:4">
      <c r="A175" s="297" t="s">
        <v>2628</v>
      </c>
      <c r="B175" s="297">
        <v>965</v>
      </c>
      <c r="C175" s="297" t="s">
        <v>4749</v>
      </c>
      <c r="D175" s="296" t="s">
        <v>4764</v>
      </c>
    </row>
    <row r="176" spans="1:4">
      <c r="A176" s="297" t="s">
        <v>2629</v>
      </c>
      <c r="B176" s="297">
        <v>999</v>
      </c>
      <c r="C176" s="297" t="s">
        <v>4749</v>
      </c>
      <c r="D176" s="297" t="s">
        <v>4765</v>
      </c>
    </row>
    <row r="177" spans="1:4">
      <c r="A177" s="297" t="s">
        <v>2631</v>
      </c>
      <c r="B177" s="297">
        <v>886</v>
      </c>
      <c r="C177" s="297">
        <v>2</v>
      </c>
      <c r="D177" s="296" t="s">
        <v>4766</v>
      </c>
    </row>
    <row r="178" spans="1:4">
      <c r="A178" s="297" t="s">
        <v>2632</v>
      </c>
      <c r="B178" s="297">
        <v>710</v>
      </c>
      <c r="C178" s="297">
        <v>2</v>
      </c>
      <c r="D178" s="296" t="s">
        <v>4767</v>
      </c>
    </row>
    <row r="179" spans="1:4">
      <c r="A179" s="297" t="s">
        <v>2633</v>
      </c>
      <c r="B179" s="297">
        <v>967</v>
      </c>
      <c r="C179" s="297">
        <v>2</v>
      </c>
      <c r="D179" s="296" t="s">
        <v>4768</v>
      </c>
    </row>
    <row r="180" spans="1:4">
      <c r="A180" s="297" t="s">
        <v>2635</v>
      </c>
      <c r="B180" s="297">
        <v>932</v>
      </c>
      <c r="C180" s="297">
        <v>2</v>
      </c>
      <c r="D180" s="296" t="s">
        <v>4769</v>
      </c>
    </row>
  </sheetData>
  <autoFilter ref="A1:D180" xr:uid="{00000000-0009-0000-0000-000015000000}"/>
  <hyperlinks>
    <hyperlink ref="D2" r:id="rId1" xr:uid="{00000000-0004-0000-1500-000000000000}"/>
    <hyperlink ref="D3" r:id="rId2" xr:uid="{00000000-0004-0000-1500-000001000000}"/>
    <hyperlink ref="D4" r:id="rId3" xr:uid="{00000000-0004-0000-1500-000002000000}"/>
    <hyperlink ref="D5" r:id="rId4" xr:uid="{00000000-0004-0000-1500-000003000000}"/>
    <hyperlink ref="D6" r:id="rId5" xr:uid="{00000000-0004-0000-1500-000004000000}"/>
    <hyperlink ref="D7" r:id="rId6" xr:uid="{00000000-0004-0000-1500-000005000000}"/>
    <hyperlink ref="D8" r:id="rId7" xr:uid="{00000000-0004-0000-1500-000006000000}"/>
    <hyperlink ref="D9" r:id="rId8" xr:uid="{00000000-0004-0000-1500-000007000000}"/>
    <hyperlink ref="D10" r:id="rId9" xr:uid="{00000000-0004-0000-1500-000008000000}"/>
    <hyperlink ref="D11" r:id="rId10" xr:uid="{00000000-0004-0000-1500-000009000000}"/>
    <hyperlink ref="D12" r:id="rId11" xr:uid="{00000000-0004-0000-1500-00000A000000}"/>
    <hyperlink ref="D13" r:id="rId12" xr:uid="{00000000-0004-0000-1500-00000B000000}"/>
    <hyperlink ref="D14" r:id="rId13" xr:uid="{00000000-0004-0000-1500-00000C000000}"/>
    <hyperlink ref="D15" r:id="rId14" xr:uid="{00000000-0004-0000-1500-00000D000000}"/>
    <hyperlink ref="D16" r:id="rId15" xr:uid="{00000000-0004-0000-1500-00000E000000}"/>
    <hyperlink ref="D17" r:id="rId16" xr:uid="{00000000-0004-0000-1500-00000F000000}"/>
    <hyperlink ref="D18" r:id="rId17" xr:uid="{00000000-0004-0000-1500-000010000000}"/>
    <hyperlink ref="D19" r:id="rId18" xr:uid="{00000000-0004-0000-1500-000011000000}"/>
    <hyperlink ref="D20" r:id="rId19" xr:uid="{00000000-0004-0000-1500-000012000000}"/>
    <hyperlink ref="D21" r:id="rId20" xr:uid="{00000000-0004-0000-1500-000013000000}"/>
    <hyperlink ref="D22" r:id="rId21" xr:uid="{00000000-0004-0000-1500-000014000000}"/>
    <hyperlink ref="D23" r:id="rId22" xr:uid="{00000000-0004-0000-1500-000015000000}"/>
    <hyperlink ref="D24" r:id="rId23" xr:uid="{00000000-0004-0000-1500-000016000000}"/>
    <hyperlink ref="D26" r:id="rId24" xr:uid="{00000000-0004-0000-1500-000017000000}"/>
    <hyperlink ref="D27" r:id="rId25" xr:uid="{00000000-0004-0000-1500-000018000000}"/>
    <hyperlink ref="D28" r:id="rId26" xr:uid="{00000000-0004-0000-1500-000019000000}"/>
    <hyperlink ref="D29" r:id="rId27" xr:uid="{00000000-0004-0000-1500-00001A000000}"/>
    <hyperlink ref="D30" r:id="rId28" xr:uid="{00000000-0004-0000-1500-00001B000000}"/>
    <hyperlink ref="D31" r:id="rId29" xr:uid="{00000000-0004-0000-1500-00001C000000}"/>
    <hyperlink ref="D32" r:id="rId30" xr:uid="{00000000-0004-0000-1500-00001D000000}"/>
    <hyperlink ref="D33" r:id="rId31" xr:uid="{00000000-0004-0000-1500-00001E000000}"/>
    <hyperlink ref="D34" r:id="rId32" xr:uid="{00000000-0004-0000-1500-00001F000000}"/>
    <hyperlink ref="D35" r:id="rId33" xr:uid="{00000000-0004-0000-1500-000020000000}"/>
    <hyperlink ref="D36" r:id="rId34" xr:uid="{00000000-0004-0000-1500-000021000000}"/>
    <hyperlink ref="D37" r:id="rId35" xr:uid="{00000000-0004-0000-1500-000022000000}"/>
    <hyperlink ref="D38" r:id="rId36" xr:uid="{00000000-0004-0000-1500-000023000000}"/>
    <hyperlink ref="D39" r:id="rId37" xr:uid="{00000000-0004-0000-1500-000024000000}"/>
    <hyperlink ref="C40" r:id="rId38" location="cite_note-uvr_brc-11" xr:uid="{00000000-0004-0000-1500-000025000000}"/>
    <hyperlink ref="D40" r:id="rId39" location="cite_note-uvr_brc-11" xr:uid="{00000000-0004-0000-1500-000026000000}"/>
    <hyperlink ref="D41" r:id="rId40" xr:uid="{00000000-0004-0000-1500-000027000000}"/>
    <hyperlink ref="D42" r:id="rId41" xr:uid="{00000000-0004-0000-1500-000028000000}"/>
    <hyperlink ref="D43" r:id="rId42" xr:uid="{00000000-0004-0000-1500-000029000000}"/>
    <hyperlink ref="D44" r:id="rId43" xr:uid="{00000000-0004-0000-1500-00002A000000}"/>
    <hyperlink ref="D45" r:id="rId44" xr:uid="{00000000-0004-0000-1500-00002B000000}"/>
    <hyperlink ref="D46" r:id="rId45" xr:uid="{00000000-0004-0000-1500-00002C000000}"/>
    <hyperlink ref="D47" r:id="rId46" xr:uid="{00000000-0004-0000-1500-00002D000000}"/>
    <hyperlink ref="D48" r:id="rId47" xr:uid="{00000000-0004-0000-1500-00002E000000}"/>
    <hyperlink ref="D49" r:id="rId48" xr:uid="{00000000-0004-0000-1500-00002F000000}"/>
    <hyperlink ref="D50" r:id="rId49" xr:uid="{00000000-0004-0000-1500-000030000000}"/>
    <hyperlink ref="D51" r:id="rId50" xr:uid="{00000000-0004-0000-1500-000031000000}"/>
    <hyperlink ref="D52" r:id="rId51" xr:uid="{00000000-0004-0000-1500-000032000000}"/>
    <hyperlink ref="D53" r:id="rId52" xr:uid="{00000000-0004-0000-1500-000033000000}"/>
    <hyperlink ref="D54" r:id="rId53" xr:uid="{00000000-0004-0000-1500-000034000000}"/>
    <hyperlink ref="D55" r:id="rId54" xr:uid="{00000000-0004-0000-1500-000035000000}"/>
    <hyperlink ref="D56" r:id="rId55" xr:uid="{00000000-0004-0000-1500-000036000000}"/>
    <hyperlink ref="D57" r:id="rId56" xr:uid="{00000000-0004-0000-1500-000037000000}"/>
    <hyperlink ref="D58" r:id="rId57" xr:uid="{00000000-0004-0000-1500-000038000000}"/>
    <hyperlink ref="D59" r:id="rId58" xr:uid="{00000000-0004-0000-1500-000039000000}"/>
    <hyperlink ref="D60" r:id="rId59" xr:uid="{00000000-0004-0000-1500-00003A000000}"/>
    <hyperlink ref="D61" r:id="rId60" xr:uid="{00000000-0004-0000-1500-00003B000000}"/>
    <hyperlink ref="D62" r:id="rId61" xr:uid="{00000000-0004-0000-1500-00003C000000}"/>
    <hyperlink ref="D63" r:id="rId62" xr:uid="{00000000-0004-0000-1500-00003D000000}"/>
    <hyperlink ref="D64" r:id="rId63" xr:uid="{00000000-0004-0000-1500-00003E000000}"/>
    <hyperlink ref="D65" r:id="rId64" xr:uid="{00000000-0004-0000-1500-00003F000000}"/>
    <hyperlink ref="D66" r:id="rId65" xr:uid="{00000000-0004-0000-1500-000040000000}"/>
    <hyperlink ref="D67" r:id="rId66" xr:uid="{00000000-0004-0000-1500-000041000000}"/>
    <hyperlink ref="D68" r:id="rId67" xr:uid="{00000000-0004-0000-1500-000042000000}"/>
    <hyperlink ref="D69" r:id="rId68" xr:uid="{00000000-0004-0000-1500-000043000000}"/>
    <hyperlink ref="D70" r:id="rId69" xr:uid="{00000000-0004-0000-1500-000044000000}"/>
    <hyperlink ref="D71" r:id="rId70" xr:uid="{00000000-0004-0000-1500-000045000000}"/>
    <hyperlink ref="D72" r:id="rId71" xr:uid="{00000000-0004-0000-1500-000046000000}"/>
    <hyperlink ref="D73" r:id="rId72" xr:uid="{00000000-0004-0000-1500-000047000000}"/>
    <hyperlink ref="D74" r:id="rId73" xr:uid="{00000000-0004-0000-1500-000048000000}"/>
    <hyperlink ref="D75" r:id="rId74" xr:uid="{00000000-0004-0000-1500-000049000000}"/>
    <hyperlink ref="D76" r:id="rId75" xr:uid="{00000000-0004-0000-1500-00004A000000}"/>
    <hyperlink ref="D77" r:id="rId76" xr:uid="{00000000-0004-0000-1500-00004B000000}"/>
    <hyperlink ref="D78" r:id="rId77" xr:uid="{00000000-0004-0000-1500-00004C000000}"/>
    <hyperlink ref="D79" r:id="rId78" xr:uid="{00000000-0004-0000-1500-00004D000000}"/>
    <hyperlink ref="D80" r:id="rId79" xr:uid="{00000000-0004-0000-1500-00004E000000}"/>
    <hyperlink ref="D81" r:id="rId80" xr:uid="{00000000-0004-0000-1500-00004F000000}"/>
    <hyperlink ref="D82" r:id="rId81" xr:uid="{00000000-0004-0000-1500-000050000000}"/>
    <hyperlink ref="D83" r:id="rId82" xr:uid="{00000000-0004-0000-1500-000051000000}"/>
    <hyperlink ref="D84" r:id="rId83" xr:uid="{00000000-0004-0000-1500-000052000000}"/>
    <hyperlink ref="D85" r:id="rId84" xr:uid="{00000000-0004-0000-1500-000053000000}"/>
    <hyperlink ref="D86" r:id="rId85" xr:uid="{00000000-0004-0000-1500-000054000000}"/>
    <hyperlink ref="D87" r:id="rId86" xr:uid="{00000000-0004-0000-1500-000055000000}"/>
    <hyperlink ref="D88" r:id="rId87" xr:uid="{00000000-0004-0000-1500-000056000000}"/>
    <hyperlink ref="D89" r:id="rId88" xr:uid="{00000000-0004-0000-1500-000057000000}"/>
    <hyperlink ref="D90" r:id="rId89" xr:uid="{00000000-0004-0000-1500-000058000000}"/>
    <hyperlink ref="D91" r:id="rId90" xr:uid="{00000000-0004-0000-1500-000059000000}"/>
    <hyperlink ref="D92" r:id="rId91" xr:uid="{00000000-0004-0000-1500-00005A000000}"/>
    <hyperlink ref="C93" r:id="rId92" location="cite_note-divby5-13" xr:uid="{00000000-0004-0000-1500-00005B000000}"/>
    <hyperlink ref="D93" r:id="rId93" xr:uid="{00000000-0004-0000-1500-00005C000000}"/>
    <hyperlink ref="D94" r:id="rId94" xr:uid="{00000000-0004-0000-1500-00005D000000}"/>
    <hyperlink ref="D95" r:id="rId95" xr:uid="{00000000-0004-0000-1500-00005E000000}"/>
    <hyperlink ref="D96" r:id="rId96" xr:uid="{00000000-0004-0000-1500-00005F000000}"/>
    <hyperlink ref="D97" r:id="rId97" xr:uid="{00000000-0004-0000-1500-000060000000}"/>
    <hyperlink ref="A98" r:id="rId98" location="cite_note-14" xr:uid="{00000000-0004-0000-1500-000061000000}"/>
    <hyperlink ref="C98" r:id="rId99" location="cite_note-divby5-13" xr:uid="{00000000-0004-0000-1500-000062000000}"/>
    <hyperlink ref="D98" r:id="rId100" xr:uid="{00000000-0004-0000-1500-000063000000}"/>
    <hyperlink ref="D99" r:id="rId101" xr:uid="{00000000-0004-0000-1500-000064000000}"/>
    <hyperlink ref="D100" r:id="rId102" xr:uid="{00000000-0004-0000-1500-000065000000}"/>
    <hyperlink ref="D101" r:id="rId103" xr:uid="{00000000-0004-0000-1500-000066000000}"/>
    <hyperlink ref="D102" r:id="rId104" xr:uid="{00000000-0004-0000-1500-000067000000}"/>
    <hyperlink ref="D103" r:id="rId105" xr:uid="{00000000-0004-0000-1500-000068000000}"/>
    <hyperlink ref="D104" r:id="rId106" xr:uid="{00000000-0004-0000-1500-000069000000}"/>
    <hyperlink ref="D105" r:id="rId107" xr:uid="{00000000-0004-0000-1500-00006A000000}"/>
    <hyperlink ref="D106" r:id="rId108" xr:uid="{00000000-0004-0000-1500-00006B000000}"/>
    <hyperlink ref="D107" r:id="rId109" xr:uid="{00000000-0004-0000-1500-00006C000000}"/>
    <hyperlink ref="D108" r:id="rId110" xr:uid="{00000000-0004-0000-1500-00006D000000}"/>
    <hyperlink ref="D109" r:id="rId111" xr:uid="{00000000-0004-0000-1500-00006E000000}"/>
    <hyperlink ref="D110" r:id="rId112" xr:uid="{00000000-0004-0000-1500-00006F000000}"/>
    <hyperlink ref="D111" r:id="rId113" xr:uid="{00000000-0004-0000-1500-000070000000}"/>
    <hyperlink ref="D112" r:id="rId114" xr:uid="{00000000-0004-0000-1500-000071000000}"/>
    <hyperlink ref="D113" r:id="rId115" xr:uid="{00000000-0004-0000-1500-000072000000}"/>
    <hyperlink ref="D114" r:id="rId116" xr:uid="{00000000-0004-0000-1500-000073000000}"/>
    <hyperlink ref="D115" r:id="rId117" xr:uid="{00000000-0004-0000-1500-000074000000}"/>
    <hyperlink ref="D116" r:id="rId118" xr:uid="{00000000-0004-0000-1500-000075000000}"/>
    <hyperlink ref="D117" r:id="rId119" xr:uid="{00000000-0004-0000-1500-000076000000}"/>
    <hyperlink ref="D118" r:id="rId120" xr:uid="{00000000-0004-0000-1500-000077000000}"/>
    <hyperlink ref="D119" r:id="rId121" xr:uid="{00000000-0004-0000-1500-000078000000}"/>
    <hyperlink ref="D120" r:id="rId122" xr:uid="{00000000-0004-0000-1500-000079000000}"/>
    <hyperlink ref="D121" r:id="rId123" xr:uid="{00000000-0004-0000-1500-00007A000000}"/>
    <hyperlink ref="D122" r:id="rId124" xr:uid="{00000000-0004-0000-1500-00007B000000}"/>
    <hyperlink ref="D123" r:id="rId125" xr:uid="{00000000-0004-0000-1500-00007C000000}"/>
    <hyperlink ref="D124" r:id="rId126" xr:uid="{00000000-0004-0000-1500-00007D000000}"/>
    <hyperlink ref="D125" r:id="rId127" xr:uid="{00000000-0004-0000-1500-00007E000000}"/>
    <hyperlink ref="D126" r:id="rId128" xr:uid="{00000000-0004-0000-1500-00007F000000}"/>
    <hyperlink ref="D127" r:id="rId129" xr:uid="{00000000-0004-0000-1500-000080000000}"/>
    <hyperlink ref="D128" r:id="rId130" xr:uid="{00000000-0004-0000-1500-000081000000}"/>
    <hyperlink ref="D129" r:id="rId131" xr:uid="{00000000-0004-0000-1500-000082000000}"/>
    <hyperlink ref="D130" r:id="rId132" xr:uid="{00000000-0004-0000-1500-000083000000}"/>
    <hyperlink ref="D131" r:id="rId133" xr:uid="{00000000-0004-0000-1500-000084000000}"/>
    <hyperlink ref="D132" r:id="rId134" xr:uid="{00000000-0004-0000-1500-000085000000}"/>
    <hyperlink ref="D133" r:id="rId135" xr:uid="{00000000-0004-0000-1500-000086000000}"/>
    <hyperlink ref="D134" r:id="rId136" xr:uid="{00000000-0004-0000-1500-000087000000}"/>
    <hyperlink ref="D135" r:id="rId137" xr:uid="{00000000-0004-0000-1500-000088000000}"/>
    <hyperlink ref="A136" r:id="rId138" location="cite_note-16" xr:uid="{00000000-0004-0000-1500-000089000000}"/>
    <hyperlink ref="D136" r:id="rId139" xr:uid="{00000000-0004-0000-1500-00008A000000}"/>
    <hyperlink ref="D137" r:id="rId140" xr:uid="{00000000-0004-0000-1500-00008B000000}"/>
    <hyperlink ref="D138" r:id="rId141" xr:uid="{00000000-0004-0000-1500-00008C000000}"/>
    <hyperlink ref="D139" r:id="rId142" xr:uid="{00000000-0004-0000-1500-00008D000000}"/>
    <hyperlink ref="D140" r:id="rId143" xr:uid="{00000000-0004-0000-1500-00008E000000}"/>
    <hyperlink ref="D141" r:id="rId144" xr:uid="{00000000-0004-0000-1500-00008F000000}"/>
    <hyperlink ref="D142" r:id="rId145" xr:uid="{00000000-0004-0000-1500-000090000000}"/>
    <hyperlink ref="D143" r:id="rId146" xr:uid="{00000000-0004-0000-1500-000091000000}"/>
    <hyperlink ref="D144" r:id="rId147" xr:uid="{00000000-0004-0000-1500-000092000000}"/>
    <hyperlink ref="D145" r:id="rId148" xr:uid="{00000000-0004-0000-1500-000093000000}"/>
    <hyperlink ref="D146" r:id="rId149" xr:uid="{00000000-0004-0000-1500-000094000000}"/>
    <hyperlink ref="D147" r:id="rId150" xr:uid="{00000000-0004-0000-1500-000095000000}"/>
    <hyperlink ref="D148" r:id="rId151" xr:uid="{00000000-0004-0000-1500-000096000000}"/>
    <hyperlink ref="D149" r:id="rId152" xr:uid="{00000000-0004-0000-1500-000097000000}"/>
    <hyperlink ref="D150" r:id="rId153" xr:uid="{00000000-0004-0000-1500-000098000000}"/>
    <hyperlink ref="D153" r:id="rId154" xr:uid="{00000000-0004-0000-1500-000099000000}"/>
    <hyperlink ref="D154" r:id="rId155" location="cite_note-A169-17" xr:uid="{00000000-0004-0000-1500-00009A000000}"/>
    <hyperlink ref="D155" r:id="rId156" xr:uid="{00000000-0004-0000-1500-00009B000000}"/>
    <hyperlink ref="D156" r:id="rId157" xr:uid="{00000000-0004-0000-1500-00009C000000}"/>
    <hyperlink ref="D157" r:id="rId158" xr:uid="{00000000-0004-0000-1500-00009D000000}"/>
    <hyperlink ref="D158" r:id="rId159" xr:uid="{00000000-0004-0000-1500-00009E000000}"/>
    <hyperlink ref="D159" r:id="rId160" xr:uid="{00000000-0004-0000-1500-00009F000000}"/>
    <hyperlink ref="D160" r:id="rId161" xr:uid="{00000000-0004-0000-1500-0000A0000000}"/>
    <hyperlink ref="D161" r:id="rId162" xr:uid="{00000000-0004-0000-1500-0000A1000000}"/>
    <hyperlink ref="D162" r:id="rId163" xr:uid="{00000000-0004-0000-1500-0000A2000000}"/>
    <hyperlink ref="D163" r:id="rId164" xr:uid="{00000000-0004-0000-1500-0000A3000000}"/>
    <hyperlink ref="D164" r:id="rId165" xr:uid="{00000000-0004-0000-1500-0000A4000000}"/>
    <hyperlink ref="D165" r:id="rId166" xr:uid="{00000000-0004-0000-1500-0000A5000000}"/>
    <hyperlink ref="D166" r:id="rId167" xr:uid="{00000000-0004-0000-1500-0000A6000000}"/>
    <hyperlink ref="D167" r:id="rId168" xr:uid="{00000000-0004-0000-1500-0000A7000000}"/>
    <hyperlink ref="D168" r:id="rId169" xr:uid="{00000000-0004-0000-1500-0000A8000000}"/>
    <hyperlink ref="D169" r:id="rId170" xr:uid="{00000000-0004-0000-1500-0000A9000000}"/>
    <hyperlink ref="D170" r:id="rId171" xr:uid="{00000000-0004-0000-1500-0000AA000000}"/>
    <hyperlink ref="D171" r:id="rId172" xr:uid="{00000000-0004-0000-1500-0000AB000000}"/>
    <hyperlink ref="D172" r:id="rId173" xr:uid="{00000000-0004-0000-1500-0000AC000000}"/>
    <hyperlink ref="D173" r:id="rId174" xr:uid="{00000000-0004-0000-1500-0000AD000000}"/>
    <hyperlink ref="D175" r:id="rId175" xr:uid="{00000000-0004-0000-1500-0000AE000000}"/>
    <hyperlink ref="D177" r:id="rId176" xr:uid="{00000000-0004-0000-1500-0000AF000000}"/>
    <hyperlink ref="D178" r:id="rId177" xr:uid="{00000000-0004-0000-1500-0000B0000000}"/>
    <hyperlink ref="D179" r:id="rId178" xr:uid="{00000000-0004-0000-1500-0000B1000000}"/>
    <hyperlink ref="D180" r:id="rId179" xr:uid="{00000000-0004-0000-1500-0000B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FF00"/>
    <outlinePr summaryBelow="0" summaryRight="0"/>
  </sheetPr>
  <dimension ref="A1:Z2726"/>
  <sheetViews>
    <sheetView workbookViewId="0">
      <pane ySplit="2" topLeftCell="A3" activePane="bottomLeft" state="frozen"/>
      <selection pane="bottomLeft" activeCell="B4" sqref="B4"/>
    </sheetView>
  </sheetViews>
  <sheetFormatPr baseColWidth="10" defaultColWidth="12.5703125" defaultRowHeight="15.75" customHeight="1"/>
  <cols>
    <col min="8" max="8" width="32.42578125" customWidth="1"/>
  </cols>
  <sheetData>
    <row r="1" spans="1:26">
      <c r="A1" s="215" t="s">
        <v>6485</v>
      </c>
      <c r="B1" s="301" t="s">
        <v>6486</v>
      </c>
      <c r="C1" s="215"/>
      <c r="D1" s="300"/>
      <c r="E1" s="215"/>
      <c r="F1" s="215"/>
      <c r="G1" s="215"/>
      <c r="H1" s="215"/>
      <c r="I1" s="300"/>
      <c r="J1" s="300"/>
      <c r="K1" s="300"/>
      <c r="L1" s="300"/>
      <c r="M1" s="300"/>
      <c r="N1" s="300"/>
      <c r="O1" s="300"/>
      <c r="P1" s="300"/>
      <c r="Q1" s="300"/>
      <c r="R1" s="300"/>
      <c r="S1" s="300"/>
      <c r="T1" s="300"/>
      <c r="U1" s="300"/>
      <c r="V1" s="300"/>
      <c r="W1" s="300"/>
      <c r="X1" s="300"/>
      <c r="Y1" s="300"/>
      <c r="Z1" s="300"/>
    </row>
    <row r="2" spans="1:26">
      <c r="A2" s="215" t="s">
        <v>6487</v>
      </c>
      <c r="B2" s="215" t="s">
        <v>2545</v>
      </c>
      <c r="C2" s="215" t="s">
        <v>6488</v>
      </c>
      <c r="D2" s="215" t="s">
        <v>6489</v>
      </c>
      <c r="E2" s="215" t="s">
        <v>6490</v>
      </c>
      <c r="F2" s="215" t="s">
        <v>6491</v>
      </c>
      <c r="G2" s="215" t="s">
        <v>6492</v>
      </c>
      <c r="H2" s="215" t="s">
        <v>4770</v>
      </c>
      <c r="I2" s="300"/>
      <c r="J2" s="300"/>
      <c r="K2" s="300"/>
      <c r="L2" s="300"/>
      <c r="M2" s="300"/>
      <c r="N2" s="300"/>
      <c r="O2" s="300"/>
      <c r="P2" s="300"/>
      <c r="Q2" s="300"/>
      <c r="R2" s="300"/>
      <c r="S2" s="300"/>
      <c r="T2" s="300"/>
      <c r="U2" s="300"/>
      <c r="V2" s="300"/>
      <c r="W2" s="300"/>
      <c r="X2" s="300"/>
      <c r="Y2" s="300"/>
      <c r="Z2" s="300"/>
    </row>
    <row r="3" spans="1:26">
      <c r="A3" s="215" t="s">
        <v>3615</v>
      </c>
      <c r="B3" s="207">
        <v>148</v>
      </c>
      <c r="C3" s="215" t="s">
        <v>5714</v>
      </c>
      <c r="D3" s="215" t="s">
        <v>6493</v>
      </c>
      <c r="E3" s="215" t="s">
        <v>6494</v>
      </c>
      <c r="F3" s="215" t="s">
        <v>6495</v>
      </c>
      <c r="G3" s="215" t="s">
        <v>6496</v>
      </c>
      <c r="H3" s="215" t="s">
        <v>6497</v>
      </c>
      <c r="I3" s="300"/>
      <c r="J3" s="300"/>
      <c r="K3" s="300"/>
      <c r="L3" s="300"/>
      <c r="M3" s="300"/>
      <c r="N3" s="300"/>
      <c r="O3" s="300"/>
      <c r="P3" s="300"/>
      <c r="Q3" s="300"/>
      <c r="R3" s="300"/>
      <c r="S3" s="300"/>
      <c r="T3" s="300"/>
      <c r="U3" s="300"/>
      <c r="V3" s="300"/>
      <c r="W3" s="300"/>
      <c r="X3" s="300"/>
      <c r="Y3" s="300"/>
      <c r="Z3" s="300"/>
    </row>
    <row r="4" spans="1:26">
      <c r="A4" s="215" t="s">
        <v>2715</v>
      </c>
      <c r="B4" s="207">
        <v>281</v>
      </c>
      <c r="C4" s="215" t="s">
        <v>4876</v>
      </c>
      <c r="D4" s="215" t="s">
        <v>6498</v>
      </c>
      <c r="E4" s="215" t="s">
        <v>6499</v>
      </c>
      <c r="F4" s="215" t="s">
        <v>6495</v>
      </c>
      <c r="G4" s="215" t="s">
        <v>6496</v>
      </c>
      <c r="H4" s="215" t="s">
        <v>6500</v>
      </c>
      <c r="I4" s="300"/>
      <c r="J4" s="300"/>
      <c r="K4" s="300"/>
      <c r="L4" s="300"/>
      <c r="M4" s="300"/>
      <c r="N4" s="300"/>
      <c r="O4" s="300"/>
      <c r="P4" s="300"/>
      <c r="Q4" s="300"/>
      <c r="R4" s="300"/>
      <c r="S4" s="300"/>
      <c r="T4" s="300"/>
      <c r="U4" s="300"/>
      <c r="V4" s="300"/>
      <c r="W4" s="300"/>
      <c r="X4" s="300"/>
      <c r="Y4" s="300"/>
      <c r="Z4" s="300"/>
    </row>
    <row r="5" spans="1:26">
      <c r="A5" s="215" t="s">
        <v>4307</v>
      </c>
      <c r="B5" s="207">
        <v>773</v>
      </c>
      <c r="C5" s="215" t="s">
        <v>6501</v>
      </c>
      <c r="D5" s="215" t="s">
        <v>6502</v>
      </c>
      <c r="E5" s="215" t="s">
        <v>6503</v>
      </c>
      <c r="F5" s="215" t="s">
        <v>6495</v>
      </c>
      <c r="G5" s="215" t="s">
        <v>6496</v>
      </c>
      <c r="H5" s="215" t="s">
        <v>6504</v>
      </c>
      <c r="I5" s="300"/>
      <c r="J5" s="300"/>
      <c r="K5" s="300"/>
      <c r="L5" s="300"/>
      <c r="M5" s="300"/>
      <c r="N5" s="300"/>
      <c r="O5" s="300"/>
      <c r="P5" s="300"/>
      <c r="Q5" s="300"/>
      <c r="R5" s="300"/>
      <c r="S5" s="300"/>
      <c r="T5" s="300"/>
      <c r="U5" s="300"/>
      <c r="V5" s="300"/>
      <c r="W5" s="300"/>
      <c r="X5" s="300"/>
      <c r="Y5" s="300"/>
      <c r="Z5" s="300"/>
    </row>
    <row r="6" spans="1:26">
      <c r="A6" s="215" t="s">
        <v>4418</v>
      </c>
      <c r="B6" s="207">
        <v>895</v>
      </c>
      <c r="C6" s="215" t="s">
        <v>6355</v>
      </c>
      <c r="D6" s="215" t="s">
        <v>6505</v>
      </c>
      <c r="E6" s="215" t="s">
        <v>6506</v>
      </c>
      <c r="F6" s="215" t="s">
        <v>6495</v>
      </c>
      <c r="G6" s="215" t="s">
        <v>6496</v>
      </c>
      <c r="H6" s="215" t="s">
        <v>6500</v>
      </c>
      <c r="I6" s="300"/>
      <c r="J6" s="300"/>
      <c r="K6" s="300"/>
      <c r="L6" s="300"/>
      <c r="M6" s="300"/>
      <c r="N6" s="300"/>
      <c r="O6" s="300"/>
      <c r="P6" s="300"/>
      <c r="Q6" s="300"/>
      <c r="R6" s="300"/>
      <c r="S6" s="300"/>
      <c r="T6" s="300"/>
      <c r="U6" s="300"/>
      <c r="V6" s="300"/>
      <c r="W6" s="300"/>
      <c r="X6" s="300"/>
      <c r="Y6" s="300"/>
      <c r="Z6" s="300"/>
    </row>
    <row r="7" spans="1:26">
      <c r="A7" s="215" t="s">
        <v>4157</v>
      </c>
      <c r="B7" s="207">
        <v>1498</v>
      </c>
      <c r="C7" s="215" t="s">
        <v>6144</v>
      </c>
      <c r="D7" s="215" t="s">
        <v>6507</v>
      </c>
      <c r="E7" s="215" t="s">
        <v>6508</v>
      </c>
      <c r="F7" s="215" t="s">
        <v>6495</v>
      </c>
      <c r="G7" s="215" t="s">
        <v>6496</v>
      </c>
      <c r="H7" s="215" t="s">
        <v>6504</v>
      </c>
      <c r="I7" s="300"/>
      <c r="J7" s="300"/>
      <c r="K7" s="300"/>
      <c r="L7" s="300"/>
      <c r="M7" s="300"/>
      <c r="N7" s="300"/>
      <c r="O7" s="300"/>
      <c r="P7" s="300"/>
      <c r="Q7" s="300"/>
      <c r="R7" s="300"/>
      <c r="S7" s="300"/>
      <c r="T7" s="300"/>
      <c r="U7" s="300"/>
      <c r="V7" s="300"/>
      <c r="W7" s="300"/>
      <c r="X7" s="300"/>
      <c r="Y7" s="300"/>
      <c r="Z7" s="300"/>
    </row>
    <row r="8" spans="1:26">
      <c r="A8" s="215" t="s">
        <v>3964</v>
      </c>
      <c r="B8" s="207">
        <v>1572</v>
      </c>
      <c r="C8" s="215" t="s">
        <v>6000</v>
      </c>
      <c r="D8" s="215" t="s">
        <v>6509</v>
      </c>
      <c r="E8" s="215" t="s">
        <v>6510</v>
      </c>
      <c r="F8" s="215" t="s">
        <v>6495</v>
      </c>
      <c r="G8" s="215" t="s">
        <v>6496</v>
      </c>
      <c r="H8" s="215" t="s">
        <v>6500</v>
      </c>
      <c r="I8" s="300"/>
      <c r="J8" s="300"/>
      <c r="K8" s="300"/>
      <c r="L8" s="300"/>
      <c r="M8" s="300"/>
      <c r="N8" s="300"/>
      <c r="O8" s="300"/>
      <c r="P8" s="300"/>
      <c r="Q8" s="300"/>
      <c r="R8" s="300"/>
      <c r="S8" s="300"/>
      <c r="T8" s="300"/>
      <c r="U8" s="300"/>
      <c r="V8" s="300"/>
      <c r="W8" s="300"/>
      <c r="X8" s="300"/>
      <c r="Y8" s="300"/>
      <c r="Z8" s="300"/>
    </row>
    <row r="9" spans="1:26">
      <c r="A9" s="215" t="s">
        <v>3644</v>
      </c>
      <c r="B9" s="207">
        <v>1851</v>
      </c>
      <c r="C9" s="215" t="s">
        <v>5060</v>
      </c>
      <c r="D9" s="215" t="s">
        <v>6511</v>
      </c>
      <c r="E9" s="215" t="s">
        <v>6512</v>
      </c>
      <c r="F9" s="215" t="s">
        <v>6495</v>
      </c>
      <c r="G9" s="215" t="s">
        <v>6496</v>
      </c>
      <c r="H9" s="215" t="s">
        <v>6504</v>
      </c>
      <c r="I9" s="300"/>
      <c r="J9" s="300"/>
      <c r="K9" s="300"/>
      <c r="L9" s="300"/>
      <c r="M9" s="300"/>
      <c r="N9" s="300"/>
      <c r="O9" s="300"/>
      <c r="P9" s="300"/>
      <c r="Q9" s="300"/>
      <c r="R9" s="300"/>
      <c r="S9" s="300"/>
      <c r="T9" s="300"/>
      <c r="U9" s="300"/>
      <c r="V9" s="300"/>
      <c r="W9" s="300"/>
      <c r="X9" s="300"/>
      <c r="Y9" s="300"/>
      <c r="Z9" s="300"/>
    </row>
    <row r="10" spans="1:26">
      <c r="A10" s="215" t="s">
        <v>3775</v>
      </c>
      <c r="B10" s="207">
        <v>2198</v>
      </c>
      <c r="C10" s="215" t="s">
        <v>5854</v>
      </c>
      <c r="D10" s="215" t="s">
        <v>6513</v>
      </c>
      <c r="E10" s="215" t="s">
        <v>6514</v>
      </c>
      <c r="F10" s="215" t="s">
        <v>6495</v>
      </c>
      <c r="G10" s="215" t="s">
        <v>6496</v>
      </c>
      <c r="H10" s="215" t="s">
        <v>6504</v>
      </c>
      <c r="I10" s="300"/>
      <c r="J10" s="300"/>
      <c r="K10" s="300"/>
      <c r="L10" s="300"/>
      <c r="M10" s="300"/>
      <c r="N10" s="300"/>
      <c r="O10" s="300"/>
      <c r="P10" s="300"/>
      <c r="Q10" s="300"/>
      <c r="R10" s="300"/>
      <c r="S10" s="300"/>
      <c r="T10" s="300"/>
      <c r="U10" s="300"/>
      <c r="V10" s="300"/>
      <c r="W10" s="300"/>
      <c r="X10" s="300"/>
      <c r="Y10" s="300"/>
      <c r="Z10" s="300"/>
    </row>
    <row r="11" spans="1:26">
      <c r="A11" s="215" t="s">
        <v>3963</v>
      </c>
      <c r="B11" s="207">
        <v>2299</v>
      </c>
      <c r="C11" s="215" t="s">
        <v>5997</v>
      </c>
      <c r="D11" s="215" t="s">
        <v>6515</v>
      </c>
      <c r="E11" s="215" t="s">
        <v>6516</v>
      </c>
      <c r="F11" s="215" t="s">
        <v>6495</v>
      </c>
      <c r="G11" s="215" t="s">
        <v>6496</v>
      </c>
      <c r="H11" s="215" t="s">
        <v>6500</v>
      </c>
      <c r="I11" s="300"/>
      <c r="J11" s="300"/>
      <c r="K11" s="300"/>
      <c r="L11" s="300"/>
      <c r="M11" s="300"/>
      <c r="N11" s="300"/>
      <c r="O11" s="300"/>
      <c r="P11" s="300"/>
      <c r="Q11" s="300"/>
      <c r="R11" s="300"/>
      <c r="S11" s="300"/>
      <c r="T11" s="300"/>
      <c r="U11" s="300"/>
      <c r="V11" s="300"/>
      <c r="W11" s="300"/>
      <c r="X11" s="300"/>
      <c r="Y11" s="300"/>
      <c r="Z11" s="300"/>
    </row>
    <row r="12" spans="1:26">
      <c r="A12" s="215" t="s">
        <v>6517</v>
      </c>
      <c r="B12" s="207">
        <v>2479</v>
      </c>
      <c r="C12" s="215" t="s">
        <v>6518</v>
      </c>
      <c r="D12" s="215" t="s">
        <v>6519</v>
      </c>
      <c r="E12" s="215" t="s">
        <v>6520</v>
      </c>
      <c r="F12" s="215" t="s">
        <v>6495</v>
      </c>
      <c r="G12" s="215" t="s">
        <v>6496</v>
      </c>
      <c r="H12" s="215" t="s">
        <v>6521</v>
      </c>
      <c r="I12" s="300"/>
      <c r="J12" s="300"/>
      <c r="K12" s="300"/>
      <c r="L12" s="300"/>
      <c r="M12" s="300"/>
      <c r="N12" s="300"/>
      <c r="O12" s="300"/>
      <c r="P12" s="300"/>
      <c r="Q12" s="300"/>
      <c r="R12" s="300"/>
      <c r="S12" s="300"/>
      <c r="T12" s="300"/>
      <c r="U12" s="300"/>
      <c r="V12" s="300"/>
      <c r="W12" s="300"/>
      <c r="X12" s="300"/>
      <c r="Y12" s="300"/>
      <c r="Z12" s="300"/>
    </row>
    <row r="13" spans="1:26">
      <c r="A13" s="215" t="s">
        <v>4448</v>
      </c>
      <c r="B13" s="207">
        <v>2482</v>
      </c>
      <c r="C13" s="215" t="s">
        <v>6382</v>
      </c>
      <c r="D13" s="215" t="s">
        <v>6522</v>
      </c>
      <c r="E13" s="215" t="s">
        <v>6523</v>
      </c>
      <c r="F13" s="215" t="s">
        <v>6495</v>
      </c>
      <c r="G13" s="215" t="s">
        <v>6496</v>
      </c>
      <c r="H13" s="215" t="s">
        <v>6500</v>
      </c>
      <c r="I13" s="300"/>
      <c r="J13" s="300"/>
      <c r="K13" s="300"/>
      <c r="L13" s="300"/>
      <c r="M13" s="300"/>
      <c r="N13" s="300"/>
      <c r="O13" s="300"/>
      <c r="P13" s="300"/>
      <c r="Q13" s="300"/>
      <c r="R13" s="300"/>
      <c r="S13" s="300"/>
      <c r="T13" s="300"/>
      <c r="U13" s="300"/>
      <c r="V13" s="300"/>
      <c r="W13" s="300"/>
      <c r="X13" s="300"/>
      <c r="Y13" s="300"/>
      <c r="Z13" s="300"/>
    </row>
    <row r="14" spans="1:26">
      <c r="A14" s="215" t="s">
        <v>4301</v>
      </c>
      <c r="B14" s="207">
        <v>2483</v>
      </c>
      <c r="C14" s="215" t="s">
        <v>6261</v>
      </c>
      <c r="D14" s="215" t="s">
        <v>6524</v>
      </c>
      <c r="E14" s="215" t="s">
        <v>6525</v>
      </c>
      <c r="F14" s="215" t="s">
        <v>6495</v>
      </c>
      <c r="G14" s="215" t="s">
        <v>6496</v>
      </c>
      <c r="H14" s="215" t="s">
        <v>6497</v>
      </c>
      <c r="I14" s="300"/>
      <c r="J14" s="300"/>
      <c r="K14" s="300"/>
      <c r="L14" s="300"/>
      <c r="M14" s="300"/>
      <c r="N14" s="300"/>
      <c r="O14" s="300"/>
      <c r="P14" s="300"/>
      <c r="Q14" s="300"/>
      <c r="R14" s="300"/>
      <c r="S14" s="300"/>
      <c r="T14" s="300"/>
      <c r="U14" s="300"/>
      <c r="V14" s="300"/>
      <c r="W14" s="300"/>
      <c r="X14" s="300"/>
      <c r="Y14" s="300"/>
      <c r="Z14" s="300"/>
    </row>
    <row r="15" spans="1:26">
      <c r="A15" s="215" t="s">
        <v>4031</v>
      </c>
      <c r="B15" s="207">
        <v>331</v>
      </c>
      <c r="C15" s="215" t="s">
        <v>6056</v>
      </c>
      <c r="D15" s="215" t="s">
        <v>6526</v>
      </c>
      <c r="E15" s="215" t="s">
        <v>6527</v>
      </c>
      <c r="F15" s="215" t="s">
        <v>6528</v>
      </c>
      <c r="G15" s="215" t="s">
        <v>6529</v>
      </c>
      <c r="H15" s="215" t="s">
        <v>6500</v>
      </c>
      <c r="I15" s="300"/>
      <c r="J15" s="300"/>
      <c r="K15" s="300"/>
      <c r="L15" s="300"/>
      <c r="M15" s="300"/>
      <c r="N15" s="300"/>
      <c r="O15" s="300"/>
      <c r="P15" s="300"/>
      <c r="Q15" s="300"/>
      <c r="R15" s="300"/>
      <c r="S15" s="300"/>
      <c r="T15" s="300"/>
      <c r="U15" s="300"/>
      <c r="V15" s="300"/>
      <c r="W15" s="300"/>
      <c r="X15" s="300"/>
      <c r="Y15" s="300"/>
      <c r="Z15" s="300"/>
    </row>
    <row r="16" spans="1:26">
      <c r="A16" s="215" t="s">
        <v>6530</v>
      </c>
      <c r="B16" s="207">
        <v>1026</v>
      </c>
      <c r="C16" s="215" t="s">
        <v>6531</v>
      </c>
      <c r="D16" s="215" t="s">
        <v>6532</v>
      </c>
      <c r="E16" s="215" t="s">
        <v>6532</v>
      </c>
      <c r="F16" s="215" t="s">
        <v>6533</v>
      </c>
      <c r="G16" s="215" t="s">
        <v>6534</v>
      </c>
      <c r="H16" s="215" t="s">
        <v>6521</v>
      </c>
      <c r="I16" s="300"/>
      <c r="J16" s="300"/>
      <c r="K16" s="300"/>
      <c r="L16" s="300"/>
      <c r="M16" s="300"/>
      <c r="N16" s="300"/>
      <c r="O16" s="300"/>
      <c r="P16" s="300"/>
      <c r="Q16" s="300"/>
      <c r="R16" s="300"/>
      <c r="S16" s="300"/>
      <c r="T16" s="300"/>
      <c r="U16" s="300"/>
      <c r="V16" s="300"/>
      <c r="W16" s="300"/>
      <c r="X16" s="300"/>
      <c r="Y16" s="300"/>
      <c r="Z16" s="300"/>
    </row>
    <row r="17" spans="1:26">
      <c r="A17" s="215" t="s">
        <v>6535</v>
      </c>
      <c r="B17" s="207">
        <v>405</v>
      </c>
      <c r="C17" s="215" t="s">
        <v>6045</v>
      </c>
      <c r="D17" s="215" t="s">
        <v>6536</v>
      </c>
      <c r="E17" s="215" t="s">
        <v>6537</v>
      </c>
      <c r="F17" s="215" t="s">
        <v>6538</v>
      </c>
      <c r="G17" s="215" t="s">
        <v>6539</v>
      </c>
      <c r="H17" s="215" t="s">
        <v>6500</v>
      </c>
      <c r="I17" s="300"/>
      <c r="J17" s="300"/>
      <c r="K17" s="300"/>
      <c r="L17" s="300"/>
      <c r="M17" s="300"/>
      <c r="N17" s="300"/>
      <c r="O17" s="300"/>
      <c r="P17" s="300"/>
      <c r="Q17" s="300"/>
      <c r="R17" s="300"/>
      <c r="S17" s="300"/>
      <c r="T17" s="300"/>
      <c r="U17" s="300"/>
      <c r="V17" s="300"/>
      <c r="W17" s="300"/>
      <c r="X17" s="300"/>
      <c r="Y17" s="300"/>
      <c r="Z17" s="300"/>
    </row>
    <row r="18" spans="1:26">
      <c r="A18" s="215" t="s">
        <v>3504</v>
      </c>
      <c r="B18" s="207">
        <v>374</v>
      </c>
      <c r="C18" s="215" t="s">
        <v>6540</v>
      </c>
      <c r="D18" s="215" t="s">
        <v>6541</v>
      </c>
      <c r="E18" s="215" t="s">
        <v>6542</v>
      </c>
      <c r="F18" s="215" t="s">
        <v>6543</v>
      </c>
      <c r="G18" s="215" t="s">
        <v>6544</v>
      </c>
      <c r="H18" s="215" t="s">
        <v>6504</v>
      </c>
      <c r="I18" s="300"/>
      <c r="J18" s="300"/>
      <c r="K18" s="300"/>
      <c r="L18" s="300"/>
      <c r="M18" s="300"/>
      <c r="N18" s="300"/>
      <c r="O18" s="300"/>
      <c r="P18" s="300"/>
      <c r="Q18" s="300"/>
      <c r="R18" s="300"/>
      <c r="S18" s="300"/>
      <c r="T18" s="300"/>
      <c r="U18" s="300"/>
      <c r="V18" s="300"/>
      <c r="W18" s="300"/>
      <c r="X18" s="300"/>
      <c r="Y18" s="300"/>
      <c r="Z18" s="300"/>
    </row>
    <row r="19" spans="1:26">
      <c r="A19" s="215" t="s">
        <v>3485</v>
      </c>
      <c r="B19" s="207">
        <v>124</v>
      </c>
      <c r="C19" s="215" t="s">
        <v>5595</v>
      </c>
      <c r="D19" s="215" t="s">
        <v>6545</v>
      </c>
      <c r="E19" s="215" t="s">
        <v>6546</v>
      </c>
      <c r="F19" s="215" t="s">
        <v>6547</v>
      </c>
      <c r="G19" s="215" t="s">
        <v>2415</v>
      </c>
      <c r="H19" s="215" t="s">
        <v>6548</v>
      </c>
      <c r="I19" s="300"/>
      <c r="J19" s="300"/>
      <c r="K19" s="300"/>
      <c r="L19" s="300"/>
      <c r="M19" s="300"/>
      <c r="N19" s="300"/>
      <c r="O19" s="300"/>
      <c r="P19" s="300"/>
      <c r="Q19" s="300"/>
      <c r="R19" s="300"/>
      <c r="S19" s="300"/>
      <c r="T19" s="300"/>
      <c r="U19" s="300"/>
      <c r="V19" s="300"/>
      <c r="W19" s="300"/>
      <c r="X19" s="300"/>
      <c r="Y19" s="300"/>
      <c r="Z19" s="300"/>
    </row>
    <row r="20" spans="1:26">
      <c r="A20" s="215"/>
      <c r="B20" s="207">
        <v>125</v>
      </c>
      <c r="C20" s="215" t="s">
        <v>6549</v>
      </c>
      <c r="D20" s="215" t="s">
        <v>6550</v>
      </c>
      <c r="E20" s="215" t="s">
        <v>6550</v>
      </c>
      <c r="F20" s="215" t="s">
        <v>6547</v>
      </c>
      <c r="G20" s="215" t="s">
        <v>2415</v>
      </c>
      <c r="H20" s="215" t="s">
        <v>6548</v>
      </c>
      <c r="I20" s="300"/>
      <c r="J20" s="300"/>
      <c r="K20" s="300"/>
      <c r="L20" s="300"/>
      <c r="M20" s="300"/>
      <c r="N20" s="300"/>
      <c r="O20" s="300"/>
      <c r="P20" s="300"/>
      <c r="Q20" s="300"/>
      <c r="R20" s="300"/>
      <c r="S20" s="300"/>
      <c r="T20" s="300"/>
      <c r="U20" s="300"/>
      <c r="V20" s="300"/>
      <c r="W20" s="300"/>
      <c r="X20" s="300"/>
      <c r="Y20" s="300"/>
      <c r="Z20" s="300"/>
    </row>
    <row r="21" spans="1:26">
      <c r="A21" s="215"/>
      <c r="B21" s="207">
        <v>126</v>
      </c>
      <c r="C21" s="215" t="s">
        <v>4826</v>
      </c>
      <c r="D21" s="215" t="s">
        <v>6551</v>
      </c>
      <c r="E21" s="215" t="s">
        <v>6551</v>
      </c>
      <c r="F21" s="215" t="s">
        <v>6547</v>
      </c>
      <c r="G21" s="215" t="s">
        <v>2415</v>
      </c>
      <c r="H21" s="215" t="s">
        <v>6548</v>
      </c>
      <c r="I21" s="300"/>
      <c r="J21" s="300"/>
      <c r="K21" s="300"/>
      <c r="L21" s="300"/>
      <c r="M21" s="300"/>
      <c r="N21" s="300"/>
      <c r="O21" s="300"/>
      <c r="P21" s="300"/>
      <c r="Q21" s="300"/>
      <c r="R21" s="300"/>
      <c r="S21" s="300"/>
      <c r="T21" s="300"/>
      <c r="U21" s="300"/>
      <c r="V21" s="300"/>
      <c r="W21" s="300"/>
      <c r="X21" s="300"/>
      <c r="Y21" s="300"/>
      <c r="Z21" s="300"/>
    </row>
    <row r="22" spans="1:26">
      <c r="A22" s="215" t="s">
        <v>2816</v>
      </c>
      <c r="B22" s="207">
        <v>127</v>
      </c>
      <c r="C22" s="215" t="s">
        <v>4978</v>
      </c>
      <c r="D22" s="215" t="s">
        <v>6552</v>
      </c>
      <c r="E22" s="215" t="s">
        <v>6552</v>
      </c>
      <c r="F22" s="215" t="s">
        <v>6547</v>
      </c>
      <c r="G22" s="215" t="s">
        <v>2415</v>
      </c>
      <c r="H22" s="215" t="s">
        <v>6500</v>
      </c>
      <c r="I22" s="300"/>
      <c r="J22" s="300"/>
      <c r="K22" s="300"/>
      <c r="L22" s="300"/>
      <c r="M22" s="300"/>
      <c r="N22" s="300"/>
      <c r="O22" s="300"/>
      <c r="P22" s="300"/>
      <c r="Q22" s="300"/>
      <c r="R22" s="300"/>
      <c r="S22" s="300"/>
      <c r="T22" s="300"/>
      <c r="U22" s="300"/>
      <c r="V22" s="300"/>
      <c r="W22" s="300"/>
      <c r="X22" s="300"/>
      <c r="Y22" s="300"/>
      <c r="Z22" s="300"/>
    </row>
    <row r="23" spans="1:26">
      <c r="A23" s="215" t="s">
        <v>3969</v>
      </c>
      <c r="B23" s="207">
        <v>601</v>
      </c>
      <c r="C23" s="215" t="s">
        <v>6005</v>
      </c>
      <c r="D23" s="215" t="s">
        <v>6553</v>
      </c>
      <c r="E23" s="215" t="s">
        <v>6554</v>
      </c>
      <c r="F23" s="215" t="s">
        <v>6555</v>
      </c>
      <c r="G23" s="215" t="s">
        <v>6556</v>
      </c>
      <c r="H23" s="215" t="s">
        <v>6548</v>
      </c>
      <c r="I23" s="300"/>
      <c r="J23" s="300"/>
      <c r="K23" s="300"/>
      <c r="L23" s="300"/>
      <c r="M23" s="300"/>
      <c r="N23" s="300"/>
      <c r="O23" s="300"/>
      <c r="P23" s="300"/>
      <c r="Q23" s="300"/>
      <c r="R23" s="300"/>
      <c r="S23" s="300"/>
      <c r="T23" s="300"/>
      <c r="U23" s="300"/>
      <c r="V23" s="300"/>
      <c r="W23" s="300"/>
      <c r="X23" s="300"/>
      <c r="Y23" s="300"/>
      <c r="Z23" s="300"/>
    </row>
    <row r="24" spans="1:26">
      <c r="A24" s="215" t="s">
        <v>3650</v>
      </c>
      <c r="B24" s="207">
        <v>632</v>
      </c>
      <c r="C24" s="215" t="s">
        <v>5746</v>
      </c>
      <c r="D24" s="215" t="s">
        <v>6557</v>
      </c>
      <c r="E24" s="215" t="s">
        <v>6557</v>
      </c>
      <c r="F24" s="215" t="s">
        <v>6555</v>
      </c>
      <c r="G24" s="215" t="s">
        <v>6556</v>
      </c>
      <c r="H24" s="215" t="s">
        <v>6500</v>
      </c>
      <c r="I24" s="300"/>
      <c r="J24" s="300"/>
      <c r="K24" s="300"/>
      <c r="L24" s="300"/>
      <c r="M24" s="300"/>
      <c r="N24" s="300"/>
      <c r="O24" s="300"/>
      <c r="P24" s="300"/>
      <c r="Q24" s="300"/>
      <c r="R24" s="300"/>
      <c r="S24" s="300"/>
      <c r="T24" s="300"/>
      <c r="U24" s="300"/>
      <c r="V24" s="300"/>
      <c r="W24" s="300"/>
      <c r="X24" s="300"/>
      <c r="Y24" s="300"/>
      <c r="Z24" s="300"/>
    </row>
    <row r="25" spans="1:26">
      <c r="A25" s="215" t="s">
        <v>3847</v>
      </c>
      <c r="B25" s="207">
        <v>639</v>
      </c>
      <c r="C25" s="215" t="s">
        <v>5922</v>
      </c>
      <c r="D25" s="215" t="s">
        <v>3847</v>
      </c>
      <c r="E25" s="215" t="s">
        <v>3847</v>
      </c>
      <c r="F25" s="215" t="s">
        <v>6555</v>
      </c>
      <c r="G25" s="215" t="s">
        <v>6556</v>
      </c>
      <c r="H25" s="215" t="s">
        <v>6548</v>
      </c>
      <c r="I25" s="300"/>
      <c r="J25" s="300"/>
      <c r="K25" s="300"/>
      <c r="L25" s="300"/>
      <c r="M25" s="300"/>
      <c r="N25" s="300"/>
      <c r="O25" s="300"/>
      <c r="P25" s="300"/>
      <c r="Q25" s="300"/>
      <c r="R25" s="300"/>
      <c r="S25" s="300"/>
      <c r="T25" s="300"/>
      <c r="U25" s="300"/>
      <c r="V25" s="300"/>
      <c r="W25" s="300"/>
      <c r="X25" s="300"/>
      <c r="Y25" s="300"/>
      <c r="Z25" s="300"/>
    </row>
    <row r="26" spans="1:26">
      <c r="A26" s="215" t="s">
        <v>3932</v>
      </c>
      <c r="B26" s="207">
        <v>646</v>
      </c>
      <c r="C26" s="215" t="s">
        <v>5976</v>
      </c>
      <c r="D26" s="215" t="s">
        <v>6558</v>
      </c>
      <c r="E26" s="215" t="s">
        <v>6558</v>
      </c>
      <c r="F26" s="215" t="s">
        <v>6555</v>
      </c>
      <c r="G26" s="215" t="s">
        <v>6556</v>
      </c>
      <c r="H26" s="215" t="s">
        <v>6521</v>
      </c>
      <c r="I26" s="300"/>
      <c r="J26" s="300"/>
      <c r="K26" s="300"/>
      <c r="L26" s="300"/>
      <c r="M26" s="300"/>
      <c r="N26" s="300"/>
      <c r="O26" s="300"/>
      <c r="P26" s="300"/>
      <c r="Q26" s="300"/>
      <c r="R26" s="300"/>
      <c r="S26" s="300"/>
      <c r="T26" s="300"/>
      <c r="U26" s="300"/>
      <c r="V26" s="300"/>
      <c r="W26" s="300"/>
      <c r="X26" s="300"/>
      <c r="Y26" s="300"/>
      <c r="Z26" s="300"/>
    </row>
    <row r="27" spans="1:26">
      <c r="A27" s="215" t="s">
        <v>4225</v>
      </c>
      <c r="B27" s="207">
        <v>658</v>
      </c>
      <c r="C27" s="215" t="s">
        <v>6204</v>
      </c>
      <c r="D27" s="215" t="s">
        <v>6559</v>
      </c>
      <c r="E27" s="215" t="s">
        <v>6559</v>
      </c>
      <c r="F27" s="215" t="s">
        <v>6555</v>
      </c>
      <c r="G27" s="215" t="s">
        <v>6556</v>
      </c>
      <c r="H27" s="215" t="s">
        <v>6497</v>
      </c>
      <c r="I27" s="300"/>
      <c r="J27" s="300"/>
      <c r="K27" s="300"/>
      <c r="L27" s="300"/>
      <c r="M27" s="300"/>
      <c r="N27" s="300"/>
      <c r="O27" s="300"/>
      <c r="P27" s="300"/>
      <c r="Q27" s="300"/>
      <c r="R27" s="300"/>
      <c r="S27" s="300"/>
      <c r="T27" s="300"/>
      <c r="U27" s="300"/>
      <c r="V27" s="300"/>
      <c r="W27" s="300"/>
      <c r="X27" s="300"/>
      <c r="Y27" s="300"/>
      <c r="Z27" s="300"/>
    </row>
    <row r="28" spans="1:26">
      <c r="A28" s="215" t="s">
        <v>4288</v>
      </c>
      <c r="B28" s="207">
        <v>659</v>
      </c>
      <c r="C28" s="215" t="s">
        <v>5445</v>
      </c>
      <c r="D28" s="215" t="s">
        <v>6560</v>
      </c>
      <c r="E28" s="215" t="s">
        <v>6560</v>
      </c>
      <c r="F28" s="215" t="s">
        <v>6555</v>
      </c>
      <c r="G28" s="215" t="s">
        <v>6556</v>
      </c>
      <c r="H28" s="215" t="s">
        <v>6500</v>
      </c>
      <c r="I28" s="300"/>
      <c r="J28" s="300"/>
      <c r="K28" s="300"/>
      <c r="L28" s="300"/>
      <c r="M28" s="300"/>
      <c r="N28" s="300"/>
      <c r="O28" s="300"/>
      <c r="P28" s="300"/>
      <c r="Q28" s="300"/>
      <c r="R28" s="300"/>
      <c r="S28" s="300"/>
      <c r="T28" s="300"/>
      <c r="U28" s="300"/>
      <c r="V28" s="300"/>
      <c r="W28" s="300"/>
      <c r="X28" s="300"/>
      <c r="Y28" s="300"/>
      <c r="Z28" s="300"/>
    </row>
    <row r="29" spans="1:26">
      <c r="A29" s="215" t="s">
        <v>4396</v>
      </c>
      <c r="B29" s="207">
        <v>662</v>
      </c>
      <c r="C29" s="215" t="s">
        <v>6337</v>
      </c>
      <c r="D29" s="215" t="s">
        <v>6561</v>
      </c>
      <c r="E29" s="215" t="s">
        <v>6561</v>
      </c>
      <c r="F29" s="215" t="s">
        <v>6555</v>
      </c>
      <c r="G29" s="215" t="s">
        <v>6556</v>
      </c>
      <c r="H29" s="215" t="s">
        <v>6548</v>
      </c>
      <c r="I29" s="300"/>
      <c r="J29" s="300"/>
      <c r="K29" s="300"/>
      <c r="L29" s="300"/>
      <c r="M29" s="300"/>
      <c r="N29" s="300"/>
      <c r="O29" s="300"/>
      <c r="P29" s="300"/>
      <c r="Q29" s="300"/>
      <c r="R29" s="300"/>
      <c r="S29" s="300"/>
      <c r="T29" s="300"/>
      <c r="U29" s="300"/>
      <c r="V29" s="300"/>
      <c r="W29" s="300"/>
      <c r="X29" s="300"/>
      <c r="Y29" s="300"/>
      <c r="Z29" s="300"/>
    </row>
    <row r="30" spans="1:26">
      <c r="A30" s="215" t="s">
        <v>2706</v>
      </c>
      <c r="B30" s="207">
        <v>1754</v>
      </c>
      <c r="C30" s="215" t="s">
        <v>6562</v>
      </c>
      <c r="D30" s="215" t="s">
        <v>6563</v>
      </c>
      <c r="E30" s="215" t="s">
        <v>6564</v>
      </c>
      <c r="F30" s="215" t="s">
        <v>6555</v>
      </c>
      <c r="G30" s="215" t="s">
        <v>6556</v>
      </c>
      <c r="H30" s="215" t="s">
        <v>6504</v>
      </c>
      <c r="I30" s="300"/>
      <c r="J30" s="300"/>
      <c r="K30" s="300"/>
      <c r="L30" s="300"/>
      <c r="M30" s="300"/>
      <c r="N30" s="300"/>
      <c r="O30" s="300"/>
      <c r="P30" s="300"/>
      <c r="Q30" s="300"/>
      <c r="R30" s="300"/>
      <c r="S30" s="300"/>
      <c r="T30" s="300"/>
      <c r="U30" s="300"/>
      <c r="V30" s="300"/>
      <c r="W30" s="300"/>
      <c r="X30" s="300"/>
      <c r="Y30" s="300"/>
      <c r="Z30" s="300"/>
    </row>
    <row r="31" spans="1:26">
      <c r="A31" s="215" t="s">
        <v>3183</v>
      </c>
      <c r="B31" s="207">
        <v>1905</v>
      </c>
      <c r="C31" s="215" t="s">
        <v>6565</v>
      </c>
      <c r="D31" s="215" t="s">
        <v>6566</v>
      </c>
      <c r="E31" s="215" t="s">
        <v>6567</v>
      </c>
      <c r="F31" s="215" t="s">
        <v>6555</v>
      </c>
      <c r="G31" s="215" t="s">
        <v>6556</v>
      </c>
      <c r="H31" s="215" t="s">
        <v>6500</v>
      </c>
      <c r="I31" s="300"/>
      <c r="J31" s="300"/>
      <c r="K31" s="300"/>
      <c r="L31" s="300"/>
      <c r="M31" s="300"/>
      <c r="N31" s="300"/>
      <c r="O31" s="300"/>
      <c r="P31" s="300"/>
      <c r="Q31" s="300"/>
      <c r="R31" s="300"/>
      <c r="S31" s="300"/>
      <c r="T31" s="300"/>
      <c r="U31" s="300"/>
      <c r="V31" s="300"/>
      <c r="W31" s="300"/>
      <c r="X31" s="300"/>
      <c r="Y31" s="300"/>
      <c r="Z31" s="300"/>
    </row>
    <row r="32" spans="1:26">
      <c r="A32" s="215"/>
      <c r="B32" s="207">
        <v>2060</v>
      </c>
      <c r="C32" s="215" t="s">
        <v>6568</v>
      </c>
      <c r="D32" s="215" t="s">
        <v>6569</v>
      </c>
      <c r="E32" s="215" t="s">
        <v>6569</v>
      </c>
      <c r="F32" s="215" t="s">
        <v>6555</v>
      </c>
      <c r="G32" s="215" t="s">
        <v>6556</v>
      </c>
      <c r="H32" s="215" t="s">
        <v>6497</v>
      </c>
      <c r="I32" s="300"/>
      <c r="J32" s="300"/>
      <c r="K32" s="300"/>
      <c r="L32" s="300"/>
      <c r="M32" s="300"/>
      <c r="N32" s="300"/>
      <c r="O32" s="300"/>
      <c r="P32" s="300"/>
      <c r="Q32" s="300"/>
      <c r="R32" s="300"/>
      <c r="S32" s="300"/>
      <c r="T32" s="300"/>
      <c r="U32" s="300"/>
      <c r="V32" s="300"/>
      <c r="W32" s="300"/>
      <c r="X32" s="300"/>
      <c r="Y32" s="300"/>
      <c r="Z32" s="300"/>
    </row>
    <row r="33" spans="1:26">
      <c r="A33" s="215" t="s">
        <v>3988</v>
      </c>
      <c r="B33" s="207">
        <v>2303</v>
      </c>
      <c r="C33" s="215" t="s">
        <v>6570</v>
      </c>
      <c r="D33" s="215" t="s">
        <v>6571</v>
      </c>
      <c r="E33" s="215" t="s">
        <v>6571</v>
      </c>
      <c r="F33" s="215" t="s">
        <v>6555</v>
      </c>
      <c r="G33" s="215" t="s">
        <v>6556</v>
      </c>
      <c r="H33" s="215" t="s">
        <v>6500</v>
      </c>
      <c r="I33" s="300"/>
      <c r="J33" s="300"/>
      <c r="K33" s="300"/>
      <c r="L33" s="300"/>
      <c r="M33" s="300"/>
      <c r="N33" s="300"/>
      <c r="O33" s="300"/>
      <c r="P33" s="300"/>
      <c r="Q33" s="300"/>
      <c r="R33" s="300"/>
      <c r="S33" s="300"/>
      <c r="T33" s="300"/>
      <c r="U33" s="300"/>
      <c r="V33" s="300"/>
      <c r="W33" s="300"/>
      <c r="X33" s="300"/>
      <c r="Y33" s="300"/>
      <c r="Z33" s="300"/>
    </row>
    <row r="34" spans="1:26">
      <c r="A34" s="215" t="s">
        <v>6572</v>
      </c>
      <c r="B34" s="207">
        <v>1927</v>
      </c>
      <c r="C34" s="215" t="s">
        <v>6573</v>
      </c>
      <c r="D34" s="215" t="s">
        <v>6574</v>
      </c>
      <c r="E34" s="215" t="s">
        <v>6575</v>
      </c>
      <c r="F34" s="215" t="s">
        <v>6576</v>
      </c>
      <c r="G34" s="215" t="s">
        <v>6577</v>
      </c>
      <c r="H34" s="215" t="s">
        <v>6521</v>
      </c>
      <c r="I34" s="300"/>
      <c r="J34" s="300"/>
      <c r="K34" s="300"/>
      <c r="L34" s="300"/>
      <c r="M34" s="300"/>
      <c r="N34" s="300"/>
      <c r="O34" s="300"/>
      <c r="P34" s="300"/>
      <c r="Q34" s="300"/>
      <c r="R34" s="300"/>
      <c r="S34" s="300"/>
      <c r="T34" s="300"/>
      <c r="U34" s="300"/>
      <c r="V34" s="300"/>
      <c r="W34" s="300"/>
      <c r="X34" s="300"/>
      <c r="Y34" s="300"/>
      <c r="Z34" s="300"/>
    </row>
    <row r="35" spans="1:26">
      <c r="A35" s="215" t="s">
        <v>6578</v>
      </c>
      <c r="B35" s="207">
        <v>2093</v>
      </c>
      <c r="C35" s="215" t="s">
        <v>6579</v>
      </c>
      <c r="D35" s="215" t="s">
        <v>6366</v>
      </c>
      <c r="E35" s="215" t="s">
        <v>6580</v>
      </c>
      <c r="F35" s="215" t="s">
        <v>6576</v>
      </c>
      <c r="G35" s="215" t="s">
        <v>6577</v>
      </c>
      <c r="H35" s="215" t="s">
        <v>6521</v>
      </c>
      <c r="I35" s="300"/>
      <c r="J35" s="300"/>
      <c r="K35" s="300"/>
      <c r="L35" s="300"/>
      <c r="M35" s="300"/>
      <c r="N35" s="300"/>
      <c r="O35" s="300"/>
      <c r="P35" s="300"/>
      <c r="Q35" s="300"/>
      <c r="R35" s="300"/>
      <c r="S35" s="300"/>
      <c r="T35" s="300"/>
      <c r="U35" s="300"/>
      <c r="V35" s="300"/>
      <c r="W35" s="300"/>
      <c r="X35" s="300"/>
      <c r="Y35" s="300"/>
      <c r="Z35" s="300"/>
    </row>
    <row r="36" spans="1:26">
      <c r="A36" s="215" t="s">
        <v>3478</v>
      </c>
      <c r="B36" s="207">
        <v>573</v>
      </c>
      <c r="C36" s="215" t="s">
        <v>5588</v>
      </c>
      <c r="D36" s="215" t="s">
        <v>6581</v>
      </c>
      <c r="E36" s="215" t="s">
        <v>6582</v>
      </c>
      <c r="F36" s="215" t="s">
        <v>6583</v>
      </c>
      <c r="G36" s="215" t="s">
        <v>6584</v>
      </c>
      <c r="H36" s="215" t="s">
        <v>6548</v>
      </c>
      <c r="I36" s="300"/>
      <c r="J36" s="300"/>
      <c r="K36" s="300"/>
      <c r="L36" s="300"/>
      <c r="M36" s="300"/>
      <c r="N36" s="300"/>
      <c r="O36" s="300"/>
      <c r="P36" s="300"/>
      <c r="Q36" s="300"/>
      <c r="R36" s="300"/>
      <c r="S36" s="300"/>
      <c r="T36" s="300"/>
      <c r="U36" s="300"/>
      <c r="V36" s="300"/>
      <c r="W36" s="300"/>
      <c r="X36" s="300"/>
      <c r="Y36" s="300"/>
      <c r="Z36" s="300"/>
    </row>
    <row r="37" spans="1:26">
      <c r="A37" s="215" t="s">
        <v>3001</v>
      </c>
      <c r="B37" s="207">
        <v>588</v>
      </c>
      <c r="C37" s="215" t="s">
        <v>5142</v>
      </c>
      <c r="D37" s="215" t="s">
        <v>6585</v>
      </c>
      <c r="E37" s="215" t="s">
        <v>6585</v>
      </c>
      <c r="F37" s="215" t="s">
        <v>6586</v>
      </c>
      <c r="G37" s="215" t="s">
        <v>6587</v>
      </c>
      <c r="H37" s="215" t="s">
        <v>6500</v>
      </c>
      <c r="I37" s="300"/>
      <c r="J37" s="300"/>
      <c r="K37" s="300"/>
      <c r="L37" s="300"/>
      <c r="M37" s="300"/>
      <c r="N37" s="300"/>
      <c r="O37" s="300"/>
      <c r="P37" s="300"/>
      <c r="Q37" s="300"/>
      <c r="R37" s="300"/>
      <c r="S37" s="300"/>
      <c r="T37" s="300"/>
      <c r="U37" s="300"/>
      <c r="V37" s="300"/>
      <c r="W37" s="300"/>
      <c r="X37" s="300"/>
      <c r="Y37" s="300"/>
      <c r="Z37" s="300"/>
    </row>
    <row r="38" spans="1:26">
      <c r="A38" s="215" t="s">
        <v>4294</v>
      </c>
      <c r="B38" s="207">
        <v>1960</v>
      </c>
      <c r="C38" s="215" t="s">
        <v>6256</v>
      </c>
      <c r="D38" s="215" t="s">
        <v>6588</v>
      </c>
      <c r="E38" s="215" t="s">
        <v>6588</v>
      </c>
      <c r="F38" s="215" t="s">
        <v>6586</v>
      </c>
      <c r="G38" s="215" t="s">
        <v>6587</v>
      </c>
      <c r="H38" s="215" t="s">
        <v>6504</v>
      </c>
      <c r="I38" s="300"/>
      <c r="J38" s="300"/>
      <c r="K38" s="300"/>
      <c r="L38" s="300"/>
      <c r="M38" s="300"/>
      <c r="N38" s="300"/>
      <c r="O38" s="300"/>
      <c r="P38" s="300"/>
      <c r="Q38" s="300"/>
      <c r="R38" s="300"/>
      <c r="S38" s="300"/>
      <c r="T38" s="300"/>
      <c r="U38" s="300"/>
      <c r="V38" s="300"/>
      <c r="W38" s="300"/>
      <c r="X38" s="300"/>
      <c r="Y38" s="300"/>
      <c r="Z38" s="300"/>
    </row>
    <row r="39" spans="1:26">
      <c r="A39" s="215" t="s">
        <v>3002</v>
      </c>
      <c r="B39" s="207">
        <v>1906</v>
      </c>
      <c r="C39" s="215" t="s">
        <v>6589</v>
      </c>
      <c r="D39" s="215" t="s">
        <v>6590</v>
      </c>
      <c r="E39" s="215" t="s">
        <v>6591</v>
      </c>
      <c r="F39" s="215" t="s">
        <v>6592</v>
      </c>
      <c r="G39" s="215" t="s">
        <v>6593</v>
      </c>
      <c r="H39" s="215" t="s">
        <v>6504</v>
      </c>
      <c r="I39" s="300"/>
      <c r="J39" s="300"/>
      <c r="K39" s="300"/>
      <c r="L39" s="300"/>
      <c r="M39" s="300"/>
      <c r="N39" s="300"/>
      <c r="O39" s="300"/>
      <c r="P39" s="300"/>
      <c r="Q39" s="300"/>
      <c r="R39" s="300"/>
      <c r="S39" s="300"/>
      <c r="T39" s="300"/>
      <c r="U39" s="300"/>
      <c r="V39" s="300"/>
      <c r="W39" s="300"/>
      <c r="X39" s="300"/>
      <c r="Y39" s="300"/>
      <c r="Z39" s="300"/>
    </row>
    <row r="40" spans="1:26">
      <c r="A40" s="215" t="s">
        <v>3185</v>
      </c>
      <c r="B40" s="207">
        <v>1907</v>
      </c>
      <c r="C40" s="215" t="s">
        <v>6594</v>
      </c>
      <c r="D40" s="215" t="s">
        <v>6595</v>
      </c>
      <c r="E40" s="215" t="s">
        <v>6596</v>
      </c>
      <c r="F40" s="215" t="s">
        <v>6597</v>
      </c>
      <c r="G40" s="215" t="s">
        <v>6598</v>
      </c>
      <c r="H40" s="215" t="s">
        <v>6504</v>
      </c>
      <c r="I40" s="300"/>
      <c r="J40" s="300"/>
      <c r="K40" s="300"/>
      <c r="L40" s="300"/>
      <c r="M40" s="300"/>
      <c r="N40" s="300"/>
      <c r="O40" s="300"/>
      <c r="P40" s="300"/>
      <c r="Q40" s="300"/>
      <c r="R40" s="300"/>
      <c r="S40" s="300"/>
      <c r="T40" s="300"/>
      <c r="U40" s="300"/>
      <c r="V40" s="300"/>
      <c r="W40" s="300"/>
      <c r="X40" s="300"/>
      <c r="Y40" s="300"/>
      <c r="Z40" s="300"/>
    </row>
    <row r="41" spans="1:26">
      <c r="A41" s="215" t="s">
        <v>3946</v>
      </c>
      <c r="B41" s="207">
        <v>1078</v>
      </c>
      <c r="C41" s="215" t="s">
        <v>5985</v>
      </c>
      <c r="D41" s="215" t="s">
        <v>6599</v>
      </c>
      <c r="E41" s="215" t="s">
        <v>6600</v>
      </c>
      <c r="F41" s="215" t="s">
        <v>6601</v>
      </c>
      <c r="G41" s="215" t="s">
        <v>6602</v>
      </c>
      <c r="H41" s="215" t="s">
        <v>6500</v>
      </c>
      <c r="I41" s="300"/>
      <c r="J41" s="300"/>
      <c r="K41" s="300"/>
      <c r="L41" s="300"/>
      <c r="M41" s="300"/>
      <c r="N41" s="300"/>
      <c r="O41" s="300"/>
      <c r="P41" s="300"/>
      <c r="Q41" s="300"/>
      <c r="R41" s="300"/>
      <c r="S41" s="300"/>
      <c r="T41" s="300"/>
      <c r="U41" s="300"/>
      <c r="V41" s="300"/>
      <c r="W41" s="300"/>
      <c r="X41" s="300"/>
      <c r="Y41" s="300"/>
      <c r="Z41" s="300"/>
    </row>
    <row r="42" spans="1:26">
      <c r="A42" s="215" t="s">
        <v>6603</v>
      </c>
      <c r="B42" s="207">
        <v>2232</v>
      </c>
      <c r="C42" s="215" t="s">
        <v>4815</v>
      </c>
      <c r="D42" s="215" t="s">
        <v>6604</v>
      </c>
      <c r="E42" s="215" t="s">
        <v>6605</v>
      </c>
      <c r="F42" s="215" t="s">
        <v>6606</v>
      </c>
      <c r="G42" s="215" t="s">
        <v>6607</v>
      </c>
      <c r="H42" s="215" t="s">
        <v>6500</v>
      </c>
      <c r="I42" s="300"/>
      <c r="J42" s="300"/>
      <c r="K42" s="300"/>
      <c r="L42" s="300"/>
      <c r="M42" s="300"/>
      <c r="N42" s="300"/>
      <c r="O42" s="300"/>
      <c r="P42" s="300"/>
      <c r="Q42" s="300"/>
      <c r="R42" s="300"/>
      <c r="S42" s="300"/>
      <c r="T42" s="300"/>
      <c r="U42" s="300"/>
      <c r="V42" s="300"/>
      <c r="W42" s="300"/>
      <c r="X42" s="300"/>
      <c r="Y42" s="300"/>
      <c r="Z42" s="300"/>
    </row>
    <row r="43" spans="1:26">
      <c r="A43" s="215" t="s">
        <v>2528</v>
      </c>
      <c r="B43" s="207">
        <v>164</v>
      </c>
      <c r="C43" s="215" t="s">
        <v>4795</v>
      </c>
      <c r="D43" s="215" t="s">
        <v>6608</v>
      </c>
      <c r="E43" s="215" t="s">
        <v>6609</v>
      </c>
      <c r="F43" s="215" t="s">
        <v>6610</v>
      </c>
      <c r="G43" s="215" t="s">
        <v>6611</v>
      </c>
      <c r="H43" s="215" t="s">
        <v>6500</v>
      </c>
      <c r="I43" s="300"/>
      <c r="J43" s="300"/>
      <c r="K43" s="300"/>
      <c r="L43" s="300"/>
      <c r="M43" s="300"/>
      <c r="N43" s="300"/>
      <c r="O43" s="300"/>
      <c r="P43" s="300"/>
      <c r="Q43" s="300"/>
      <c r="R43" s="300"/>
      <c r="S43" s="300"/>
      <c r="T43" s="300"/>
      <c r="U43" s="300"/>
      <c r="V43" s="300"/>
      <c r="W43" s="300"/>
      <c r="X43" s="300"/>
      <c r="Y43" s="300"/>
      <c r="Z43" s="300"/>
    </row>
    <row r="44" spans="1:26">
      <c r="A44" s="215" t="s">
        <v>2657</v>
      </c>
      <c r="B44" s="207">
        <v>165</v>
      </c>
      <c r="C44" s="215" t="s">
        <v>4829</v>
      </c>
      <c r="D44" s="215" t="s">
        <v>6612</v>
      </c>
      <c r="E44" s="215" t="s">
        <v>6613</v>
      </c>
      <c r="F44" s="215" t="s">
        <v>6610</v>
      </c>
      <c r="G44" s="215" t="s">
        <v>6611</v>
      </c>
      <c r="H44" s="215" t="s">
        <v>6497</v>
      </c>
      <c r="I44" s="300"/>
      <c r="J44" s="300"/>
      <c r="K44" s="300"/>
      <c r="L44" s="300"/>
      <c r="M44" s="300"/>
      <c r="N44" s="300"/>
      <c r="O44" s="300"/>
      <c r="P44" s="300"/>
      <c r="Q44" s="300"/>
      <c r="R44" s="300"/>
      <c r="S44" s="300"/>
      <c r="T44" s="300"/>
      <c r="U44" s="300"/>
      <c r="V44" s="300"/>
      <c r="W44" s="300"/>
      <c r="X44" s="300"/>
      <c r="Y44" s="300"/>
      <c r="Z44" s="300"/>
    </row>
    <row r="45" spans="1:26">
      <c r="A45" s="215" t="s">
        <v>2678</v>
      </c>
      <c r="B45" s="207">
        <v>166</v>
      </c>
      <c r="C45" s="215" t="s">
        <v>4851</v>
      </c>
      <c r="D45" s="215" t="s">
        <v>6614</v>
      </c>
      <c r="E45" s="215" t="s">
        <v>6614</v>
      </c>
      <c r="F45" s="215" t="s">
        <v>6610</v>
      </c>
      <c r="G45" s="215" t="s">
        <v>6611</v>
      </c>
      <c r="H45" s="215" t="s">
        <v>6521</v>
      </c>
      <c r="I45" s="300"/>
      <c r="J45" s="300"/>
      <c r="K45" s="300"/>
      <c r="L45" s="300"/>
      <c r="M45" s="300"/>
      <c r="N45" s="300"/>
      <c r="O45" s="300"/>
      <c r="P45" s="300"/>
      <c r="Q45" s="300"/>
      <c r="R45" s="300"/>
      <c r="S45" s="300"/>
      <c r="T45" s="300"/>
      <c r="U45" s="300"/>
      <c r="V45" s="300"/>
      <c r="W45" s="300"/>
      <c r="X45" s="300"/>
      <c r="Y45" s="300"/>
      <c r="Z45" s="300"/>
    </row>
    <row r="46" spans="1:26">
      <c r="A46" s="215" t="s">
        <v>2675</v>
      </c>
      <c r="B46" s="207">
        <v>167</v>
      </c>
      <c r="C46" s="215" t="s">
        <v>4850</v>
      </c>
      <c r="D46" s="215" t="s">
        <v>6615</v>
      </c>
      <c r="E46" s="215" t="s">
        <v>6616</v>
      </c>
      <c r="F46" s="215" t="s">
        <v>6610</v>
      </c>
      <c r="G46" s="215" t="s">
        <v>6611</v>
      </c>
      <c r="H46" s="215" t="s">
        <v>6500</v>
      </c>
      <c r="I46" s="300"/>
      <c r="J46" s="300"/>
      <c r="K46" s="300"/>
      <c r="L46" s="300"/>
      <c r="M46" s="300"/>
      <c r="N46" s="300"/>
      <c r="O46" s="300"/>
      <c r="P46" s="300"/>
      <c r="Q46" s="300"/>
      <c r="R46" s="300"/>
      <c r="S46" s="300"/>
      <c r="T46" s="300"/>
      <c r="U46" s="300"/>
      <c r="V46" s="300"/>
      <c r="W46" s="300"/>
      <c r="X46" s="300"/>
      <c r="Y46" s="300"/>
      <c r="Z46" s="300"/>
    </row>
    <row r="47" spans="1:26">
      <c r="A47" s="215" t="s">
        <v>6617</v>
      </c>
      <c r="B47" s="207">
        <v>168</v>
      </c>
      <c r="C47" s="215" t="s">
        <v>4800</v>
      </c>
      <c r="D47" s="215" t="s">
        <v>6618</v>
      </c>
      <c r="E47" s="215" t="s">
        <v>6619</v>
      </c>
      <c r="F47" s="215" t="s">
        <v>6610</v>
      </c>
      <c r="G47" s="215" t="s">
        <v>6611</v>
      </c>
      <c r="H47" s="215" t="s">
        <v>6521</v>
      </c>
      <c r="I47" s="300"/>
      <c r="J47" s="300"/>
      <c r="K47" s="300"/>
      <c r="L47" s="300"/>
      <c r="M47" s="300"/>
      <c r="N47" s="300"/>
      <c r="O47" s="300"/>
      <c r="P47" s="300"/>
      <c r="Q47" s="300"/>
      <c r="R47" s="300"/>
      <c r="S47" s="300"/>
      <c r="T47" s="300"/>
      <c r="U47" s="300"/>
      <c r="V47" s="300"/>
      <c r="W47" s="300"/>
      <c r="X47" s="300"/>
      <c r="Y47" s="300"/>
      <c r="Z47" s="300"/>
    </row>
    <row r="48" spans="1:26">
      <c r="A48" s="215" t="s">
        <v>2767</v>
      </c>
      <c r="B48" s="207">
        <v>169</v>
      </c>
      <c r="C48" s="215" t="s">
        <v>4925</v>
      </c>
      <c r="D48" s="215" t="s">
        <v>6620</v>
      </c>
      <c r="E48" s="215" t="s">
        <v>6620</v>
      </c>
      <c r="F48" s="215" t="s">
        <v>6610</v>
      </c>
      <c r="G48" s="215" t="s">
        <v>6611</v>
      </c>
      <c r="H48" s="215" t="s">
        <v>6504</v>
      </c>
      <c r="I48" s="300"/>
      <c r="J48" s="300"/>
      <c r="K48" s="300"/>
      <c r="L48" s="300"/>
      <c r="M48" s="300"/>
      <c r="N48" s="300"/>
      <c r="O48" s="300"/>
      <c r="P48" s="300"/>
      <c r="Q48" s="300"/>
      <c r="R48" s="300"/>
      <c r="S48" s="300"/>
      <c r="T48" s="300"/>
      <c r="U48" s="300"/>
      <c r="V48" s="300"/>
      <c r="W48" s="300"/>
      <c r="X48" s="300"/>
      <c r="Y48" s="300"/>
      <c r="Z48" s="300"/>
    </row>
    <row r="49" spans="1:26">
      <c r="A49" s="215"/>
      <c r="B49" s="207">
        <v>170</v>
      </c>
      <c r="C49" s="215" t="s">
        <v>6621</v>
      </c>
      <c r="D49" s="215" t="s">
        <v>6622</v>
      </c>
      <c r="E49" s="215" t="s">
        <v>6622</v>
      </c>
      <c r="F49" s="215" t="s">
        <v>6610</v>
      </c>
      <c r="G49" s="215" t="s">
        <v>6611</v>
      </c>
      <c r="H49" s="215" t="s">
        <v>6497</v>
      </c>
      <c r="I49" s="300"/>
      <c r="J49" s="300"/>
      <c r="K49" s="300"/>
      <c r="L49" s="300"/>
      <c r="M49" s="300"/>
      <c r="N49" s="300"/>
      <c r="O49" s="300"/>
      <c r="P49" s="300"/>
      <c r="Q49" s="300"/>
      <c r="R49" s="300"/>
      <c r="S49" s="300"/>
      <c r="T49" s="300"/>
      <c r="U49" s="300"/>
      <c r="V49" s="300"/>
      <c r="W49" s="300"/>
      <c r="X49" s="300"/>
      <c r="Y49" s="300"/>
      <c r="Z49" s="300"/>
    </row>
    <row r="50" spans="1:26">
      <c r="A50" s="215" t="s">
        <v>2777</v>
      </c>
      <c r="B50" s="207">
        <v>171</v>
      </c>
      <c r="C50" s="215" t="s">
        <v>4937</v>
      </c>
      <c r="D50" s="215" t="s">
        <v>6623</v>
      </c>
      <c r="E50" s="215" t="s">
        <v>6624</v>
      </c>
      <c r="F50" s="215" t="s">
        <v>6610</v>
      </c>
      <c r="G50" s="215" t="s">
        <v>6611</v>
      </c>
      <c r="H50" s="215" t="s">
        <v>6504</v>
      </c>
      <c r="I50" s="300"/>
      <c r="J50" s="300"/>
      <c r="K50" s="300"/>
      <c r="L50" s="300"/>
      <c r="M50" s="300"/>
      <c r="N50" s="300"/>
      <c r="O50" s="300"/>
      <c r="P50" s="300"/>
      <c r="Q50" s="300"/>
      <c r="R50" s="300"/>
      <c r="S50" s="300"/>
      <c r="T50" s="300"/>
      <c r="U50" s="300"/>
      <c r="V50" s="300"/>
      <c r="W50" s="300"/>
      <c r="X50" s="300"/>
      <c r="Y50" s="300"/>
      <c r="Z50" s="300"/>
    </row>
    <row r="51" spans="1:26">
      <c r="A51" s="215" t="s">
        <v>2768</v>
      </c>
      <c r="B51" s="207">
        <v>172</v>
      </c>
      <c r="C51" s="215" t="s">
        <v>4926</v>
      </c>
      <c r="D51" s="215" t="s">
        <v>6625</v>
      </c>
      <c r="E51" s="215" t="s">
        <v>6626</v>
      </c>
      <c r="F51" s="215" t="s">
        <v>6610</v>
      </c>
      <c r="G51" s="215" t="s">
        <v>6611</v>
      </c>
      <c r="H51" s="215" t="s">
        <v>6504</v>
      </c>
      <c r="I51" s="300"/>
      <c r="J51" s="300"/>
      <c r="K51" s="300"/>
      <c r="L51" s="300"/>
      <c r="M51" s="300"/>
      <c r="N51" s="300"/>
      <c r="O51" s="300"/>
      <c r="P51" s="300"/>
      <c r="Q51" s="300"/>
      <c r="R51" s="300"/>
      <c r="S51" s="300"/>
      <c r="T51" s="300"/>
      <c r="U51" s="300"/>
      <c r="V51" s="300"/>
      <c r="W51" s="300"/>
      <c r="X51" s="300"/>
      <c r="Y51" s="300"/>
      <c r="Z51" s="300"/>
    </row>
    <row r="52" spans="1:26">
      <c r="A52" s="215" t="s">
        <v>3040</v>
      </c>
      <c r="B52" s="207">
        <v>173</v>
      </c>
      <c r="C52" s="215" t="s">
        <v>6627</v>
      </c>
      <c r="D52" s="215" t="s">
        <v>6628</v>
      </c>
      <c r="E52" s="215" t="s">
        <v>6629</v>
      </c>
      <c r="F52" s="215" t="s">
        <v>6610</v>
      </c>
      <c r="G52" s="215" t="s">
        <v>6611</v>
      </c>
      <c r="H52" s="215" t="s">
        <v>6497</v>
      </c>
      <c r="I52" s="300"/>
      <c r="J52" s="300"/>
      <c r="K52" s="300"/>
      <c r="L52" s="300"/>
      <c r="M52" s="300"/>
      <c r="N52" s="300"/>
      <c r="O52" s="300"/>
      <c r="P52" s="300"/>
      <c r="Q52" s="300"/>
      <c r="R52" s="300"/>
      <c r="S52" s="300"/>
      <c r="T52" s="300"/>
      <c r="U52" s="300"/>
      <c r="V52" s="300"/>
      <c r="W52" s="300"/>
      <c r="X52" s="300"/>
      <c r="Y52" s="300"/>
      <c r="Z52" s="300"/>
    </row>
    <row r="53" spans="1:26">
      <c r="A53" s="215" t="s">
        <v>3049</v>
      </c>
      <c r="B53" s="207">
        <v>174</v>
      </c>
      <c r="C53" s="215" t="s">
        <v>5184</v>
      </c>
      <c r="D53" s="215" t="s">
        <v>6630</v>
      </c>
      <c r="E53" s="215" t="s">
        <v>6630</v>
      </c>
      <c r="F53" s="215" t="s">
        <v>6610</v>
      </c>
      <c r="G53" s="215" t="s">
        <v>6611</v>
      </c>
      <c r="H53" s="215" t="s">
        <v>6504</v>
      </c>
      <c r="I53" s="300"/>
      <c r="J53" s="300"/>
      <c r="K53" s="300"/>
      <c r="L53" s="300"/>
      <c r="M53" s="300"/>
      <c r="N53" s="300"/>
      <c r="O53" s="300"/>
      <c r="P53" s="300"/>
      <c r="Q53" s="300"/>
      <c r="R53" s="300"/>
      <c r="S53" s="300"/>
      <c r="T53" s="300"/>
      <c r="U53" s="300"/>
      <c r="V53" s="300"/>
      <c r="W53" s="300"/>
      <c r="X53" s="300"/>
      <c r="Y53" s="300"/>
      <c r="Z53" s="300"/>
    </row>
    <row r="54" spans="1:26">
      <c r="A54" s="215" t="s">
        <v>3050</v>
      </c>
      <c r="B54" s="207">
        <v>175</v>
      </c>
      <c r="C54" s="215" t="s">
        <v>5186</v>
      </c>
      <c r="D54" s="215" t="s">
        <v>6631</v>
      </c>
      <c r="E54" s="215" t="s">
        <v>6631</v>
      </c>
      <c r="F54" s="215" t="s">
        <v>6610</v>
      </c>
      <c r="G54" s="215" t="s">
        <v>6611</v>
      </c>
      <c r="H54" s="215" t="s">
        <v>6500</v>
      </c>
      <c r="I54" s="300"/>
      <c r="J54" s="300"/>
      <c r="K54" s="300"/>
      <c r="L54" s="300"/>
      <c r="M54" s="300"/>
      <c r="N54" s="300"/>
      <c r="O54" s="300"/>
      <c r="P54" s="300"/>
      <c r="Q54" s="300"/>
      <c r="R54" s="300"/>
      <c r="S54" s="300"/>
      <c r="T54" s="300"/>
      <c r="U54" s="300"/>
      <c r="V54" s="300"/>
      <c r="W54" s="300"/>
      <c r="X54" s="300"/>
      <c r="Y54" s="300"/>
      <c r="Z54" s="300"/>
    </row>
    <row r="55" spans="1:26">
      <c r="A55" s="215" t="s">
        <v>3312</v>
      </c>
      <c r="B55" s="207">
        <v>176</v>
      </c>
      <c r="C55" s="215" t="s">
        <v>5438</v>
      </c>
      <c r="D55" s="215" t="s">
        <v>6632</v>
      </c>
      <c r="E55" s="215" t="s">
        <v>6633</v>
      </c>
      <c r="F55" s="215" t="s">
        <v>6610</v>
      </c>
      <c r="G55" s="215" t="s">
        <v>6611</v>
      </c>
      <c r="H55" s="215" t="s">
        <v>6504</v>
      </c>
      <c r="I55" s="300"/>
      <c r="J55" s="300"/>
      <c r="K55" s="300"/>
      <c r="L55" s="300"/>
      <c r="M55" s="300"/>
      <c r="N55" s="300"/>
      <c r="O55" s="300"/>
      <c r="P55" s="300"/>
      <c r="Q55" s="300"/>
      <c r="R55" s="300"/>
      <c r="S55" s="300"/>
      <c r="T55" s="300"/>
      <c r="U55" s="300"/>
      <c r="V55" s="300"/>
      <c r="W55" s="300"/>
      <c r="X55" s="300"/>
      <c r="Y55" s="300"/>
      <c r="Z55" s="300"/>
    </row>
    <row r="56" spans="1:26">
      <c r="A56" s="215"/>
      <c r="B56" s="207">
        <v>177</v>
      </c>
      <c r="C56" s="215" t="s">
        <v>6634</v>
      </c>
      <c r="D56" s="215" t="s">
        <v>6635</v>
      </c>
      <c r="E56" s="215" t="s">
        <v>6635</v>
      </c>
      <c r="F56" s="215" t="s">
        <v>6610</v>
      </c>
      <c r="G56" s="215" t="s">
        <v>6611</v>
      </c>
      <c r="H56" s="215" t="s">
        <v>6548</v>
      </c>
      <c r="I56" s="300"/>
      <c r="J56" s="300"/>
      <c r="K56" s="300"/>
      <c r="L56" s="300"/>
      <c r="M56" s="300"/>
      <c r="N56" s="300"/>
      <c r="O56" s="300"/>
      <c r="P56" s="300"/>
      <c r="Q56" s="300"/>
      <c r="R56" s="300"/>
      <c r="S56" s="300"/>
      <c r="T56" s="300"/>
      <c r="U56" s="300"/>
      <c r="V56" s="300"/>
      <c r="W56" s="300"/>
      <c r="X56" s="300"/>
      <c r="Y56" s="300"/>
      <c r="Z56" s="300"/>
    </row>
    <row r="57" spans="1:26">
      <c r="A57" s="215" t="s">
        <v>3029</v>
      </c>
      <c r="B57" s="207">
        <v>178</v>
      </c>
      <c r="C57" s="215" t="s">
        <v>5163</v>
      </c>
      <c r="D57" s="215" t="s">
        <v>6636</v>
      </c>
      <c r="E57" s="215" t="s">
        <v>6637</v>
      </c>
      <c r="F57" s="215" t="s">
        <v>6610</v>
      </c>
      <c r="G57" s="215" t="s">
        <v>6611</v>
      </c>
      <c r="H57" s="215" t="s">
        <v>6497</v>
      </c>
      <c r="I57" s="300"/>
      <c r="J57" s="300"/>
      <c r="K57" s="300"/>
      <c r="L57" s="300"/>
      <c r="M57" s="300"/>
      <c r="N57" s="300"/>
      <c r="O57" s="300"/>
      <c r="P57" s="300"/>
      <c r="Q57" s="300"/>
      <c r="R57" s="300"/>
      <c r="S57" s="300"/>
      <c r="T57" s="300"/>
      <c r="U57" s="300"/>
      <c r="V57" s="300"/>
      <c r="W57" s="300"/>
      <c r="X57" s="300"/>
      <c r="Y57" s="300"/>
      <c r="Z57" s="300"/>
    </row>
    <row r="58" spans="1:26">
      <c r="A58" s="215" t="s">
        <v>3136</v>
      </c>
      <c r="B58" s="207">
        <v>179</v>
      </c>
      <c r="C58" s="215" t="s">
        <v>5274</v>
      </c>
      <c r="D58" s="215" t="s">
        <v>6638</v>
      </c>
      <c r="E58" s="215" t="s">
        <v>6639</v>
      </c>
      <c r="F58" s="215" t="s">
        <v>6610</v>
      </c>
      <c r="G58" s="215" t="s">
        <v>6611</v>
      </c>
      <c r="H58" s="215" t="s">
        <v>6497</v>
      </c>
      <c r="I58" s="300"/>
      <c r="J58" s="300"/>
      <c r="K58" s="300"/>
      <c r="L58" s="300"/>
      <c r="M58" s="300"/>
      <c r="N58" s="300"/>
      <c r="O58" s="300"/>
      <c r="P58" s="300"/>
      <c r="Q58" s="300"/>
      <c r="R58" s="300"/>
      <c r="S58" s="300"/>
      <c r="T58" s="300"/>
      <c r="U58" s="300"/>
      <c r="V58" s="300"/>
      <c r="W58" s="300"/>
      <c r="X58" s="300"/>
      <c r="Y58" s="300"/>
      <c r="Z58" s="300"/>
    </row>
    <row r="59" spans="1:26">
      <c r="A59" s="215" t="s">
        <v>3133</v>
      </c>
      <c r="B59" s="207">
        <v>180</v>
      </c>
      <c r="C59" s="215" t="s">
        <v>5272</v>
      </c>
      <c r="D59" s="215" t="s">
        <v>6640</v>
      </c>
      <c r="E59" s="215" t="s">
        <v>6641</v>
      </c>
      <c r="F59" s="215" t="s">
        <v>6610</v>
      </c>
      <c r="G59" s="215" t="s">
        <v>6611</v>
      </c>
      <c r="H59" s="215" t="s">
        <v>6548</v>
      </c>
      <c r="I59" s="300"/>
      <c r="J59" s="300"/>
      <c r="K59" s="300"/>
      <c r="L59" s="300"/>
      <c r="M59" s="300"/>
      <c r="N59" s="300"/>
      <c r="O59" s="300"/>
      <c r="P59" s="300"/>
      <c r="Q59" s="300"/>
      <c r="R59" s="300"/>
      <c r="S59" s="300"/>
      <c r="T59" s="300"/>
      <c r="U59" s="300"/>
      <c r="V59" s="300"/>
      <c r="W59" s="300"/>
      <c r="X59" s="300"/>
      <c r="Y59" s="300"/>
      <c r="Z59" s="300"/>
    </row>
    <row r="60" spans="1:26">
      <c r="A60" s="215" t="s">
        <v>3135</v>
      </c>
      <c r="B60" s="207">
        <v>181</v>
      </c>
      <c r="C60" s="215" t="s">
        <v>6642</v>
      </c>
      <c r="D60" s="215" t="s">
        <v>6643</v>
      </c>
      <c r="E60" s="215" t="s">
        <v>6643</v>
      </c>
      <c r="F60" s="215" t="s">
        <v>6610</v>
      </c>
      <c r="G60" s="215" t="s">
        <v>6611</v>
      </c>
      <c r="H60" s="215" t="s">
        <v>6497</v>
      </c>
      <c r="I60" s="300"/>
      <c r="J60" s="300"/>
      <c r="K60" s="300"/>
      <c r="L60" s="300"/>
      <c r="M60" s="300"/>
      <c r="N60" s="300"/>
      <c r="O60" s="300"/>
      <c r="P60" s="300"/>
      <c r="Q60" s="300"/>
      <c r="R60" s="300"/>
      <c r="S60" s="300"/>
      <c r="T60" s="300"/>
      <c r="U60" s="300"/>
      <c r="V60" s="300"/>
      <c r="W60" s="300"/>
      <c r="X60" s="300"/>
      <c r="Y60" s="300"/>
      <c r="Z60" s="300"/>
    </row>
    <row r="61" spans="1:26">
      <c r="A61" s="215" t="s">
        <v>6644</v>
      </c>
      <c r="B61" s="207">
        <v>182</v>
      </c>
      <c r="C61" s="215" t="s">
        <v>6376</v>
      </c>
      <c r="D61" s="215" t="s">
        <v>6645</v>
      </c>
      <c r="E61" s="215" t="s">
        <v>6646</v>
      </c>
      <c r="F61" s="215" t="s">
        <v>6610</v>
      </c>
      <c r="G61" s="215" t="s">
        <v>6611</v>
      </c>
      <c r="H61" s="215" t="s">
        <v>6504</v>
      </c>
      <c r="I61" s="300"/>
      <c r="J61" s="300"/>
      <c r="K61" s="300"/>
      <c r="L61" s="300"/>
      <c r="M61" s="300"/>
      <c r="N61" s="300"/>
      <c r="O61" s="300"/>
      <c r="P61" s="300"/>
      <c r="Q61" s="300"/>
      <c r="R61" s="300"/>
      <c r="S61" s="300"/>
      <c r="T61" s="300"/>
      <c r="U61" s="300"/>
      <c r="V61" s="300"/>
      <c r="W61" s="300"/>
      <c r="X61" s="300"/>
      <c r="Y61" s="300"/>
      <c r="Z61" s="300"/>
    </row>
    <row r="62" spans="1:26">
      <c r="A62" s="215" t="s">
        <v>3403</v>
      </c>
      <c r="B62" s="207">
        <v>183</v>
      </c>
      <c r="C62" s="215" t="s">
        <v>6647</v>
      </c>
      <c r="D62" s="215" t="s">
        <v>6648</v>
      </c>
      <c r="E62" s="215" t="s">
        <v>6649</v>
      </c>
      <c r="F62" s="215" t="s">
        <v>6610</v>
      </c>
      <c r="G62" s="215" t="s">
        <v>6611</v>
      </c>
      <c r="H62" s="215" t="s">
        <v>6504</v>
      </c>
      <c r="I62" s="300"/>
      <c r="J62" s="300"/>
      <c r="K62" s="300"/>
      <c r="L62" s="300"/>
      <c r="M62" s="300"/>
      <c r="N62" s="300"/>
      <c r="O62" s="300"/>
      <c r="P62" s="300"/>
      <c r="Q62" s="300"/>
      <c r="R62" s="300"/>
      <c r="S62" s="300"/>
      <c r="T62" s="300"/>
      <c r="U62" s="300"/>
      <c r="V62" s="300"/>
      <c r="W62" s="300"/>
      <c r="X62" s="300"/>
      <c r="Y62" s="300"/>
      <c r="Z62" s="300"/>
    </row>
    <row r="63" spans="1:26">
      <c r="A63" s="215" t="s">
        <v>3405</v>
      </c>
      <c r="B63" s="207">
        <v>184</v>
      </c>
      <c r="C63" s="215" t="s">
        <v>5529</v>
      </c>
      <c r="D63" s="215" t="s">
        <v>6650</v>
      </c>
      <c r="E63" s="215" t="s">
        <v>6651</v>
      </c>
      <c r="F63" s="215" t="s">
        <v>6610</v>
      </c>
      <c r="G63" s="215" t="s">
        <v>6611</v>
      </c>
      <c r="H63" s="215" t="s">
        <v>6521</v>
      </c>
      <c r="I63" s="300"/>
      <c r="J63" s="300"/>
      <c r="K63" s="300"/>
      <c r="L63" s="300"/>
      <c r="M63" s="300"/>
      <c r="N63" s="300"/>
      <c r="O63" s="300"/>
      <c r="P63" s="300"/>
      <c r="Q63" s="300"/>
      <c r="R63" s="300"/>
      <c r="S63" s="300"/>
      <c r="T63" s="300"/>
      <c r="U63" s="300"/>
      <c r="V63" s="300"/>
      <c r="W63" s="300"/>
      <c r="X63" s="300"/>
      <c r="Y63" s="300"/>
      <c r="Z63" s="300"/>
    </row>
    <row r="64" spans="1:26">
      <c r="A64" s="215" t="s">
        <v>3164</v>
      </c>
      <c r="B64" s="207">
        <v>185</v>
      </c>
      <c r="C64" s="215" t="s">
        <v>5298</v>
      </c>
      <c r="D64" s="215" t="s">
        <v>6652</v>
      </c>
      <c r="E64" s="215" t="s">
        <v>6653</v>
      </c>
      <c r="F64" s="215" t="s">
        <v>6610</v>
      </c>
      <c r="G64" s="215" t="s">
        <v>6611</v>
      </c>
      <c r="H64" s="215" t="s">
        <v>6504</v>
      </c>
      <c r="I64" s="300"/>
      <c r="J64" s="300"/>
      <c r="K64" s="300"/>
      <c r="L64" s="300"/>
      <c r="M64" s="300"/>
      <c r="N64" s="300"/>
      <c r="O64" s="300"/>
      <c r="P64" s="300"/>
      <c r="Q64" s="300"/>
      <c r="R64" s="300"/>
      <c r="S64" s="300"/>
      <c r="T64" s="300"/>
      <c r="U64" s="300"/>
      <c r="V64" s="300"/>
      <c r="W64" s="300"/>
      <c r="X64" s="300"/>
      <c r="Y64" s="300"/>
      <c r="Z64" s="300"/>
    </row>
    <row r="65" spans="1:26">
      <c r="A65" s="215" t="s">
        <v>3187</v>
      </c>
      <c r="B65" s="207">
        <v>186</v>
      </c>
      <c r="C65" s="215" t="s">
        <v>5319</v>
      </c>
      <c r="D65" s="215" t="s">
        <v>6654</v>
      </c>
      <c r="E65" s="215" t="s">
        <v>6655</v>
      </c>
      <c r="F65" s="215" t="s">
        <v>6610</v>
      </c>
      <c r="G65" s="215" t="s">
        <v>6611</v>
      </c>
      <c r="H65" s="215" t="s">
        <v>6521</v>
      </c>
      <c r="I65" s="300"/>
      <c r="J65" s="300"/>
      <c r="K65" s="300"/>
      <c r="L65" s="300"/>
      <c r="M65" s="300"/>
      <c r="N65" s="300"/>
      <c r="O65" s="300"/>
      <c r="P65" s="300"/>
      <c r="Q65" s="300"/>
      <c r="R65" s="300"/>
      <c r="S65" s="300"/>
      <c r="T65" s="300"/>
      <c r="U65" s="300"/>
      <c r="V65" s="300"/>
      <c r="W65" s="300"/>
      <c r="X65" s="300"/>
      <c r="Y65" s="300"/>
      <c r="Z65" s="300"/>
    </row>
    <row r="66" spans="1:26">
      <c r="A66" s="215" t="s">
        <v>3182</v>
      </c>
      <c r="B66" s="207">
        <v>187</v>
      </c>
      <c r="C66" s="215" t="s">
        <v>5315</v>
      </c>
      <c r="D66" s="215" t="s">
        <v>6656</v>
      </c>
      <c r="E66" s="215" t="s">
        <v>6656</v>
      </c>
      <c r="F66" s="215" t="s">
        <v>6610</v>
      </c>
      <c r="G66" s="215" t="s">
        <v>6611</v>
      </c>
      <c r="H66" s="215" t="s">
        <v>6521</v>
      </c>
      <c r="I66" s="300"/>
      <c r="J66" s="300"/>
      <c r="K66" s="300"/>
      <c r="L66" s="300"/>
      <c r="M66" s="300"/>
      <c r="N66" s="300"/>
      <c r="O66" s="300"/>
      <c r="P66" s="300"/>
      <c r="Q66" s="300"/>
      <c r="R66" s="300"/>
      <c r="S66" s="300"/>
      <c r="T66" s="300"/>
      <c r="U66" s="300"/>
      <c r="V66" s="300"/>
      <c r="W66" s="300"/>
      <c r="X66" s="300"/>
      <c r="Y66" s="300"/>
      <c r="Z66" s="300"/>
    </row>
    <row r="67" spans="1:26">
      <c r="A67" s="215" t="s">
        <v>3148</v>
      </c>
      <c r="B67" s="207">
        <v>188</v>
      </c>
      <c r="C67" s="215" t="s">
        <v>6657</v>
      </c>
      <c r="D67" s="215" t="s">
        <v>6658</v>
      </c>
      <c r="E67" s="215" t="s">
        <v>6659</v>
      </c>
      <c r="F67" s="215" t="s">
        <v>6610</v>
      </c>
      <c r="G67" s="215" t="s">
        <v>6611</v>
      </c>
      <c r="H67" s="215" t="s">
        <v>6521</v>
      </c>
      <c r="I67" s="300"/>
      <c r="J67" s="300"/>
      <c r="K67" s="300"/>
      <c r="L67" s="300"/>
      <c r="M67" s="300"/>
      <c r="N67" s="300"/>
      <c r="O67" s="300"/>
      <c r="P67" s="300"/>
      <c r="Q67" s="300"/>
      <c r="R67" s="300"/>
      <c r="S67" s="300"/>
      <c r="T67" s="300"/>
      <c r="U67" s="300"/>
      <c r="V67" s="300"/>
      <c r="W67" s="300"/>
      <c r="X67" s="300"/>
      <c r="Y67" s="300"/>
      <c r="Z67" s="300"/>
    </row>
    <row r="68" spans="1:26">
      <c r="A68" s="215" t="s">
        <v>3137</v>
      </c>
      <c r="B68" s="207">
        <v>189</v>
      </c>
      <c r="C68" s="215" t="s">
        <v>4797</v>
      </c>
      <c r="D68" s="215" t="s">
        <v>6660</v>
      </c>
      <c r="E68" s="215" t="s">
        <v>6660</v>
      </c>
      <c r="F68" s="215" t="s">
        <v>6610</v>
      </c>
      <c r="G68" s="215" t="s">
        <v>6611</v>
      </c>
      <c r="H68" s="215" t="s">
        <v>6548</v>
      </c>
      <c r="I68" s="300"/>
      <c r="J68" s="300"/>
      <c r="K68" s="300"/>
      <c r="L68" s="300"/>
      <c r="M68" s="300"/>
      <c r="N68" s="300"/>
      <c r="O68" s="300"/>
      <c r="P68" s="300"/>
      <c r="Q68" s="300"/>
      <c r="R68" s="300"/>
      <c r="S68" s="300"/>
      <c r="T68" s="300"/>
      <c r="U68" s="300"/>
      <c r="V68" s="300"/>
      <c r="W68" s="300"/>
      <c r="X68" s="300"/>
      <c r="Y68" s="300"/>
      <c r="Z68" s="300"/>
    </row>
    <row r="69" spans="1:26">
      <c r="A69" s="215" t="s">
        <v>3181</v>
      </c>
      <c r="B69" s="207">
        <v>190</v>
      </c>
      <c r="C69" s="215" t="s">
        <v>6661</v>
      </c>
      <c r="D69" s="215" t="s">
        <v>6662</v>
      </c>
      <c r="E69" s="215" t="s">
        <v>6663</v>
      </c>
      <c r="F69" s="215" t="s">
        <v>6610</v>
      </c>
      <c r="G69" s="215" t="s">
        <v>6611</v>
      </c>
      <c r="H69" s="215" t="s">
        <v>6500</v>
      </c>
      <c r="I69" s="300"/>
      <c r="J69" s="300"/>
      <c r="K69" s="300"/>
      <c r="L69" s="300"/>
      <c r="M69" s="300"/>
      <c r="N69" s="300"/>
      <c r="O69" s="300"/>
      <c r="P69" s="300"/>
      <c r="Q69" s="300"/>
      <c r="R69" s="300"/>
      <c r="S69" s="300"/>
      <c r="T69" s="300"/>
      <c r="U69" s="300"/>
      <c r="V69" s="300"/>
      <c r="W69" s="300"/>
      <c r="X69" s="300"/>
      <c r="Y69" s="300"/>
      <c r="Z69" s="300"/>
    </row>
    <row r="70" spans="1:26">
      <c r="A70" s="215" t="s">
        <v>3262</v>
      </c>
      <c r="B70" s="207">
        <v>191</v>
      </c>
      <c r="C70" s="215" t="s">
        <v>5387</v>
      </c>
      <c r="D70" s="215" t="s">
        <v>6664</v>
      </c>
      <c r="E70" s="215" t="s">
        <v>6665</v>
      </c>
      <c r="F70" s="215" t="s">
        <v>6610</v>
      </c>
      <c r="G70" s="215" t="s">
        <v>6611</v>
      </c>
      <c r="H70" s="215" t="s">
        <v>6521</v>
      </c>
      <c r="I70" s="300"/>
      <c r="J70" s="300"/>
      <c r="K70" s="300"/>
      <c r="L70" s="300"/>
      <c r="M70" s="300"/>
      <c r="N70" s="300"/>
      <c r="O70" s="300"/>
      <c r="P70" s="300"/>
      <c r="Q70" s="300"/>
      <c r="R70" s="300"/>
      <c r="S70" s="300"/>
      <c r="T70" s="300"/>
      <c r="U70" s="300"/>
      <c r="V70" s="300"/>
      <c r="W70" s="300"/>
      <c r="X70" s="300"/>
      <c r="Y70" s="300"/>
      <c r="Z70" s="300"/>
    </row>
    <row r="71" spans="1:26">
      <c r="A71" s="215" t="s">
        <v>3051</v>
      </c>
      <c r="B71" s="207">
        <v>192</v>
      </c>
      <c r="C71" s="215" t="s">
        <v>5187</v>
      </c>
      <c r="D71" s="215" t="s">
        <v>6666</v>
      </c>
      <c r="E71" s="215" t="s">
        <v>6667</v>
      </c>
      <c r="F71" s="215" t="s">
        <v>6610</v>
      </c>
      <c r="G71" s="215" t="s">
        <v>6611</v>
      </c>
      <c r="H71" s="215" t="s">
        <v>6504</v>
      </c>
      <c r="I71" s="300"/>
      <c r="J71" s="300"/>
      <c r="K71" s="300"/>
      <c r="L71" s="300"/>
      <c r="M71" s="300"/>
      <c r="N71" s="300"/>
      <c r="O71" s="300"/>
      <c r="P71" s="300"/>
      <c r="Q71" s="300"/>
      <c r="R71" s="300"/>
      <c r="S71" s="300"/>
      <c r="T71" s="300"/>
      <c r="U71" s="300"/>
      <c r="V71" s="300"/>
      <c r="W71" s="300"/>
      <c r="X71" s="300"/>
      <c r="Y71" s="300"/>
      <c r="Z71" s="300"/>
    </row>
    <row r="72" spans="1:26">
      <c r="A72" s="215" t="s">
        <v>3705</v>
      </c>
      <c r="B72" s="207">
        <v>193</v>
      </c>
      <c r="C72" s="215" t="s">
        <v>6668</v>
      </c>
      <c r="D72" s="215" t="s">
        <v>6669</v>
      </c>
      <c r="E72" s="215" t="s">
        <v>6670</v>
      </c>
      <c r="F72" s="215" t="s">
        <v>6610</v>
      </c>
      <c r="G72" s="215" t="s">
        <v>6611</v>
      </c>
      <c r="H72" s="215" t="s">
        <v>6500</v>
      </c>
      <c r="I72" s="300"/>
      <c r="J72" s="300"/>
      <c r="K72" s="300"/>
      <c r="L72" s="300"/>
      <c r="M72" s="300"/>
      <c r="N72" s="300"/>
      <c r="O72" s="300"/>
      <c r="P72" s="300"/>
      <c r="Q72" s="300"/>
      <c r="R72" s="300"/>
      <c r="S72" s="300"/>
      <c r="T72" s="300"/>
      <c r="U72" s="300"/>
      <c r="V72" s="300"/>
      <c r="W72" s="300"/>
      <c r="X72" s="300"/>
      <c r="Y72" s="300"/>
      <c r="Z72" s="300"/>
    </row>
    <row r="73" spans="1:26">
      <c r="A73" s="215" t="s">
        <v>3128</v>
      </c>
      <c r="B73" s="207">
        <v>194</v>
      </c>
      <c r="C73" s="215" t="s">
        <v>5266</v>
      </c>
      <c r="D73" s="215" t="s">
        <v>6671</v>
      </c>
      <c r="E73" s="215" t="s">
        <v>6672</v>
      </c>
      <c r="F73" s="215" t="s">
        <v>6610</v>
      </c>
      <c r="G73" s="215" t="s">
        <v>6611</v>
      </c>
      <c r="H73" s="215" t="s">
        <v>6497</v>
      </c>
      <c r="I73" s="300"/>
      <c r="J73" s="300"/>
      <c r="K73" s="300"/>
      <c r="L73" s="300"/>
      <c r="M73" s="300"/>
      <c r="N73" s="300"/>
      <c r="O73" s="300"/>
      <c r="P73" s="300"/>
      <c r="Q73" s="300"/>
      <c r="R73" s="300"/>
      <c r="S73" s="300"/>
      <c r="T73" s="300"/>
      <c r="U73" s="300"/>
      <c r="V73" s="300"/>
      <c r="W73" s="300"/>
      <c r="X73" s="300"/>
      <c r="Y73" s="300"/>
      <c r="Z73" s="300"/>
    </row>
    <row r="74" spans="1:26">
      <c r="A74" s="215" t="s">
        <v>3203</v>
      </c>
      <c r="B74" s="207">
        <v>195</v>
      </c>
      <c r="C74" s="215" t="s">
        <v>5333</v>
      </c>
      <c r="D74" s="215" t="s">
        <v>6673</v>
      </c>
      <c r="E74" s="215" t="s">
        <v>6674</v>
      </c>
      <c r="F74" s="215" t="s">
        <v>6610</v>
      </c>
      <c r="G74" s="215" t="s">
        <v>6611</v>
      </c>
      <c r="H74" s="215" t="s">
        <v>6497</v>
      </c>
      <c r="I74" s="300"/>
      <c r="J74" s="300"/>
      <c r="K74" s="300"/>
      <c r="L74" s="300"/>
      <c r="M74" s="300"/>
      <c r="N74" s="300"/>
      <c r="O74" s="300"/>
      <c r="P74" s="300"/>
      <c r="Q74" s="300"/>
      <c r="R74" s="300"/>
      <c r="S74" s="300"/>
      <c r="T74" s="300"/>
      <c r="U74" s="300"/>
      <c r="V74" s="300"/>
      <c r="W74" s="300"/>
      <c r="X74" s="300"/>
      <c r="Y74" s="300"/>
      <c r="Z74" s="300"/>
    </row>
    <row r="75" spans="1:26">
      <c r="A75" s="215" t="s">
        <v>3151</v>
      </c>
      <c r="B75" s="207">
        <v>196</v>
      </c>
      <c r="C75" s="215" t="s">
        <v>5285</v>
      </c>
      <c r="D75" s="215" t="s">
        <v>6675</v>
      </c>
      <c r="E75" s="215" t="s">
        <v>6675</v>
      </c>
      <c r="F75" s="215" t="s">
        <v>6610</v>
      </c>
      <c r="G75" s="215" t="s">
        <v>6611</v>
      </c>
      <c r="H75" s="215" t="s">
        <v>6504</v>
      </c>
      <c r="I75" s="300"/>
      <c r="J75" s="300"/>
      <c r="K75" s="300"/>
      <c r="L75" s="300"/>
      <c r="M75" s="300"/>
      <c r="N75" s="300"/>
      <c r="O75" s="300"/>
      <c r="P75" s="300"/>
      <c r="Q75" s="300"/>
      <c r="R75" s="300"/>
      <c r="S75" s="300"/>
      <c r="T75" s="300"/>
      <c r="U75" s="300"/>
      <c r="V75" s="300"/>
      <c r="W75" s="300"/>
      <c r="X75" s="300"/>
      <c r="Y75" s="300"/>
      <c r="Z75" s="300"/>
    </row>
    <row r="76" spans="1:26">
      <c r="A76" s="215" t="s">
        <v>4430</v>
      </c>
      <c r="B76" s="207">
        <v>197</v>
      </c>
      <c r="C76" s="215" t="s">
        <v>6363</v>
      </c>
      <c r="D76" s="215" t="s">
        <v>6676</v>
      </c>
      <c r="E76" s="215" t="s">
        <v>6677</v>
      </c>
      <c r="F76" s="215" t="s">
        <v>6610</v>
      </c>
      <c r="G76" s="215" t="s">
        <v>6611</v>
      </c>
      <c r="H76" s="215" t="s">
        <v>6504</v>
      </c>
      <c r="I76" s="300"/>
      <c r="J76" s="300"/>
      <c r="K76" s="300"/>
      <c r="L76" s="300"/>
      <c r="M76" s="300"/>
      <c r="N76" s="300"/>
      <c r="O76" s="300"/>
      <c r="P76" s="300"/>
      <c r="Q76" s="300"/>
      <c r="R76" s="300"/>
      <c r="S76" s="300"/>
      <c r="T76" s="300"/>
      <c r="U76" s="300"/>
      <c r="V76" s="300"/>
      <c r="W76" s="300"/>
      <c r="X76" s="300"/>
      <c r="Y76" s="300"/>
      <c r="Z76" s="300"/>
    </row>
    <row r="77" spans="1:26">
      <c r="A77" s="215" t="s">
        <v>3394</v>
      </c>
      <c r="B77" s="207">
        <v>198</v>
      </c>
      <c r="C77" s="215" t="s">
        <v>5519</v>
      </c>
      <c r="D77" s="215" t="s">
        <v>6678</v>
      </c>
      <c r="E77" s="215" t="s">
        <v>6678</v>
      </c>
      <c r="F77" s="215" t="s">
        <v>6610</v>
      </c>
      <c r="G77" s="215" t="s">
        <v>6611</v>
      </c>
      <c r="H77" s="215" t="s">
        <v>6497</v>
      </c>
      <c r="I77" s="300"/>
      <c r="J77" s="300"/>
      <c r="K77" s="300"/>
      <c r="L77" s="300"/>
      <c r="M77" s="300"/>
      <c r="N77" s="300"/>
      <c r="O77" s="300"/>
      <c r="P77" s="300"/>
      <c r="Q77" s="300"/>
      <c r="R77" s="300"/>
      <c r="S77" s="300"/>
      <c r="T77" s="300"/>
      <c r="U77" s="300"/>
      <c r="V77" s="300"/>
      <c r="W77" s="300"/>
      <c r="X77" s="300"/>
      <c r="Y77" s="300"/>
      <c r="Z77" s="300"/>
    </row>
    <row r="78" spans="1:26">
      <c r="A78" s="215" t="s">
        <v>4399</v>
      </c>
      <c r="B78" s="207">
        <v>199</v>
      </c>
      <c r="C78" s="215" t="s">
        <v>6340</v>
      </c>
      <c r="D78" s="215" t="s">
        <v>6679</v>
      </c>
      <c r="E78" s="215" t="s">
        <v>6679</v>
      </c>
      <c r="F78" s="215" t="s">
        <v>6610</v>
      </c>
      <c r="G78" s="215" t="s">
        <v>6611</v>
      </c>
      <c r="H78" s="215" t="s">
        <v>6497</v>
      </c>
      <c r="I78" s="300"/>
      <c r="J78" s="300"/>
      <c r="K78" s="300"/>
      <c r="L78" s="300"/>
      <c r="M78" s="300"/>
      <c r="N78" s="300"/>
      <c r="O78" s="300"/>
      <c r="P78" s="300"/>
      <c r="Q78" s="300"/>
      <c r="R78" s="300"/>
      <c r="S78" s="300"/>
      <c r="T78" s="300"/>
      <c r="U78" s="300"/>
      <c r="V78" s="300"/>
      <c r="W78" s="300"/>
      <c r="X78" s="300"/>
      <c r="Y78" s="300"/>
      <c r="Z78" s="300"/>
    </row>
    <row r="79" spans="1:26">
      <c r="A79" s="215" t="s">
        <v>3195</v>
      </c>
      <c r="B79" s="207">
        <v>200</v>
      </c>
      <c r="C79" s="215" t="s">
        <v>6680</v>
      </c>
      <c r="D79" s="215" t="s">
        <v>6681</v>
      </c>
      <c r="E79" s="215" t="s">
        <v>6682</v>
      </c>
      <c r="F79" s="215" t="s">
        <v>6610</v>
      </c>
      <c r="G79" s="215" t="s">
        <v>6611</v>
      </c>
      <c r="H79" s="215" t="s">
        <v>6504</v>
      </c>
      <c r="I79" s="300"/>
      <c r="J79" s="300"/>
      <c r="K79" s="300"/>
      <c r="L79" s="300"/>
      <c r="M79" s="300"/>
      <c r="N79" s="300"/>
      <c r="O79" s="300"/>
      <c r="P79" s="300"/>
      <c r="Q79" s="300"/>
      <c r="R79" s="300"/>
      <c r="S79" s="300"/>
      <c r="T79" s="300"/>
      <c r="U79" s="300"/>
      <c r="V79" s="300"/>
      <c r="W79" s="300"/>
      <c r="X79" s="300"/>
      <c r="Y79" s="300"/>
      <c r="Z79" s="300"/>
    </row>
    <row r="80" spans="1:26">
      <c r="A80" s="215" t="s">
        <v>3477</v>
      </c>
      <c r="B80" s="207">
        <v>201</v>
      </c>
      <c r="C80" s="215" t="s">
        <v>6683</v>
      </c>
      <c r="D80" s="215" t="s">
        <v>6684</v>
      </c>
      <c r="E80" s="215" t="s">
        <v>6684</v>
      </c>
      <c r="F80" s="215" t="s">
        <v>6610</v>
      </c>
      <c r="G80" s="215" t="s">
        <v>6611</v>
      </c>
      <c r="H80" s="215" t="s">
        <v>6497</v>
      </c>
      <c r="I80" s="300"/>
      <c r="J80" s="300"/>
      <c r="K80" s="300"/>
      <c r="L80" s="300"/>
      <c r="M80" s="300"/>
      <c r="N80" s="300"/>
      <c r="O80" s="300"/>
      <c r="P80" s="300"/>
      <c r="Q80" s="300"/>
      <c r="R80" s="300"/>
      <c r="S80" s="300"/>
      <c r="T80" s="300"/>
      <c r="U80" s="300"/>
      <c r="V80" s="300"/>
      <c r="W80" s="300"/>
      <c r="X80" s="300"/>
      <c r="Y80" s="300"/>
      <c r="Z80" s="300"/>
    </row>
    <row r="81" spans="1:26">
      <c r="A81" s="215" t="s">
        <v>3516</v>
      </c>
      <c r="B81" s="207">
        <v>202</v>
      </c>
      <c r="C81" s="215" t="s">
        <v>5626</v>
      </c>
      <c r="D81" s="215" t="s">
        <v>6685</v>
      </c>
      <c r="E81" s="215" t="s">
        <v>6685</v>
      </c>
      <c r="F81" s="215" t="s">
        <v>6610</v>
      </c>
      <c r="G81" s="215" t="s">
        <v>6611</v>
      </c>
      <c r="H81" s="215" t="s">
        <v>6497</v>
      </c>
      <c r="I81" s="300"/>
      <c r="J81" s="300"/>
      <c r="K81" s="300"/>
      <c r="L81" s="300"/>
      <c r="M81" s="300"/>
      <c r="N81" s="300"/>
      <c r="O81" s="300"/>
      <c r="P81" s="300"/>
      <c r="Q81" s="300"/>
      <c r="R81" s="300"/>
      <c r="S81" s="300"/>
      <c r="T81" s="300"/>
      <c r="U81" s="300"/>
      <c r="V81" s="300"/>
      <c r="W81" s="300"/>
      <c r="X81" s="300"/>
      <c r="Y81" s="300"/>
      <c r="Z81" s="300"/>
    </row>
    <row r="82" spans="1:26">
      <c r="A82" s="215" t="s">
        <v>4567</v>
      </c>
      <c r="B82" s="207">
        <v>203</v>
      </c>
      <c r="C82" s="215" t="s">
        <v>6474</v>
      </c>
      <c r="D82" s="215" t="s">
        <v>6686</v>
      </c>
      <c r="E82" s="215" t="s">
        <v>6687</v>
      </c>
      <c r="F82" s="215" t="s">
        <v>6610</v>
      </c>
      <c r="G82" s="215" t="s">
        <v>6611</v>
      </c>
      <c r="H82" s="215" t="s">
        <v>6497</v>
      </c>
      <c r="I82" s="300"/>
      <c r="J82" s="300"/>
      <c r="K82" s="300"/>
      <c r="L82" s="300"/>
      <c r="M82" s="300"/>
      <c r="N82" s="300"/>
      <c r="O82" s="300"/>
      <c r="P82" s="300"/>
      <c r="Q82" s="300"/>
      <c r="R82" s="300"/>
      <c r="S82" s="300"/>
      <c r="T82" s="300"/>
      <c r="U82" s="300"/>
      <c r="V82" s="300"/>
      <c r="W82" s="300"/>
      <c r="X82" s="300"/>
      <c r="Y82" s="300"/>
      <c r="Z82" s="300"/>
    </row>
    <row r="83" spans="1:26">
      <c r="A83" s="215" t="s">
        <v>3660</v>
      </c>
      <c r="B83" s="207">
        <v>204</v>
      </c>
      <c r="C83" s="215" t="s">
        <v>5753</v>
      </c>
      <c r="D83" s="215" t="s">
        <v>6688</v>
      </c>
      <c r="E83" s="215" t="s">
        <v>6689</v>
      </c>
      <c r="F83" s="215" t="s">
        <v>6610</v>
      </c>
      <c r="G83" s="215" t="s">
        <v>6611</v>
      </c>
      <c r="H83" s="215" t="s">
        <v>6497</v>
      </c>
      <c r="I83" s="300"/>
      <c r="J83" s="300"/>
      <c r="K83" s="300"/>
      <c r="L83" s="300"/>
      <c r="M83" s="300"/>
      <c r="N83" s="300"/>
      <c r="O83" s="300"/>
      <c r="P83" s="300"/>
      <c r="Q83" s="300"/>
      <c r="R83" s="300"/>
      <c r="S83" s="300"/>
      <c r="T83" s="300"/>
      <c r="U83" s="300"/>
      <c r="V83" s="300"/>
      <c r="W83" s="300"/>
      <c r="X83" s="300"/>
      <c r="Y83" s="300"/>
      <c r="Z83" s="300"/>
    </row>
    <row r="84" spans="1:26">
      <c r="A84" s="215" t="s">
        <v>3603</v>
      </c>
      <c r="B84" s="207">
        <v>205</v>
      </c>
      <c r="C84" s="215" t="s">
        <v>5702</v>
      </c>
      <c r="D84" s="215" t="s">
        <v>6690</v>
      </c>
      <c r="E84" s="215" t="s">
        <v>6690</v>
      </c>
      <c r="F84" s="215" t="s">
        <v>6610</v>
      </c>
      <c r="G84" s="215" t="s">
        <v>6611</v>
      </c>
      <c r="H84" s="215" t="s">
        <v>6497</v>
      </c>
      <c r="I84" s="300"/>
      <c r="J84" s="300"/>
      <c r="K84" s="300"/>
      <c r="L84" s="300"/>
      <c r="M84" s="300"/>
      <c r="N84" s="300"/>
      <c r="O84" s="300"/>
      <c r="P84" s="300"/>
      <c r="Q84" s="300"/>
      <c r="R84" s="300"/>
      <c r="S84" s="300"/>
      <c r="T84" s="300"/>
      <c r="U84" s="300"/>
      <c r="V84" s="300"/>
      <c r="W84" s="300"/>
      <c r="X84" s="300"/>
      <c r="Y84" s="300"/>
      <c r="Z84" s="300"/>
    </row>
    <row r="85" spans="1:26">
      <c r="A85" s="215" t="s">
        <v>4566</v>
      </c>
      <c r="B85" s="207">
        <v>206</v>
      </c>
      <c r="C85" s="215" t="s">
        <v>6691</v>
      </c>
      <c r="D85" s="215" t="s">
        <v>6692</v>
      </c>
      <c r="E85" s="215" t="s">
        <v>6692</v>
      </c>
      <c r="F85" s="215" t="s">
        <v>6610</v>
      </c>
      <c r="G85" s="215" t="s">
        <v>6611</v>
      </c>
      <c r="H85" s="215" t="s">
        <v>6497</v>
      </c>
      <c r="I85" s="300"/>
      <c r="J85" s="300"/>
      <c r="K85" s="300"/>
      <c r="L85" s="300"/>
      <c r="M85" s="300"/>
      <c r="N85" s="300"/>
      <c r="O85" s="300"/>
      <c r="P85" s="300"/>
      <c r="Q85" s="300"/>
      <c r="R85" s="300"/>
      <c r="S85" s="300"/>
      <c r="T85" s="300"/>
      <c r="U85" s="300"/>
      <c r="V85" s="300"/>
      <c r="W85" s="300"/>
      <c r="X85" s="300"/>
      <c r="Y85" s="300"/>
      <c r="Z85" s="300"/>
    </row>
    <row r="86" spans="1:26">
      <c r="A86" s="215" t="s">
        <v>4569</v>
      </c>
      <c r="B86" s="207">
        <v>207</v>
      </c>
      <c r="C86" s="215" t="s">
        <v>6475</v>
      </c>
      <c r="D86" s="215" t="s">
        <v>6693</v>
      </c>
      <c r="E86" s="215" t="s">
        <v>6693</v>
      </c>
      <c r="F86" s="215" t="s">
        <v>6610</v>
      </c>
      <c r="G86" s="215" t="s">
        <v>6611</v>
      </c>
      <c r="H86" s="215" t="s">
        <v>6497</v>
      </c>
      <c r="I86" s="300"/>
      <c r="J86" s="300"/>
      <c r="K86" s="300"/>
      <c r="L86" s="300"/>
      <c r="M86" s="300"/>
      <c r="N86" s="300"/>
      <c r="O86" s="300"/>
      <c r="P86" s="300"/>
      <c r="Q86" s="300"/>
      <c r="R86" s="300"/>
      <c r="S86" s="300"/>
      <c r="T86" s="300"/>
      <c r="U86" s="300"/>
      <c r="V86" s="300"/>
      <c r="W86" s="300"/>
      <c r="X86" s="300"/>
      <c r="Y86" s="300"/>
      <c r="Z86" s="300"/>
    </row>
    <row r="87" spans="1:26">
      <c r="A87" s="215" t="s">
        <v>3606</v>
      </c>
      <c r="B87" s="207">
        <v>208</v>
      </c>
      <c r="C87" s="215" t="s">
        <v>5706</v>
      </c>
      <c r="D87" s="215" t="s">
        <v>6694</v>
      </c>
      <c r="E87" s="215" t="s">
        <v>6694</v>
      </c>
      <c r="F87" s="215" t="s">
        <v>6610</v>
      </c>
      <c r="G87" s="215" t="s">
        <v>6611</v>
      </c>
      <c r="H87" s="215" t="s">
        <v>6497</v>
      </c>
      <c r="I87" s="300"/>
      <c r="J87" s="300"/>
      <c r="K87" s="300"/>
      <c r="L87" s="300"/>
      <c r="M87" s="300"/>
      <c r="N87" s="300"/>
      <c r="O87" s="300"/>
      <c r="P87" s="300"/>
      <c r="Q87" s="300"/>
      <c r="R87" s="300"/>
      <c r="S87" s="300"/>
      <c r="T87" s="300"/>
      <c r="U87" s="300"/>
      <c r="V87" s="300"/>
      <c r="W87" s="300"/>
      <c r="X87" s="300"/>
      <c r="Y87" s="300"/>
      <c r="Z87" s="300"/>
    </row>
    <row r="88" spans="1:26">
      <c r="A88" s="215" t="s">
        <v>3614</v>
      </c>
      <c r="B88" s="207">
        <v>209</v>
      </c>
      <c r="C88" s="215" t="s">
        <v>5713</v>
      </c>
      <c r="D88" s="215" t="s">
        <v>6695</v>
      </c>
      <c r="E88" s="215" t="s">
        <v>6695</v>
      </c>
      <c r="F88" s="215" t="s">
        <v>6610</v>
      </c>
      <c r="G88" s="215" t="s">
        <v>6611</v>
      </c>
      <c r="H88" s="215" t="s">
        <v>6548</v>
      </c>
      <c r="I88" s="300"/>
      <c r="J88" s="300"/>
      <c r="K88" s="300"/>
      <c r="L88" s="300"/>
      <c r="M88" s="300"/>
      <c r="N88" s="300"/>
      <c r="O88" s="300"/>
      <c r="P88" s="300"/>
      <c r="Q88" s="300"/>
      <c r="R88" s="300"/>
      <c r="S88" s="300"/>
      <c r="T88" s="300"/>
      <c r="U88" s="300"/>
      <c r="V88" s="300"/>
      <c r="W88" s="300"/>
      <c r="X88" s="300"/>
      <c r="Y88" s="300"/>
      <c r="Z88" s="300"/>
    </row>
    <row r="89" spans="1:26">
      <c r="A89" s="215" t="s">
        <v>3662</v>
      </c>
      <c r="B89" s="207">
        <v>210</v>
      </c>
      <c r="C89" s="215" t="s">
        <v>5386</v>
      </c>
      <c r="D89" s="215" t="s">
        <v>6696</v>
      </c>
      <c r="E89" s="215" t="s">
        <v>6697</v>
      </c>
      <c r="F89" s="215" t="s">
        <v>6610</v>
      </c>
      <c r="G89" s="215" t="s">
        <v>6611</v>
      </c>
      <c r="H89" s="215" t="s">
        <v>6521</v>
      </c>
      <c r="I89" s="300"/>
      <c r="J89" s="300"/>
      <c r="K89" s="300"/>
      <c r="L89" s="300"/>
      <c r="M89" s="300"/>
      <c r="N89" s="300"/>
      <c r="O89" s="300"/>
      <c r="P89" s="300"/>
      <c r="Q89" s="300"/>
      <c r="R89" s="300"/>
      <c r="S89" s="300"/>
      <c r="T89" s="300"/>
      <c r="U89" s="300"/>
      <c r="V89" s="300"/>
      <c r="W89" s="300"/>
      <c r="X89" s="300"/>
      <c r="Y89" s="300"/>
      <c r="Z89" s="300"/>
    </row>
    <row r="90" spans="1:26">
      <c r="A90" s="215" t="s">
        <v>4364</v>
      </c>
      <c r="B90" s="207">
        <v>211</v>
      </c>
      <c r="C90" s="215" t="s">
        <v>6313</v>
      </c>
      <c r="D90" s="215" t="s">
        <v>6698</v>
      </c>
      <c r="E90" s="215" t="s">
        <v>6699</v>
      </c>
      <c r="F90" s="215" t="s">
        <v>6610</v>
      </c>
      <c r="G90" s="215" t="s">
        <v>6611</v>
      </c>
      <c r="H90" s="215" t="s">
        <v>6500</v>
      </c>
      <c r="I90" s="300"/>
      <c r="J90" s="300"/>
      <c r="K90" s="300"/>
      <c r="L90" s="300"/>
      <c r="M90" s="300"/>
      <c r="N90" s="300"/>
      <c r="O90" s="300"/>
      <c r="P90" s="300"/>
      <c r="Q90" s="300"/>
      <c r="R90" s="300"/>
      <c r="S90" s="300"/>
      <c r="T90" s="300"/>
      <c r="U90" s="300"/>
      <c r="V90" s="300"/>
      <c r="W90" s="300"/>
      <c r="X90" s="300"/>
      <c r="Y90" s="300"/>
      <c r="Z90" s="300"/>
    </row>
    <row r="91" spans="1:26">
      <c r="A91" s="215" t="s">
        <v>3604</v>
      </c>
      <c r="B91" s="207">
        <v>212</v>
      </c>
      <c r="C91" s="215" t="s">
        <v>5703</v>
      </c>
      <c r="D91" s="215" t="s">
        <v>6700</v>
      </c>
      <c r="E91" s="215" t="s">
        <v>6700</v>
      </c>
      <c r="F91" s="215" t="s">
        <v>6610</v>
      </c>
      <c r="G91" s="215" t="s">
        <v>6611</v>
      </c>
      <c r="H91" s="215" t="s">
        <v>6497</v>
      </c>
      <c r="I91" s="300"/>
      <c r="J91" s="300"/>
      <c r="K91" s="300"/>
      <c r="L91" s="300"/>
      <c r="M91" s="300"/>
      <c r="N91" s="300"/>
      <c r="O91" s="300"/>
      <c r="P91" s="300"/>
      <c r="Q91" s="300"/>
      <c r="R91" s="300"/>
      <c r="S91" s="300"/>
      <c r="T91" s="300"/>
      <c r="U91" s="300"/>
      <c r="V91" s="300"/>
      <c r="W91" s="300"/>
      <c r="X91" s="300"/>
      <c r="Y91" s="300"/>
      <c r="Z91" s="300"/>
    </row>
    <row r="92" spans="1:26">
      <c r="A92" s="215" t="s">
        <v>6701</v>
      </c>
      <c r="B92" s="207">
        <v>213</v>
      </c>
      <c r="C92" s="215" t="s">
        <v>5193</v>
      </c>
      <c r="D92" s="215" t="s">
        <v>6702</v>
      </c>
      <c r="E92" s="215" t="s">
        <v>6702</v>
      </c>
      <c r="F92" s="215" t="s">
        <v>6610</v>
      </c>
      <c r="G92" s="215" t="s">
        <v>6611</v>
      </c>
      <c r="H92" s="215" t="s">
        <v>6504</v>
      </c>
      <c r="I92" s="300"/>
      <c r="J92" s="300"/>
      <c r="K92" s="300"/>
      <c r="L92" s="300"/>
      <c r="M92" s="300"/>
      <c r="N92" s="300"/>
      <c r="O92" s="300"/>
      <c r="P92" s="300"/>
      <c r="Q92" s="300"/>
      <c r="R92" s="300"/>
      <c r="S92" s="300"/>
      <c r="T92" s="300"/>
      <c r="U92" s="300"/>
      <c r="V92" s="300"/>
      <c r="W92" s="300"/>
      <c r="X92" s="300"/>
      <c r="Y92" s="300"/>
      <c r="Z92" s="300"/>
    </row>
    <row r="93" spans="1:26">
      <c r="A93" s="215" t="s">
        <v>3659</v>
      </c>
      <c r="B93" s="207">
        <v>214</v>
      </c>
      <c r="C93" s="215" t="s">
        <v>5752</v>
      </c>
      <c r="D93" s="215" t="s">
        <v>6703</v>
      </c>
      <c r="E93" s="215" t="s">
        <v>6704</v>
      </c>
      <c r="F93" s="215" t="s">
        <v>6610</v>
      </c>
      <c r="G93" s="215" t="s">
        <v>6611</v>
      </c>
      <c r="H93" s="215" t="s">
        <v>6497</v>
      </c>
      <c r="I93" s="300"/>
      <c r="J93" s="300"/>
      <c r="K93" s="300"/>
      <c r="L93" s="300"/>
      <c r="M93" s="300"/>
      <c r="N93" s="300"/>
      <c r="O93" s="300"/>
      <c r="P93" s="300"/>
      <c r="Q93" s="300"/>
      <c r="R93" s="300"/>
      <c r="S93" s="300"/>
      <c r="T93" s="300"/>
      <c r="U93" s="300"/>
      <c r="V93" s="300"/>
      <c r="W93" s="300"/>
      <c r="X93" s="300"/>
      <c r="Y93" s="300"/>
      <c r="Z93" s="300"/>
    </row>
    <row r="94" spans="1:26">
      <c r="A94" s="215" t="s">
        <v>4426</v>
      </c>
      <c r="B94" s="207">
        <v>215</v>
      </c>
      <c r="C94" s="215" t="s">
        <v>6705</v>
      </c>
      <c r="D94" s="215" t="s">
        <v>6706</v>
      </c>
      <c r="E94" s="215" t="s">
        <v>6706</v>
      </c>
      <c r="F94" s="215" t="s">
        <v>6610</v>
      </c>
      <c r="G94" s="215" t="s">
        <v>6611</v>
      </c>
      <c r="H94" s="215" t="s">
        <v>6521</v>
      </c>
      <c r="I94" s="300"/>
      <c r="J94" s="300"/>
      <c r="K94" s="300"/>
      <c r="L94" s="300"/>
      <c r="M94" s="300"/>
      <c r="N94" s="300"/>
      <c r="O94" s="300"/>
      <c r="P94" s="300"/>
      <c r="Q94" s="300"/>
      <c r="R94" s="300"/>
      <c r="S94" s="300"/>
      <c r="T94" s="300"/>
      <c r="U94" s="300"/>
      <c r="V94" s="300"/>
      <c r="W94" s="300"/>
      <c r="X94" s="300"/>
      <c r="Y94" s="300"/>
      <c r="Z94" s="300"/>
    </row>
    <row r="95" spans="1:26">
      <c r="A95" s="215" t="s">
        <v>3741</v>
      </c>
      <c r="B95" s="207">
        <v>216</v>
      </c>
      <c r="C95" s="215" t="s">
        <v>5819</v>
      </c>
      <c r="D95" s="215" t="s">
        <v>6707</v>
      </c>
      <c r="E95" s="215" t="s">
        <v>6707</v>
      </c>
      <c r="F95" s="215" t="s">
        <v>6610</v>
      </c>
      <c r="G95" s="215" t="s">
        <v>6611</v>
      </c>
      <c r="H95" s="215" t="s">
        <v>6504</v>
      </c>
      <c r="I95" s="300"/>
      <c r="J95" s="300"/>
      <c r="K95" s="300"/>
      <c r="L95" s="300"/>
      <c r="M95" s="300"/>
      <c r="N95" s="300"/>
      <c r="O95" s="300"/>
      <c r="P95" s="300"/>
      <c r="Q95" s="300"/>
      <c r="R95" s="300"/>
      <c r="S95" s="300"/>
      <c r="T95" s="300"/>
      <c r="U95" s="300"/>
      <c r="V95" s="300"/>
      <c r="W95" s="300"/>
      <c r="X95" s="300"/>
      <c r="Y95" s="300"/>
      <c r="Z95" s="300"/>
    </row>
    <row r="96" spans="1:26">
      <c r="A96" s="215" t="s">
        <v>3804</v>
      </c>
      <c r="B96" s="207">
        <v>217</v>
      </c>
      <c r="C96" s="215" t="s">
        <v>5881</v>
      </c>
      <c r="D96" s="215" t="s">
        <v>6708</v>
      </c>
      <c r="E96" s="215" t="s">
        <v>6709</v>
      </c>
      <c r="F96" s="215" t="s">
        <v>6610</v>
      </c>
      <c r="G96" s="215" t="s">
        <v>6611</v>
      </c>
      <c r="H96" s="215" t="s">
        <v>6497</v>
      </c>
      <c r="I96" s="300"/>
      <c r="J96" s="300"/>
      <c r="K96" s="300"/>
      <c r="L96" s="300"/>
      <c r="M96" s="300"/>
      <c r="N96" s="300"/>
      <c r="O96" s="300"/>
      <c r="P96" s="300"/>
      <c r="Q96" s="300"/>
      <c r="R96" s="300"/>
      <c r="S96" s="300"/>
      <c r="T96" s="300"/>
      <c r="U96" s="300"/>
      <c r="V96" s="300"/>
      <c r="W96" s="300"/>
      <c r="X96" s="300"/>
      <c r="Y96" s="300"/>
      <c r="Z96" s="300"/>
    </row>
    <row r="97" spans="1:26">
      <c r="A97" s="215" t="s">
        <v>3758</v>
      </c>
      <c r="B97" s="207">
        <v>218</v>
      </c>
      <c r="C97" s="215" t="s">
        <v>5837</v>
      </c>
      <c r="D97" s="215" t="s">
        <v>6710</v>
      </c>
      <c r="E97" s="215" t="s">
        <v>6711</v>
      </c>
      <c r="F97" s="215" t="s">
        <v>6610</v>
      </c>
      <c r="G97" s="215" t="s">
        <v>6611</v>
      </c>
      <c r="H97" s="215" t="s">
        <v>6497</v>
      </c>
      <c r="I97" s="300"/>
      <c r="J97" s="300"/>
      <c r="K97" s="300"/>
      <c r="L97" s="300"/>
      <c r="M97" s="300"/>
      <c r="N97" s="300"/>
      <c r="O97" s="300"/>
      <c r="P97" s="300"/>
      <c r="Q97" s="300"/>
      <c r="R97" s="300"/>
      <c r="S97" s="300"/>
      <c r="T97" s="300"/>
      <c r="U97" s="300"/>
      <c r="V97" s="300"/>
      <c r="W97" s="300"/>
      <c r="X97" s="300"/>
      <c r="Y97" s="300"/>
      <c r="Z97" s="300"/>
    </row>
    <row r="98" spans="1:26">
      <c r="A98" s="215" t="s">
        <v>3049</v>
      </c>
      <c r="B98" s="207">
        <v>219</v>
      </c>
      <c r="C98" s="215" t="s">
        <v>5185</v>
      </c>
      <c r="D98" s="215" t="s">
        <v>6712</v>
      </c>
      <c r="E98" s="215" t="s">
        <v>6713</v>
      </c>
      <c r="F98" s="215" t="s">
        <v>6610</v>
      </c>
      <c r="G98" s="215" t="s">
        <v>6611</v>
      </c>
      <c r="H98" s="215" t="s">
        <v>6497</v>
      </c>
      <c r="I98" s="300"/>
      <c r="J98" s="300"/>
      <c r="K98" s="300"/>
      <c r="L98" s="300"/>
      <c r="M98" s="300"/>
      <c r="N98" s="300"/>
      <c r="O98" s="300"/>
      <c r="P98" s="300"/>
      <c r="Q98" s="300"/>
      <c r="R98" s="300"/>
      <c r="S98" s="300"/>
      <c r="T98" s="300"/>
      <c r="U98" s="300"/>
      <c r="V98" s="300"/>
      <c r="W98" s="300"/>
      <c r="X98" s="300"/>
      <c r="Y98" s="300"/>
      <c r="Z98" s="300"/>
    </row>
    <row r="99" spans="1:26">
      <c r="A99" s="215" t="s">
        <v>3751</v>
      </c>
      <c r="B99" s="207">
        <v>220</v>
      </c>
      <c r="C99" s="215" t="s">
        <v>5831</v>
      </c>
      <c r="D99" s="215" t="s">
        <v>6714</v>
      </c>
      <c r="E99" s="215" t="s">
        <v>6715</v>
      </c>
      <c r="F99" s="215" t="s">
        <v>6610</v>
      </c>
      <c r="G99" s="215" t="s">
        <v>6611</v>
      </c>
      <c r="H99" s="215" t="s">
        <v>6504</v>
      </c>
      <c r="I99" s="300"/>
      <c r="J99" s="300"/>
      <c r="K99" s="300"/>
      <c r="L99" s="300"/>
      <c r="M99" s="300"/>
      <c r="N99" s="300"/>
      <c r="O99" s="300"/>
      <c r="P99" s="300"/>
      <c r="Q99" s="300"/>
      <c r="R99" s="300"/>
      <c r="S99" s="300"/>
      <c r="T99" s="300"/>
      <c r="U99" s="300"/>
      <c r="V99" s="300"/>
      <c r="W99" s="300"/>
      <c r="X99" s="300"/>
      <c r="Y99" s="300"/>
      <c r="Z99" s="300"/>
    </row>
    <row r="100" spans="1:26">
      <c r="A100" s="215" t="s">
        <v>3757</v>
      </c>
      <c r="B100" s="207">
        <v>221</v>
      </c>
      <c r="C100" s="215" t="s">
        <v>5836</v>
      </c>
      <c r="D100" s="215" t="s">
        <v>6716</v>
      </c>
      <c r="E100" s="215" t="s">
        <v>6717</v>
      </c>
      <c r="F100" s="215" t="s">
        <v>6610</v>
      </c>
      <c r="G100" s="215" t="s">
        <v>6611</v>
      </c>
      <c r="H100" s="215" t="s">
        <v>6497</v>
      </c>
      <c r="I100" s="300"/>
      <c r="J100" s="300"/>
      <c r="K100" s="300"/>
      <c r="L100" s="300"/>
      <c r="M100" s="300"/>
      <c r="N100" s="300"/>
      <c r="O100" s="300"/>
      <c r="P100" s="300"/>
      <c r="Q100" s="300"/>
      <c r="R100" s="300"/>
      <c r="S100" s="300"/>
      <c r="T100" s="300"/>
      <c r="U100" s="300"/>
      <c r="V100" s="300"/>
      <c r="W100" s="300"/>
      <c r="X100" s="300"/>
      <c r="Y100" s="300"/>
      <c r="Z100" s="300"/>
    </row>
    <row r="101" spans="1:26">
      <c r="A101" s="215" t="s">
        <v>3727</v>
      </c>
      <c r="B101" s="207">
        <v>222</v>
      </c>
      <c r="C101" s="215" t="s">
        <v>6718</v>
      </c>
      <c r="D101" s="215" t="s">
        <v>6719</v>
      </c>
      <c r="E101" s="215" t="s">
        <v>6720</v>
      </c>
      <c r="F101" s="215" t="s">
        <v>6610</v>
      </c>
      <c r="G101" s="215" t="s">
        <v>6611</v>
      </c>
      <c r="H101" s="215" t="s">
        <v>6504</v>
      </c>
      <c r="I101" s="300"/>
      <c r="J101" s="300"/>
      <c r="K101" s="300"/>
      <c r="L101" s="300"/>
      <c r="M101" s="300"/>
      <c r="N101" s="300"/>
      <c r="O101" s="300"/>
      <c r="P101" s="300"/>
      <c r="Q101" s="300"/>
      <c r="R101" s="300"/>
      <c r="S101" s="300"/>
      <c r="T101" s="300"/>
      <c r="U101" s="300"/>
      <c r="V101" s="300"/>
      <c r="W101" s="300"/>
      <c r="X101" s="300"/>
      <c r="Y101" s="300"/>
      <c r="Z101" s="300"/>
    </row>
    <row r="102" spans="1:26">
      <c r="A102" s="215" t="s">
        <v>6721</v>
      </c>
      <c r="B102" s="207">
        <v>223</v>
      </c>
      <c r="C102" s="215" t="s">
        <v>6059</v>
      </c>
      <c r="D102" s="215" t="s">
        <v>6722</v>
      </c>
      <c r="E102" s="215" t="s">
        <v>6723</v>
      </c>
      <c r="F102" s="215" t="s">
        <v>6610</v>
      </c>
      <c r="G102" s="215" t="s">
        <v>6611</v>
      </c>
      <c r="H102" s="215" t="s">
        <v>6497</v>
      </c>
      <c r="I102" s="300"/>
      <c r="J102" s="300"/>
      <c r="K102" s="300"/>
      <c r="L102" s="300"/>
      <c r="M102" s="300"/>
      <c r="N102" s="300"/>
      <c r="O102" s="300"/>
      <c r="P102" s="300"/>
      <c r="Q102" s="300"/>
      <c r="R102" s="300"/>
      <c r="S102" s="300"/>
      <c r="T102" s="300"/>
      <c r="U102" s="300"/>
      <c r="V102" s="300"/>
      <c r="W102" s="300"/>
      <c r="X102" s="300"/>
      <c r="Y102" s="300"/>
      <c r="Z102" s="300"/>
    </row>
    <row r="103" spans="1:26">
      <c r="A103" s="215" t="s">
        <v>3736</v>
      </c>
      <c r="B103" s="207">
        <v>224</v>
      </c>
      <c r="C103" s="215" t="s">
        <v>5815</v>
      </c>
      <c r="D103" s="215" t="s">
        <v>6724</v>
      </c>
      <c r="E103" s="215" t="s">
        <v>6725</v>
      </c>
      <c r="F103" s="215" t="s">
        <v>6610</v>
      </c>
      <c r="G103" s="215" t="s">
        <v>6611</v>
      </c>
      <c r="H103" s="215" t="s">
        <v>6504</v>
      </c>
      <c r="I103" s="300"/>
      <c r="J103" s="300"/>
      <c r="K103" s="300"/>
      <c r="L103" s="300"/>
      <c r="M103" s="300"/>
      <c r="N103" s="300"/>
      <c r="O103" s="300"/>
      <c r="P103" s="300"/>
      <c r="Q103" s="300"/>
      <c r="R103" s="300"/>
      <c r="S103" s="300"/>
      <c r="T103" s="300"/>
      <c r="U103" s="300"/>
      <c r="V103" s="300"/>
      <c r="W103" s="300"/>
      <c r="X103" s="300"/>
      <c r="Y103" s="300"/>
      <c r="Z103" s="300"/>
    </row>
    <row r="104" spans="1:26">
      <c r="A104" s="215" t="s">
        <v>4369</v>
      </c>
      <c r="B104" s="207">
        <v>225</v>
      </c>
      <c r="C104" s="215" t="s">
        <v>6318</v>
      </c>
      <c r="D104" s="215" t="s">
        <v>6726</v>
      </c>
      <c r="E104" s="215" t="s">
        <v>6727</v>
      </c>
      <c r="F104" s="215" t="s">
        <v>6610</v>
      </c>
      <c r="G104" s="215" t="s">
        <v>6611</v>
      </c>
      <c r="H104" s="215" t="s">
        <v>6500</v>
      </c>
      <c r="I104" s="300"/>
      <c r="J104" s="300"/>
      <c r="K104" s="300"/>
      <c r="L104" s="300"/>
      <c r="M104" s="300"/>
      <c r="N104" s="300"/>
      <c r="O104" s="300"/>
      <c r="P104" s="300"/>
      <c r="Q104" s="300"/>
      <c r="R104" s="300"/>
      <c r="S104" s="300"/>
      <c r="T104" s="300"/>
      <c r="U104" s="300"/>
      <c r="V104" s="300"/>
      <c r="W104" s="300"/>
      <c r="X104" s="300"/>
      <c r="Y104" s="300"/>
      <c r="Z104" s="300"/>
    </row>
    <row r="105" spans="1:26">
      <c r="A105" s="215" t="s">
        <v>3819</v>
      </c>
      <c r="B105" s="207">
        <v>226</v>
      </c>
      <c r="C105" s="215" t="s">
        <v>5894</v>
      </c>
      <c r="D105" s="215" t="s">
        <v>6728</v>
      </c>
      <c r="E105" s="215" t="s">
        <v>6728</v>
      </c>
      <c r="F105" s="215" t="s">
        <v>6610</v>
      </c>
      <c r="G105" s="215" t="s">
        <v>6611</v>
      </c>
      <c r="H105" s="215" t="s">
        <v>6504</v>
      </c>
      <c r="I105" s="300"/>
      <c r="J105" s="300"/>
      <c r="K105" s="300"/>
      <c r="L105" s="300"/>
      <c r="M105" s="300"/>
      <c r="N105" s="300"/>
      <c r="O105" s="300"/>
      <c r="P105" s="300"/>
      <c r="Q105" s="300"/>
      <c r="R105" s="300"/>
      <c r="S105" s="300"/>
      <c r="T105" s="300"/>
      <c r="U105" s="300"/>
      <c r="V105" s="300"/>
      <c r="W105" s="300"/>
      <c r="X105" s="300"/>
      <c r="Y105" s="300"/>
      <c r="Z105" s="300"/>
    </row>
    <row r="106" spans="1:26">
      <c r="A106" s="215" t="s">
        <v>3778</v>
      </c>
      <c r="B106" s="207">
        <v>227</v>
      </c>
      <c r="C106" s="215" t="s">
        <v>5856</v>
      </c>
      <c r="D106" s="215" t="s">
        <v>6729</v>
      </c>
      <c r="E106" s="215" t="s">
        <v>6730</v>
      </c>
      <c r="F106" s="215" t="s">
        <v>6610</v>
      </c>
      <c r="G106" s="215" t="s">
        <v>6611</v>
      </c>
      <c r="H106" s="215" t="s">
        <v>6504</v>
      </c>
      <c r="I106" s="300"/>
      <c r="J106" s="300"/>
      <c r="K106" s="300"/>
      <c r="L106" s="300"/>
      <c r="M106" s="300"/>
      <c r="N106" s="300"/>
      <c r="O106" s="300"/>
      <c r="P106" s="300"/>
      <c r="Q106" s="300"/>
      <c r="R106" s="300"/>
      <c r="S106" s="300"/>
      <c r="T106" s="300"/>
      <c r="U106" s="300"/>
      <c r="V106" s="300"/>
      <c r="W106" s="300"/>
      <c r="X106" s="300"/>
      <c r="Y106" s="300"/>
      <c r="Z106" s="300"/>
    </row>
    <row r="107" spans="1:26">
      <c r="A107" s="215" t="s">
        <v>3789</v>
      </c>
      <c r="B107" s="207">
        <v>228</v>
      </c>
      <c r="C107" s="215" t="s">
        <v>5864</v>
      </c>
      <c r="D107" s="215" t="s">
        <v>6731</v>
      </c>
      <c r="E107" s="215" t="s">
        <v>6732</v>
      </c>
      <c r="F107" s="215" t="s">
        <v>6610</v>
      </c>
      <c r="G107" s="215" t="s">
        <v>6611</v>
      </c>
      <c r="H107" s="215" t="s">
        <v>6521</v>
      </c>
      <c r="I107" s="300"/>
      <c r="J107" s="300"/>
      <c r="K107" s="300"/>
      <c r="L107" s="300"/>
      <c r="M107" s="300"/>
      <c r="N107" s="300"/>
      <c r="O107" s="300"/>
      <c r="P107" s="300"/>
      <c r="Q107" s="300"/>
      <c r="R107" s="300"/>
      <c r="S107" s="300"/>
      <c r="T107" s="300"/>
      <c r="U107" s="300"/>
      <c r="V107" s="300"/>
      <c r="W107" s="300"/>
      <c r="X107" s="300"/>
      <c r="Y107" s="300"/>
      <c r="Z107" s="300"/>
    </row>
    <row r="108" spans="1:26">
      <c r="A108" s="215" t="s">
        <v>3822</v>
      </c>
      <c r="B108" s="207">
        <v>229</v>
      </c>
      <c r="C108" s="215" t="s">
        <v>5897</v>
      </c>
      <c r="D108" s="215" t="s">
        <v>6733</v>
      </c>
      <c r="E108" s="215" t="s">
        <v>6733</v>
      </c>
      <c r="F108" s="215" t="s">
        <v>6610</v>
      </c>
      <c r="G108" s="215" t="s">
        <v>6611</v>
      </c>
      <c r="H108" s="215" t="s">
        <v>6504</v>
      </c>
      <c r="I108" s="300"/>
      <c r="J108" s="300"/>
      <c r="K108" s="300"/>
      <c r="L108" s="300"/>
      <c r="M108" s="300"/>
      <c r="N108" s="300"/>
      <c r="O108" s="300"/>
      <c r="P108" s="300"/>
      <c r="Q108" s="300"/>
      <c r="R108" s="300"/>
      <c r="S108" s="300"/>
      <c r="T108" s="300"/>
      <c r="U108" s="300"/>
      <c r="V108" s="300"/>
      <c r="W108" s="300"/>
      <c r="X108" s="300"/>
      <c r="Y108" s="300"/>
      <c r="Z108" s="300"/>
    </row>
    <row r="109" spans="1:26">
      <c r="A109" s="215" t="s">
        <v>3948</v>
      </c>
      <c r="B109" s="207">
        <v>230</v>
      </c>
      <c r="C109" s="215" t="s">
        <v>5986</v>
      </c>
      <c r="D109" s="215" t="s">
        <v>6734</v>
      </c>
      <c r="E109" s="215" t="s">
        <v>6735</v>
      </c>
      <c r="F109" s="215" t="s">
        <v>6610</v>
      </c>
      <c r="G109" s="215" t="s">
        <v>6611</v>
      </c>
      <c r="H109" s="215" t="s">
        <v>6504</v>
      </c>
      <c r="I109" s="300"/>
      <c r="J109" s="300"/>
      <c r="K109" s="300"/>
      <c r="L109" s="300"/>
      <c r="M109" s="300"/>
      <c r="N109" s="300"/>
      <c r="O109" s="300"/>
      <c r="P109" s="300"/>
      <c r="Q109" s="300"/>
      <c r="R109" s="300"/>
      <c r="S109" s="300"/>
      <c r="T109" s="300"/>
      <c r="U109" s="300"/>
      <c r="V109" s="300"/>
      <c r="W109" s="300"/>
      <c r="X109" s="300"/>
      <c r="Y109" s="300"/>
      <c r="Z109" s="300"/>
    </row>
    <row r="110" spans="1:26">
      <c r="A110" s="215" t="s">
        <v>4019</v>
      </c>
      <c r="B110" s="207">
        <v>231</v>
      </c>
      <c r="C110" s="215" t="s">
        <v>6044</v>
      </c>
      <c r="D110" s="215" t="s">
        <v>6736</v>
      </c>
      <c r="E110" s="215" t="s">
        <v>6737</v>
      </c>
      <c r="F110" s="215" t="s">
        <v>6610</v>
      </c>
      <c r="G110" s="215" t="s">
        <v>6611</v>
      </c>
      <c r="H110" s="215" t="s">
        <v>6497</v>
      </c>
      <c r="I110" s="300"/>
      <c r="J110" s="300"/>
      <c r="K110" s="300"/>
      <c r="L110" s="300"/>
      <c r="M110" s="300"/>
      <c r="N110" s="300"/>
      <c r="O110" s="300"/>
      <c r="P110" s="300"/>
      <c r="Q110" s="300"/>
      <c r="R110" s="300"/>
      <c r="S110" s="300"/>
      <c r="T110" s="300"/>
      <c r="U110" s="300"/>
      <c r="V110" s="300"/>
      <c r="W110" s="300"/>
      <c r="X110" s="300"/>
      <c r="Y110" s="300"/>
      <c r="Z110" s="300"/>
    </row>
    <row r="111" spans="1:26">
      <c r="A111" s="215" t="s">
        <v>4014</v>
      </c>
      <c r="B111" s="207">
        <v>232</v>
      </c>
      <c r="C111" s="215" t="s">
        <v>6040</v>
      </c>
      <c r="D111" s="215" t="s">
        <v>6738</v>
      </c>
      <c r="E111" s="215" t="s">
        <v>6738</v>
      </c>
      <c r="F111" s="215" t="s">
        <v>6610</v>
      </c>
      <c r="G111" s="215" t="s">
        <v>6611</v>
      </c>
      <c r="H111" s="215" t="s">
        <v>6500</v>
      </c>
      <c r="I111" s="300"/>
      <c r="J111" s="300"/>
      <c r="K111" s="300"/>
      <c r="L111" s="300"/>
      <c r="M111" s="300"/>
      <c r="N111" s="300"/>
      <c r="O111" s="300"/>
      <c r="P111" s="300"/>
      <c r="Q111" s="300"/>
      <c r="R111" s="300"/>
      <c r="S111" s="300"/>
      <c r="T111" s="300"/>
      <c r="U111" s="300"/>
      <c r="V111" s="300"/>
      <c r="W111" s="300"/>
      <c r="X111" s="300"/>
      <c r="Y111" s="300"/>
      <c r="Z111" s="300"/>
    </row>
    <row r="112" spans="1:26">
      <c r="A112" s="215" t="s">
        <v>4252</v>
      </c>
      <c r="B112" s="207">
        <v>233</v>
      </c>
      <c r="C112" s="215" t="s">
        <v>6226</v>
      </c>
      <c r="D112" s="215" t="s">
        <v>6739</v>
      </c>
      <c r="E112" s="215" t="s">
        <v>6740</v>
      </c>
      <c r="F112" s="215" t="s">
        <v>6610</v>
      </c>
      <c r="G112" s="215" t="s">
        <v>6611</v>
      </c>
      <c r="H112" s="215" t="s">
        <v>6521</v>
      </c>
      <c r="I112" s="300"/>
      <c r="J112" s="300"/>
      <c r="K112" s="300"/>
      <c r="L112" s="300"/>
      <c r="M112" s="300"/>
      <c r="N112" s="300"/>
      <c r="O112" s="300"/>
      <c r="P112" s="300"/>
      <c r="Q112" s="300"/>
      <c r="R112" s="300"/>
      <c r="S112" s="300"/>
      <c r="T112" s="300"/>
      <c r="U112" s="300"/>
      <c r="V112" s="300"/>
      <c r="W112" s="300"/>
      <c r="X112" s="300"/>
      <c r="Y112" s="300"/>
      <c r="Z112" s="300"/>
    </row>
    <row r="113" spans="1:26">
      <c r="A113" s="215" t="s">
        <v>4366</v>
      </c>
      <c r="B113" s="207">
        <v>234</v>
      </c>
      <c r="C113" s="215" t="s">
        <v>6316</v>
      </c>
      <c r="D113" s="215" t="s">
        <v>6741</v>
      </c>
      <c r="E113" s="215" t="s">
        <v>6741</v>
      </c>
      <c r="F113" s="215" t="s">
        <v>6610</v>
      </c>
      <c r="G113" s="215" t="s">
        <v>6611</v>
      </c>
      <c r="H113" s="215" t="s">
        <v>6504</v>
      </c>
      <c r="I113" s="300"/>
      <c r="J113" s="300"/>
      <c r="K113" s="300"/>
      <c r="L113" s="300"/>
      <c r="M113" s="300"/>
      <c r="N113" s="300"/>
      <c r="O113" s="300"/>
      <c r="P113" s="300"/>
      <c r="Q113" s="300"/>
      <c r="R113" s="300"/>
      <c r="S113" s="300"/>
      <c r="T113" s="300"/>
      <c r="U113" s="300"/>
      <c r="V113" s="300"/>
      <c r="W113" s="300"/>
      <c r="X113" s="300"/>
      <c r="Y113" s="300"/>
      <c r="Z113" s="300"/>
    </row>
    <row r="114" spans="1:26">
      <c r="A114" s="215" t="s">
        <v>6644</v>
      </c>
      <c r="B114" s="207">
        <v>235</v>
      </c>
      <c r="C114" s="215" t="s">
        <v>6371</v>
      </c>
      <c r="D114" s="215" t="s">
        <v>6742</v>
      </c>
      <c r="E114" s="215" t="s">
        <v>6743</v>
      </c>
      <c r="F114" s="215" t="s">
        <v>6610</v>
      </c>
      <c r="G114" s="215" t="s">
        <v>6611</v>
      </c>
      <c r="H114" s="215" t="s">
        <v>6497</v>
      </c>
      <c r="I114" s="300"/>
      <c r="J114" s="300"/>
      <c r="K114" s="300"/>
      <c r="L114" s="300"/>
      <c r="M114" s="300"/>
      <c r="N114" s="300"/>
      <c r="O114" s="300"/>
      <c r="P114" s="300"/>
      <c r="Q114" s="300"/>
      <c r="R114" s="300"/>
      <c r="S114" s="300"/>
      <c r="T114" s="300"/>
      <c r="U114" s="300"/>
      <c r="V114" s="300"/>
      <c r="W114" s="300"/>
      <c r="X114" s="300"/>
      <c r="Y114" s="300"/>
      <c r="Z114" s="300"/>
    </row>
    <row r="115" spans="1:26">
      <c r="A115" s="215" t="s">
        <v>4411</v>
      </c>
      <c r="B115" s="207">
        <v>236</v>
      </c>
      <c r="C115" s="215" t="s">
        <v>6352</v>
      </c>
      <c r="D115" s="215" t="s">
        <v>6744</v>
      </c>
      <c r="E115" s="215" t="s">
        <v>6745</v>
      </c>
      <c r="F115" s="215" t="s">
        <v>6610</v>
      </c>
      <c r="G115" s="215" t="s">
        <v>6611</v>
      </c>
      <c r="H115" s="215" t="s">
        <v>6504</v>
      </c>
      <c r="I115" s="300"/>
      <c r="J115" s="300"/>
      <c r="K115" s="300"/>
      <c r="L115" s="300"/>
      <c r="M115" s="300"/>
      <c r="N115" s="300"/>
      <c r="O115" s="300"/>
      <c r="P115" s="300"/>
      <c r="Q115" s="300"/>
      <c r="R115" s="300"/>
      <c r="S115" s="300"/>
      <c r="T115" s="300"/>
      <c r="U115" s="300"/>
      <c r="V115" s="300"/>
      <c r="W115" s="300"/>
      <c r="X115" s="300"/>
      <c r="Y115" s="300"/>
      <c r="Z115" s="300"/>
    </row>
    <row r="116" spans="1:26">
      <c r="A116" s="215" t="s">
        <v>4437</v>
      </c>
      <c r="B116" s="207">
        <v>237</v>
      </c>
      <c r="C116" s="215" t="s">
        <v>6369</v>
      </c>
      <c r="D116" s="215" t="s">
        <v>6746</v>
      </c>
      <c r="E116" s="215" t="s">
        <v>6747</v>
      </c>
      <c r="F116" s="215" t="s">
        <v>6610</v>
      </c>
      <c r="G116" s="215" t="s">
        <v>6611</v>
      </c>
      <c r="H116" s="215" t="s">
        <v>6500</v>
      </c>
      <c r="I116" s="300"/>
      <c r="J116" s="300"/>
      <c r="K116" s="300"/>
      <c r="L116" s="300"/>
      <c r="M116" s="300"/>
      <c r="N116" s="300"/>
      <c r="O116" s="300"/>
      <c r="P116" s="300"/>
      <c r="Q116" s="300"/>
      <c r="R116" s="300"/>
      <c r="S116" s="300"/>
      <c r="T116" s="300"/>
      <c r="U116" s="300"/>
      <c r="V116" s="300"/>
      <c r="W116" s="300"/>
      <c r="X116" s="300"/>
      <c r="Y116" s="300"/>
      <c r="Z116" s="300"/>
    </row>
    <row r="117" spans="1:26">
      <c r="A117" s="215" t="s">
        <v>4434</v>
      </c>
      <c r="B117" s="207">
        <v>238</v>
      </c>
      <c r="C117" s="215" t="s">
        <v>6367</v>
      </c>
      <c r="D117" s="215" t="s">
        <v>6748</v>
      </c>
      <c r="E117" s="215" t="s">
        <v>6749</v>
      </c>
      <c r="F117" s="215" t="s">
        <v>6610</v>
      </c>
      <c r="G117" s="215" t="s">
        <v>6611</v>
      </c>
      <c r="H117" s="215" t="s">
        <v>6497</v>
      </c>
      <c r="I117" s="300"/>
      <c r="J117" s="300"/>
      <c r="K117" s="300"/>
      <c r="L117" s="300"/>
      <c r="M117" s="300"/>
      <c r="N117" s="300"/>
      <c r="O117" s="300"/>
      <c r="P117" s="300"/>
      <c r="Q117" s="300"/>
      <c r="R117" s="300"/>
      <c r="S117" s="300"/>
      <c r="T117" s="300"/>
      <c r="U117" s="300"/>
      <c r="V117" s="300"/>
      <c r="W117" s="300"/>
      <c r="X117" s="300"/>
      <c r="Y117" s="300"/>
      <c r="Z117" s="300"/>
    </row>
    <row r="118" spans="1:26">
      <c r="A118" s="215" t="s">
        <v>4456</v>
      </c>
      <c r="B118" s="207">
        <v>239</v>
      </c>
      <c r="C118" s="215" t="s">
        <v>6385</v>
      </c>
      <c r="D118" s="215" t="s">
        <v>6385</v>
      </c>
      <c r="E118" s="215" t="s">
        <v>6750</v>
      </c>
      <c r="F118" s="215" t="s">
        <v>6610</v>
      </c>
      <c r="G118" s="215" t="s">
        <v>6611</v>
      </c>
      <c r="H118" s="215" t="s">
        <v>6497</v>
      </c>
      <c r="I118" s="300"/>
      <c r="J118" s="300"/>
      <c r="K118" s="300"/>
      <c r="L118" s="300"/>
      <c r="M118" s="300"/>
      <c r="N118" s="300"/>
      <c r="O118" s="300"/>
      <c r="P118" s="300"/>
      <c r="Q118" s="300"/>
      <c r="R118" s="300"/>
      <c r="S118" s="300"/>
      <c r="T118" s="300"/>
      <c r="U118" s="300"/>
      <c r="V118" s="300"/>
      <c r="W118" s="300"/>
      <c r="X118" s="300"/>
      <c r="Y118" s="300"/>
      <c r="Z118" s="300"/>
    </row>
    <row r="119" spans="1:26">
      <c r="A119" s="215" t="s">
        <v>4421</v>
      </c>
      <c r="B119" s="207">
        <v>240</v>
      </c>
      <c r="C119" s="215" t="s">
        <v>6358</v>
      </c>
      <c r="D119" s="215" t="s">
        <v>6751</v>
      </c>
      <c r="E119" s="215" t="s">
        <v>6752</v>
      </c>
      <c r="F119" s="215" t="s">
        <v>6610</v>
      </c>
      <c r="G119" s="215" t="s">
        <v>6611</v>
      </c>
      <c r="H119" s="215" t="s">
        <v>6504</v>
      </c>
      <c r="I119" s="300"/>
      <c r="J119" s="300"/>
      <c r="K119" s="300"/>
      <c r="L119" s="300"/>
      <c r="M119" s="300"/>
      <c r="N119" s="300"/>
      <c r="O119" s="300"/>
      <c r="P119" s="300"/>
      <c r="Q119" s="300"/>
      <c r="R119" s="300"/>
      <c r="S119" s="300"/>
      <c r="T119" s="300"/>
      <c r="U119" s="300"/>
      <c r="V119" s="300"/>
      <c r="W119" s="300"/>
      <c r="X119" s="300"/>
      <c r="Y119" s="300"/>
      <c r="Z119" s="300"/>
    </row>
    <row r="120" spans="1:26">
      <c r="A120" s="215" t="s">
        <v>4446</v>
      </c>
      <c r="B120" s="207">
        <v>241</v>
      </c>
      <c r="C120" s="215" t="s">
        <v>6380</v>
      </c>
      <c r="D120" s="215" t="s">
        <v>6753</v>
      </c>
      <c r="E120" s="215" t="s">
        <v>6754</v>
      </c>
      <c r="F120" s="215" t="s">
        <v>6610</v>
      </c>
      <c r="G120" s="215" t="s">
        <v>6611</v>
      </c>
      <c r="H120" s="215" t="s">
        <v>6504</v>
      </c>
      <c r="I120" s="300"/>
      <c r="J120" s="300"/>
      <c r="K120" s="300"/>
      <c r="L120" s="300"/>
      <c r="M120" s="300"/>
      <c r="N120" s="300"/>
      <c r="O120" s="300"/>
      <c r="P120" s="300"/>
      <c r="Q120" s="300"/>
      <c r="R120" s="300"/>
      <c r="S120" s="300"/>
      <c r="T120" s="300"/>
      <c r="U120" s="300"/>
      <c r="V120" s="300"/>
      <c r="W120" s="300"/>
      <c r="X120" s="300"/>
      <c r="Y120" s="300"/>
      <c r="Z120" s="300"/>
    </row>
    <row r="121" spans="1:26">
      <c r="A121" s="215" t="s">
        <v>4420</v>
      </c>
      <c r="B121" s="207">
        <v>242</v>
      </c>
      <c r="C121" s="215" t="s">
        <v>6357</v>
      </c>
      <c r="D121" s="215" t="s">
        <v>6755</v>
      </c>
      <c r="E121" s="215" t="s">
        <v>6756</v>
      </c>
      <c r="F121" s="215" t="s">
        <v>6610</v>
      </c>
      <c r="G121" s="215" t="s">
        <v>6611</v>
      </c>
      <c r="H121" s="215" t="s">
        <v>6521</v>
      </c>
      <c r="I121" s="300"/>
      <c r="J121" s="300"/>
      <c r="K121" s="300"/>
      <c r="L121" s="300"/>
      <c r="M121" s="300"/>
      <c r="N121" s="300"/>
      <c r="O121" s="300"/>
      <c r="P121" s="300"/>
      <c r="Q121" s="300"/>
      <c r="R121" s="300"/>
      <c r="S121" s="300"/>
      <c r="T121" s="300"/>
      <c r="U121" s="300"/>
      <c r="V121" s="300"/>
      <c r="W121" s="300"/>
      <c r="X121" s="300"/>
      <c r="Y121" s="300"/>
      <c r="Z121" s="300"/>
    </row>
    <row r="122" spans="1:26">
      <c r="A122" s="215" t="s">
        <v>4444</v>
      </c>
      <c r="B122" s="207">
        <v>243</v>
      </c>
      <c r="C122" s="215" t="s">
        <v>6377</v>
      </c>
      <c r="D122" s="215" t="s">
        <v>6757</v>
      </c>
      <c r="E122" s="215" t="s">
        <v>6757</v>
      </c>
      <c r="F122" s="215" t="s">
        <v>6610</v>
      </c>
      <c r="G122" s="215" t="s">
        <v>6611</v>
      </c>
      <c r="H122" s="215" t="s">
        <v>6504</v>
      </c>
      <c r="I122" s="300"/>
      <c r="J122" s="300"/>
      <c r="K122" s="300"/>
      <c r="L122" s="300"/>
      <c r="M122" s="300"/>
      <c r="N122" s="300"/>
      <c r="O122" s="300"/>
      <c r="P122" s="300"/>
      <c r="Q122" s="300"/>
      <c r="R122" s="300"/>
      <c r="S122" s="300"/>
      <c r="T122" s="300"/>
      <c r="U122" s="300"/>
      <c r="V122" s="300"/>
      <c r="W122" s="300"/>
      <c r="X122" s="300"/>
      <c r="Y122" s="300"/>
      <c r="Z122" s="300"/>
    </row>
    <row r="123" spans="1:26">
      <c r="A123" s="215" t="s">
        <v>4422</v>
      </c>
      <c r="B123" s="207">
        <v>244</v>
      </c>
      <c r="C123" s="215" t="s">
        <v>6359</v>
      </c>
      <c r="D123" s="215" t="s">
        <v>6758</v>
      </c>
      <c r="E123" s="215" t="s">
        <v>6759</v>
      </c>
      <c r="F123" s="215" t="s">
        <v>6610</v>
      </c>
      <c r="G123" s="215" t="s">
        <v>6611</v>
      </c>
      <c r="H123" s="215" t="s">
        <v>6504</v>
      </c>
      <c r="I123" s="300"/>
      <c r="J123" s="300"/>
      <c r="K123" s="300"/>
      <c r="L123" s="300"/>
      <c r="M123" s="300"/>
      <c r="N123" s="300"/>
      <c r="O123" s="300"/>
      <c r="P123" s="300"/>
      <c r="Q123" s="300"/>
      <c r="R123" s="300"/>
      <c r="S123" s="300"/>
      <c r="T123" s="300"/>
      <c r="U123" s="300"/>
      <c r="V123" s="300"/>
      <c r="W123" s="300"/>
      <c r="X123" s="300"/>
      <c r="Y123" s="300"/>
      <c r="Z123" s="300"/>
    </row>
    <row r="124" spans="1:26">
      <c r="A124" s="215" t="s">
        <v>4425</v>
      </c>
      <c r="B124" s="207">
        <v>245</v>
      </c>
      <c r="C124" s="215" t="s">
        <v>6361</v>
      </c>
      <c r="D124" s="215" t="s">
        <v>6760</v>
      </c>
      <c r="E124" s="215" t="s">
        <v>6761</v>
      </c>
      <c r="F124" s="215" t="s">
        <v>6610</v>
      </c>
      <c r="G124" s="215" t="s">
        <v>6611</v>
      </c>
      <c r="H124" s="215" t="s">
        <v>6500</v>
      </c>
      <c r="I124" s="300"/>
      <c r="J124" s="300"/>
      <c r="K124" s="300"/>
      <c r="L124" s="300"/>
      <c r="M124" s="300"/>
      <c r="N124" s="300"/>
      <c r="O124" s="300"/>
      <c r="P124" s="300"/>
      <c r="Q124" s="300"/>
      <c r="R124" s="300"/>
      <c r="S124" s="300"/>
      <c r="T124" s="300"/>
      <c r="U124" s="300"/>
      <c r="V124" s="300"/>
      <c r="W124" s="300"/>
      <c r="X124" s="300"/>
      <c r="Y124" s="300"/>
      <c r="Z124" s="300"/>
    </row>
    <row r="125" spans="1:26">
      <c r="A125" s="215" t="s">
        <v>4450</v>
      </c>
      <c r="B125" s="207">
        <v>246</v>
      </c>
      <c r="C125" s="215" t="s">
        <v>6762</v>
      </c>
      <c r="D125" s="215" t="s">
        <v>6763</v>
      </c>
      <c r="E125" s="215" t="s">
        <v>6764</v>
      </c>
      <c r="F125" s="215" t="s">
        <v>6610</v>
      </c>
      <c r="G125" s="215" t="s">
        <v>6611</v>
      </c>
      <c r="H125" s="215" t="s">
        <v>6504</v>
      </c>
      <c r="I125" s="300"/>
      <c r="J125" s="300"/>
      <c r="K125" s="300"/>
      <c r="L125" s="300"/>
      <c r="M125" s="300"/>
      <c r="N125" s="300"/>
      <c r="O125" s="300"/>
      <c r="P125" s="300"/>
      <c r="Q125" s="300"/>
      <c r="R125" s="300"/>
      <c r="S125" s="300"/>
      <c r="T125" s="300"/>
      <c r="U125" s="300"/>
      <c r="V125" s="300"/>
      <c r="W125" s="300"/>
      <c r="X125" s="300"/>
      <c r="Y125" s="300"/>
      <c r="Z125" s="300"/>
    </row>
    <row r="126" spans="1:26">
      <c r="A126" s="215" t="s">
        <v>4443</v>
      </c>
      <c r="B126" s="207">
        <v>247</v>
      </c>
      <c r="C126" s="215" t="s">
        <v>6375</v>
      </c>
      <c r="D126" s="215" t="s">
        <v>6765</v>
      </c>
      <c r="E126" s="215" t="s">
        <v>6766</v>
      </c>
      <c r="F126" s="215" t="s">
        <v>6610</v>
      </c>
      <c r="G126" s="215" t="s">
        <v>6611</v>
      </c>
      <c r="H126" s="215" t="s">
        <v>6497</v>
      </c>
      <c r="I126" s="300"/>
      <c r="J126" s="300"/>
      <c r="K126" s="300"/>
      <c r="L126" s="300"/>
      <c r="M126" s="300"/>
      <c r="N126" s="300"/>
      <c r="O126" s="300"/>
      <c r="P126" s="300"/>
      <c r="Q126" s="300"/>
      <c r="R126" s="300"/>
      <c r="S126" s="300"/>
      <c r="T126" s="300"/>
      <c r="U126" s="300"/>
      <c r="V126" s="300"/>
      <c r="W126" s="300"/>
      <c r="X126" s="300"/>
      <c r="Y126" s="300"/>
      <c r="Z126" s="300"/>
    </row>
    <row r="127" spans="1:26">
      <c r="A127" s="215" t="s">
        <v>6767</v>
      </c>
      <c r="B127" s="207">
        <v>248</v>
      </c>
      <c r="C127" s="215" t="s">
        <v>6379</v>
      </c>
      <c r="D127" s="215" t="s">
        <v>6768</v>
      </c>
      <c r="E127" s="215" t="s">
        <v>6769</v>
      </c>
      <c r="F127" s="215" t="s">
        <v>6610</v>
      </c>
      <c r="G127" s="215" t="s">
        <v>6611</v>
      </c>
      <c r="H127" s="215" t="s">
        <v>6497</v>
      </c>
      <c r="I127" s="300"/>
      <c r="J127" s="300"/>
      <c r="K127" s="300"/>
      <c r="L127" s="300"/>
      <c r="M127" s="300"/>
      <c r="N127" s="300"/>
      <c r="O127" s="300"/>
      <c r="P127" s="300"/>
      <c r="Q127" s="300"/>
      <c r="R127" s="300"/>
      <c r="S127" s="300"/>
      <c r="T127" s="300"/>
      <c r="U127" s="300"/>
      <c r="V127" s="300"/>
      <c r="W127" s="300"/>
      <c r="X127" s="300"/>
      <c r="Y127" s="300"/>
      <c r="Z127" s="300"/>
    </row>
    <row r="128" spans="1:26">
      <c r="A128" s="215" t="s">
        <v>4451</v>
      </c>
      <c r="B128" s="207">
        <v>249</v>
      </c>
      <c r="C128" s="215" t="s">
        <v>5332</v>
      </c>
      <c r="D128" s="215" t="s">
        <v>6770</v>
      </c>
      <c r="E128" s="215" t="s">
        <v>6770</v>
      </c>
      <c r="F128" s="215" t="s">
        <v>6610</v>
      </c>
      <c r="G128" s="215" t="s">
        <v>6611</v>
      </c>
      <c r="H128" s="215" t="s">
        <v>6497</v>
      </c>
      <c r="I128" s="300"/>
      <c r="J128" s="300"/>
      <c r="K128" s="300"/>
      <c r="L128" s="300"/>
      <c r="M128" s="300"/>
      <c r="N128" s="300"/>
      <c r="O128" s="300"/>
      <c r="P128" s="300"/>
      <c r="Q128" s="300"/>
      <c r="R128" s="300"/>
      <c r="S128" s="300"/>
      <c r="T128" s="300"/>
      <c r="U128" s="300"/>
      <c r="V128" s="300"/>
      <c r="W128" s="300"/>
      <c r="X128" s="300"/>
      <c r="Y128" s="300"/>
      <c r="Z128" s="300"/>
    </row>
    <row r="129" spans="1:26">
      <c r="A129" s="215" t="s">
        <v>3296</v>
      </c>
      <c r="B129" s="207">
        <v>250</v>
      </c>
      <c r="C129" s="215" t="s">
        <v>5427</v>
      </c>
      <c r="D129" s="215" t="s">
        <v>6771</v>
      </c>
      <c r="E129" s="215" t="s">
        <v>6771</v>
      </c>
      <c r="F129" s="215" t="s">
        <v>6610</v>
      </c>
      <c r="G129" s="215" t="s">
        <v>6611</v>
      </c>
      <c r="H129" s="215" t="s">
        <v>6504</v>
      </c>
      <c r="I129" s="300"/>
      <c r="J129" s="300"/>
      <c r="K129" s="300"/>
      <c r="L129" s="300"/>
      <c r="M129" s="300"/>
      <c r="N129" s="300"/>
      <c r="O129" s="300"/>
      <c r="P129" s="300"/>
      <c r="Q129" s="300"/>
      <c r="R129" s="300"/>
      <c r="S129" s="300"/>
      <c r="T129" s="300"/>
      <c r="U129" s="300"/>
      <c r="V129" s="300"/>
      <c r="W129" s="300"/>
      <c r="X129" s="300"/>
      <c r="Y129" s="300"/>
      <c r="Z129" s="300"/>
    </row>
    <row r="130" spans="1:26">
      <c r="A130" s="215" t="s">
        <v>4451</v>
      </c>
      <c r="B130" s="207">
        <v>251</v>
      </c>
      <c r="C130" s="215" t="s">
        <v>6772</v>
      </c>
      <c r="D130" s="215" t="s">
        <v>6773</v>
      </c>
      <c r="E130" s="215" t="s">
        <v>6773</v>
      </c>
      <c r="F130" s="215" t="s">
        <v>6610</v>
      </c>
      <c r="G130" s="215" t="s">
        <v>6611</v>
      </c>
      <c r="H130" s="215" t="s">
        <v>6497</v>
      </c>
      <c r="I130" s="300"/>
      <c r="J130" s="300"/>
      <c r="K130" s="300"/>
      <c r="L130" s="300"/>
      <c r="M130" s="300"/>
      <c r="N130" s="300"/>
      <c r="O130" s="300"/>
      <c r="P130" s="300"/>
      <c r="Q130" s="300"/>
      <c r="R130" s="300"/>
      <c r="S130" s="300"/>
      <c r="T130" s="300"/>
      <c r="U130" s="300"/>
      <c r="V130" s="300"/>
      <c r="W130" s="300"/>
      <c r="X130" s="300"/>
      <c r="Y130" s="300"/>
      <c r="Z130" s="300"/>
    </row>
    <row r="131" spans="1:26">
      <c r="A131" s="215" t="s">
        <v>6774</v>
      </c>
      <c r="B131" s="207">
        <v>252</v>
      </c>
      <c r="C131" s="215" t="s">
        <v>6466</v>
      </c>
      <c r="D131" s="215" t="s">
        <v>6775</v>
      </c>
      <c r="E131" s="215" t="s">
        <v>6775</v>
      </c>
      <c r="F131" s="215" t="s">
        <v>6610</v>
      </c>
      <c r="G131" s="215" t="s">
        <v>6611</v>
      </c>
      <c r="H131" s="215" t="s">
        <v>6548</v>
      </c>
      <c r="I131" s="300"/>
      <c r="J131" s="300"/>
      <c r="K131" s="300"/>
      <c r="L131" s="300"/>
      <c r="M131" s="300"/>
      <c r="N131" s="300"/>
      <c r="O131" s="300"/>
      <c r="P131" s="300"/>
      <c r="Q131" s="300"/>
      <c r="R131" s="300"/>
      <c r="S131" s="300"/>
      <c r="T131" s="300"/>
      <c r="U131" s="300"/>
      <c r="V131" s="300"/>
      <c r="W131" s="300"/>
      <c r="X131" s="300"/>
      <c r="Y131" s="300"/>
      <c r="Z131" s="300"/>
    </row>
    <row r="132" spans="1:26">
      <c r="A132" s="215" t="s">
        <v>6776</v>
      </c>
      <c r="B132" s="207">
        <v>682</v>
      </c>
      <c r="C132" s="215" t="s">
        <v>5880</v>
      </c>
      <c r="D132" s="215" t="s">
        <v>6777</v>
      </c>
      <c r="E132" s="215" t="s">
        <v>6778</v>
      </c>
      <c r="F132" s="215" t="s">
        <v>6610</v>
      </c>
      <c r="G132" s="215" t="s">
        <v>6611</v>
      </c>
      <c r="H132" s="215" t="s">
        <v>6548</v>
      </c>
      <c r="I132" s="300"/>
      <c r="J132" s="300"/>
      <c r="K132" s="300"/>
      <c r="L132" s="300"/>
      <c r="M132" s="300"/>
      <c r="N132" s="300"/>
      <c r="O132" s="300"/>
      <c r="P132" s="300"/>
      <c r="Q132" s="300"/>
      <c r="R132" s="300"/>
      <c r="S132" s="300"/>
      <c r="T132" s="300"/>
      <c r="U132" s="300"/>
      <c r="V132" s="300"/>
      <c r="W132" s="300"/>
      <c r="X132" s="300"/>
      <c r="Y132" s="300"/>
      <c r="Z132" s="300"/>
    </row>
    <row r="133" spans="1:26">
      <c r="A133" s="215"/>
      <c r="B133" s="207">
        <v>1938</v>
      </c>
      <c r="C133" s="215" t="s">
        <v>6472</v>
      </c>
      <c r="D133" s="215" t="s">
        <v>6779</v>
      </c>
      <c r="E133" s="215" t="s">
        <v>6779</v>
      </c>
      <c r="F133" s="215" t="s">
        <v>6610</v>
      </c>
      <c r="G133" s="215" t="s">
        <v>6611</v>
      </c>
      <c r="H133" s="215" t="s">
        <v>6497</v>
      </c>
      <c r="I133" s="300"/>
      <c r="J133" s="300"/>
      <c r="K133" s="300"/>
      <c r="L133" s="300"/>
      <c r="M133" s="300"/>
      <c r="N133" s="300"/>
      <c r="O133" s="300"/>
      <c r="P133" s="300"/>
      <c r="Q133" s="300"/>
      <c r="R133" s="300"/>
      <c r="S133" s="300"/>
      <c r="T133" s="300"/>
      <c r="U133" s="300"/>
      <c r="V133" s="300"/>
      <c r="W133" s="300"/>
      <c r="X133" s="300"/>
      <c r="Y133" s="300"/>
      <c r="Z133" s="300"/>
    </row>
    <row r="134" spans="1:26">
      <c r="A134" s="215" t="s">
        <v>3664</v>
      </c>
      <c r="B134" s="207">
        <v>2070</v>
      </c>
      <c r="C134" s="215" t="s">
        <v>5754</v>
      </c>
      <c r="D134" s="215" t="s">
        <v>6780</v>
      </c>
      <c r="E134" s="215" t="s">
        <v>6780</v>
      </c>
      <c r="F134" s="215" t="s">
        <v>6610</v>
      </c>
      <c r="G134" s="215" t="s">
        <v>6611</v>
      </c>
      <c r="H134" s="215" t="s">
        <v>6521</v>
      </c>
      <c r="I134" s="300"/>
      <c r="J134" s="300"/>
      <c r="K134" s="300"/>
      <c r="L134" s="300"/>
      <c r="M134" s="300"/>
      <c r="N134" s="300"/>
      <c r="O134" s="300"/>
      <c r="P134" s="300"/>
      <c r="Q134" s="300"/>
      <c r="R134" s="300"/>
      <c r="S134" s="300"/>
      <c r="T134" s="300"/>
      <c r="U134" s="300"/>
      <c r="V134" s="300"/>
      <c r="W134" s="300"/>
      <c r="X134" s="300"/>
      <c r="Y134" s="300"/>
      <c r="Z134" s="300"/>
    </row>
    <row r="135" spans="1:26">
      <c r="A135" s="215" t="s">
        <v>2700</v>
      </c>
      <c r="B135" s="207">
        <v>2071</v>
      </c>
      <c r="C135" s="215" t="s">
        <v>4865</v>
      </c>
      <c r="D135" s="215" t="s">
        <v>6781</v>
      </c>
      <c r="E135" s="215" t="s">
        <v>6781</v>
      </c>
      <c r="F135" s="215" t="s">
        <v>6610</v>
      </c>
      <c r="G135" s="215" t="s">
        <v>6611</v>
      </c>
      <c r="H135" s="215" t="s">
        <v>6497</v>
      </c>
      <c r="I135" s="300"/>
      <c r="J135" s="300"/>
      <c r="K135" s="300"/>
      <c r="L135" s="300"/>
      <c r="M135" s="300"/>
      <c r="N135" s="300"/>
      <c r="O135" s="300"/>
      <c r="P135" s="300"/>
      <c r="Q135" s="300"/>
      <c r="R135" s="300"/>
      <c r="S135" s="300"/>
      <c r="T135" s="300"/>
      <c r="U135" s="300"/>
      <c r="V135" s="300"/>
      <c r="W135" s="300"/>
      <c r="X135" s="300"/>
      <c r="Y135" s="300"/>
      <c r="Z135" s="300"/>
    </row>
    <row r="136" spans="1:26">
      <c r="A136" s="215" t="s">
        <v>3066</v>
      </c>
      <c r="B136" s="207">
        <v>2072</v>
      </c>
      <c r="C136" s="215" t="s">
        <v>5201</v>
      </c>
      <c r="D136" s="215" t="s">
        <v>6782</v>
      </c>
      <c r="E136" s="215" t="s">
        <v>6782</v>
      </c>
      <c r="F136" s="215" t="s">
        <v>6610</v>
      </c>
      <c r="G136" s="215" t="s">
        <v>6611</v>
      </c>
      <c r="H136" s="215" t="s">
        <v>6497</v>
      </c>
      <c r="I136" s="300"/>
      <c r="J136" s="300"/>
      <c r="K136" s="300"/>
      <c r="L136" s="300"/>
      <c r="M136" s="300"/>
      <c r="N136" s="300"/>
      <c r="O136" s="300"/>
      <c r="P136" s="300"/>
      <c r="Q136" s="300"/>
      <c r="R136" s="300"/>
      <c r="S136" s="300"/>
      <c r="T136" s="300"/>
      <c r="U136" s="300"/>
      <c r="V136" s="300"/>
      <c r="W136" s="300"/>
      <c r="X136" s="300"/>
      <c r="Y136" s="300"/>
      <c r="Z136" s="300"/>
    </row>
    <row r="137" spans="1:26">
      <c r="A137" s="215" t="s">
        <v>3760</v>
      </c>
      <c r="B137" s="207">
        <v>2073</v>
      </c>
      <c r="C137" s="215" t="s">
        <v>6393</v>
      </c>
      <c r="D137" s="215" t="s">
        <v>6783</v>
      </c>
      <c r="E137" s="215" t="s">
        <v>6784</v>
      </c>
      <c r="F137" s="215" t="s">
        <v>6610</v>
      </c>
      <c r="G137" s="215" t="s">
        <v>6611</v>
      </c>
      <c r="H137" s="215" t="s">
        <v>6497</v>
      </c>
      <c r="I137" s="300"/>
      <c r="J137" s="300"/>
      <c r="K137" s="300"/>
      <c r="L137" s="300"/>
      <c r="M137" s="300"/>
      <c r="N137" s="300"/>
      <c r="O137" s="300"/>
      <c r="P137" s="300"/>
      <c r="Q137" s="300"/>
      <c r="R137" s="300"/>
      <c r="S137" s="300"/>
      <c r="T137" s="300"/>
      <c r="U137" s="300"/>
      <c r="V137" s="300"/>
      <c r="W137" s="300"/>
      <c r="X137" s="300"/>
      <c r="Y137" s="300"/>
      <c r="Z137" s="300"/>
    </row>
    <row r="138" spans="1:26">
      <c r="A138" s="215" t="s">
        <v>4200</v>
      </c>
      <c r="B138" s="207">
        <v>2074</v>
      </c>
      <c r="C138" s="215" t="s">
        <v>6183</v>
      </c>
      <c r="D138" s="215" t="s">
        <v>6785</v>
      </c>
      <c r="E138" s="215" t="s">
        <v>6786</v>
      </c>
      <c r="F138" s="215" t="s">
        <v>6610</v>
      </c>
      <c r="G138" s="215" t="s">
        <v>6611</v>
      </c>
      <c r="H138" s="215" t="s">
        <v>6497</v>
      </c>
      <c r="I138" s="300"/>
      <c r="J138" s="300"/>
      <c r="K138" s="300"/>
      <c r="L138" s="300"/>
      <c r="M138" s="300"/>
      <c r="N138" s="300"/>
      <c r="O138" s="300"/>
      <c r="P138" s="300"/>
      <c r="Q138" s="300"/>
      <c r="R138" s="300"/>
      <c r="S138" s="300"/>
      <c r="T138" s="300"/>
      <c r="U138" s="300"/>
      <c r="V138" s="300"/>
      <c r="W138" s="300"/>
      <c r="X138" s="300"/>
      <c r="Y138" s="300"/>
      <c r="Z138" s="300"/>
    </row>
    <row r="139" spans="1:26">
      <c r="A139" s="215" t="s">
        <v>3042</v>
      </c>
      <c r="B139" s="207">
        <v>2075</v>
      </c>
      <c r="C139" s="215" t="s">
        <v>5177</v>
      </c>
      <c r="D139" s="215" t="s">
        <v>6787</v>
      </c>
      <c r="E139" s="215" t="s">
        <v>6787</v>
      </c>
      <c r="F139" s="215" t="s">
        <v>6610</v>
      </c>
      <c r="G139" s="215" t="s">
        <v>6611</v>
      </c>
      <c r="H139" s="215" t="s">
        <v>6497</v>
      </c>
      <c r="I139" s="300"/>
      <c r="J139" s="300"/>
      <c r="K139" s="300"/>
      <c r="L139" s="300"/>
      <c r="M139" s="300"/>
      <c r="N139" s="300"/>
      <c r="O139" s="300"/>
      <c r="P139" s="300"/>
      <c r="Q139" s="300"/>
      <c r="R139" s="300"/>
      <c r="S139" s="300"/>
      <c r="T139" s="300"/>
      <c r="U139" s="300"/>
      <c r="V139" s="300"/>
      <c r="W139" s="300"/>
      <c r="X139" s="300"/>
      <c r="Y139" s="300"/>
      <c r="Z139" s="300"/>
    </row>
    <row r="140" spans="1:26">
      <c r="A140" s="215" t="s">
        <v>3379</v>
      </c>
      <c r="B140" s="207">
        <v>2076</v>
      </c>
      <c r="C140" s="215" t="s">
        <v>6788</v>
      </c>
      <c r="D140" s="215" t="s">
        <v>6789</v>
      </c>
      <c r="E140" s="215" t="s">
        <v>6790</v>
      </c>
      <c r="F140" s="215" t="s">
        <v>6610</v>
      </c>
      <c r="G140" s="215" t="s">
        <v>6611</v>
      </c>
      <c r="H140" s="215" t="s">
        <v>6497</v>
      </c>
      <c r="I140" s="300"/>
      <c r="J140" s="300"/>
      <c r="K140" s="300"/>
      <c r="L140" s="300"/>
      <c r="M140" s="300"/>
      <c r="N140" s="300"/>
      <c r="O140" s="300"/>
      <c r="P140" s="300"/>
      <c r="Q140" s="300"/>
      <c r="R140" s="300"/>
      <c r="S140" s="300"/>
      <c r="T140" s="300"/>
      <c r="U140" s="300"/>
      <c r="V140" s="300"/>
      <c r="W140" s="300"/>
      <c r="X140" s="300"/>
      <c r="Y140" s="300"/>
      <c r="Z140" s="300"/>
    </row>
    <row r="141" spans="1:26">
      <c r="A141" s="215" t="s">
        <v>3409</v>
      </c>
      <c r="B141" s="207">
        <v>2077</v>
      </c>
      <c r="C141" s="215" t="s">
        <v>5533</v>
      </c>
      <c r="D141" s="215" t="s">
        <v>6791</v>
      </c>
      <c r="E141" s="215" t="s">
        <v>6791</v>
      </c>
      <c r="F141" s="215" t="s">
        <v>6610</v>
      </c>
      <c r="G141" s="215" t="s">
        <v>6611</v>
      </c>
      <c r="H141" s="215" t="s">
        <v>6497</v>
      </c>
      <c r="I141" s="300"/>
      <c r="J141" s="300"/>
      <c r="K141" s="300"/>
      <c r="L141" s="300"/>
      <c r="M141" s="300"/>
      <c r="N141" s="300"/>
      <c r="O141" s="300"/>
      <c r="P141" s="300"/>
      <c r="Q141" s="300"/>
      <c r="R141" s="300"/>
      <c r="S141" s="300"/>
      <c r="T141" s="300"/>
      <c r="U141" s="300"/>
      <c r="V141" s="300"/>
      <c r="W141" s="300"/>
      <c r="X141" s="300"/>
      <c r="Y141" s="300"/>
      <c r="Z141" s="300"/>
    </row>
    <row r="142" spans="1:26">
      <c r="A142" s="215" t="s">
        <v>3812</v>
      </c>
      <c r="B142" s="207">
        <v>2078</v>
      </c>
      <c r="C142" s="215" t="s">
        <v>5889</v>
      </c>
      <c r="D142" s="215" t="s">
        <v>6792</v>
      </c>
      <c r="E142" s="215" t="s">
        <v>6793</v>
      </c>
      <c r="F142" s="215" t="s">
        <v>6610</v>
      </c>
      <c r="G142" s="215" t="s">
        <v>6611</v>
      </c>
      <c r="H142" s="215" t="s">
        <v>6521</v>
      </c>
      <c r="I142" s="300"/>
      <c r="J142" s="300"/>
      <c r="K142" s="300"/>
      <c r="L142" s="300"/>
      <c r="M142" s="300"/>
      <c r="N142" s="300"/>
      <c r="O142" s="300"/>
      <c r="P142" s="300"/>
      <c r="Q142" s="300"/>
      <c r="R142" s="300"/>
      <c r="S142" s="300"/>
      <c r="T142" s="300"/>
      <c r="U142" s="300"/>
      <c r="V142" s="300"/>
      <c r="W142" s="300"/>
      <c r="X142" s="300"/>
      <c r="Y142" s="300"/>
      <c r="Z142" s="300"/>
    </row>
    <row r="143" spans="1:26">
      <c r="A143" s="215"/>
      <c r="B143" s="207">
        <v>2079</v>
      </c>
      <c r="C143" s="215" t="s">
        <v>6794</v>
      </c>
      <c r="D143" s="215" t="s">
        <v>6795</v>
      </c>
      <c r="E143" s="215" t="s">
        <v>6796</v>
      </c>
      <c r="F143" s="215" t="s">
        <v>6610</v>
      </c>
      <c r="G143" s="215" t="s">
        <v>6611</v>
      </c>
      <c r="H143" s="215" t="s">
        <v>6504</v>
      </c>
      <c r="I143" s="300"/>
      <c r="J143" s="300"/>
      <c r="K143" s="300"/>
      <c r="L143" s="300"/>
      <c r="M143" s="300"/>
      <c r="N143" s="300"/>
      <c r="O143" s="300"/>
      <c r="P143" s="300"/>
      <c r="Q143" s="300"/>
      <c r="R143" s="300"/>
      <c r="S143" s="300"/>
      <c r="T143" s="300"/>
      <c r="U143" s="300"/>
      <c r="V143" s="300"/>
      <c r="W143" s="300"/>
      <c r="X143" s="300"/>
      <c r="Y143" s="300"/>
      <c r="Z143" s="300"/>
    </row>
    <row r="144" spans="1:26">
      <c r="A144" s="215" t="s">
        <v>4238</v>
      </c>
      <c r="B144" s="207">
        <v>2080</v>
      </c>
      <c r="C144" s="215" t="s">
        <v>6214</v>
      </c>
      <c r="D144" s="215" t="s">
        <v>6797</v>
      </c>
      <c r="E144" s="215" t="s">
        <v>6798</v>
      </c>
      <c r="F144" s="215" t="s">
        <v>6610</v>
      </c>
      <c r="G144" s="215" t="s">
        <v>6611</v>
      </c>
      <c r="H144" s="215" t="s">
        <v>6500</v>
      </c>
      <c r="I144" s="300"/>
      <c r="J144" s="300"/>
      <c r="K144" s="300"/>
      <c r="L144" s="300"/>
      <c r="M144" s="300"/>
      <c r="N144" s="300"/>
      <c r="O144" s="300"/>
      <c r="P144" s="300"/>
      <c r="Q144" s="300"/>
      <c r="R144" s="300"/>
      <c r="S144" s="300"/>
      <c r="T144" s="300"/>
      <c r="U144" s="300"/>
      <c r="V144" s="300"/>
      <c r="W144" s="300"/>
      <c r="X144" s="300"/>
      <c r="Y144" s="300"/>
      <c r="Z144" s="300"/>
    </row>
    <row r="145" spans="1:26">
      <c r="A145" s="215" t="s">
        <v>3476</v>
      </c>
      <c r="B145" s="207">
        <v>2081</v>
      </c>
      <c r="C145" s="215" t="s">
        <v>5587</v>
      </c>
      <c r="D145" s="215" t="s">
        <v>6799</v>
      </c>
      <c r="E145" s="215" t="s">
        <v>6799</v>
      </c>
      <c r="F145" s="215" t="s">
        <v>6610</v>
      </c>
      <c r="G145" s="215" t="s">
        <v>6611</v>
      </c>
      <c r="H145" s="215" t="s">
        <v>6521</v>
      </c>
      <c r="I145" s="300"/>
      <c r="J145" s="300"/>
      <c r="K145" s="300"/>
      <c r="L145" s="300"/>
      <c r="M145" s="300"/>
      <c r="N145" s="300"/>
      <c r="O145" s="300"/>
      <c r="P145" s="300"/>
      <c r="Q145" s="300"/>
      <c r="R145" s="300"/>
      <c r="S145" s="300"/>
      <c r="T145" s="300"/>
      <c r="U145" s="300"/>
      <c r="V145" s="300"/>
      <c r="W145" s="300"/>
      <c r="X145" s="300"/>
      <c r="Y145" s="300"/>
      <c r="Z145" s="300"/>
    </row>
    <row r="146" spans="1:26">
      <c r="A146" s="215" t="s">
        <v>3926</v>
      </c>
      <c r="B146" s="207">
        <v>2082</v>
      </c>
      <c r="C146" s="215" t="s">
        <v>5970</v>
      </c>
      <c r="D146" s="215" t="s">
        <v>6800</v>
      </c>
      <c r="E146" s="215" t="s">
        <v>6801</v>
      </c>
      <c r="F146" s="215" t="s">
        <v>6610</v>
      </c>
      <c r="G146" s="215" t="s">
        <v>6611</v>
      </c>
      <c r="H146" s="215" t="s">
        <v>6521</v>
      </c>
      <c r="I146" s="300"/>
      <c r="J146" s="300"/>
      <c r="K146" s="300"/>
      <c r="L146" s="300"/>
      <c r="M146" s="300"/>
      <c r="N146" s="300"/>
      <c r="O146" s="300"/>
      <c r="P146" s="300"/>
      <c r="Q146" s="300"/>
      <c r="R146" s="300"/>
      <c r="S146" s="300"/>
      <c r="T146" s="300"/>
      <c r="U146" s="300"/>
      <c r="V146" s="300"/>
      <c r="W146" s="300"/>
      <c r="X146" s="300"/>
      <c r="Y146" s="300"/>
      <c r="Z146" s="300"/>
    </row>
    <row r="147" spans="1:26">
      <c r="A147" s="215" t="s">
        <v>3929</v>
      </c>
      <c r="B147" s="207">
        <v>2083</v>
      </c>
      <c r="C147" s="215" t="s">
        <v>5973</v>
      </c>
      <c r="D147" s="215" t="s">
        <v>6802</v>
      </c>
      <c r="E147" s="215" t="s">
        <v>6803</v>
      </c>
      <c r="F147" s="215" t="s">
        <v>6610</v>
      </c>
      <c r="G147" s="215" t="s">
        <v>6611</v>
      </c>
      <c r="H147" s="215" t="s">
        <v>6521</v>
      </c>
      <c r="I147" s="300"/>
      <c r="J147" s="300"/>
      <c r="K147" s="300"/>
      <c r="L147" s="300"/>
      <c r="M147" s="300"/>
      <c r="N147" s="300"/>
      <c r="O147" s="300"/>
      <c r="P147" s="300"/>
      <c r="Q147" s="300"/>
      <c r="R147" s="300"/>
      <c r="S147" s="300"/>
      <c r="T147" s="300"/>
      <c r="U147" s="300"/>
      <c r="V147" s="300"/>
      <c r="W147" s="300"/>
      <c r="X147" s="300"/>
      <c r="Y147" s="300"/>
      <c r="Z147" s="300"/>
    </row>
    <row r="148" spans="1:26">
      <c r="A148" s="215" t="s">
        <v>3354</v>
      </c>
      <c r="B148" s="207">
        <v>2084</v>
      </c>
      <c r="C148" s="215" t="s">
        <v>5473</v>
      </c>
      <c r="D148" s="215" t="s">
        <v>6804</v>
      </c>
      <c r="E148" s="215" t="s">
        <v>6805</v>
      </c>
      <c r="F148" s="215" t="s">
        <v>6610</v>
      </c>
      <c r="G148" s="215" t="s">
        <v>6611</v>
      </c>
      <c r="H148" s="215" t="s">
        <v>6500</v>
      </c>
      <c r="I148" s="300"/>
      <c r="J148" s="300"/>
      <c r="K148" s="300"/>
      <c r="L148" s="300"/>
      <c r="M148" s="300"/>
      <c r="N148" s="300"/>
      <c r="O148" s="300"/>
      <c r="P148" s="300"/>
      <c r="Q148" s="300"/>
      <c r="R148" s="300"/>
      <c r="S148" s="300"/>
      <c r="T148" s="300"/>
      <c r="U148" s="300"/>
      <c r="V148" s="300"/>
      <c r="W148" s="300"/>
      <c r="X148" s="300"/>
      <c r="Y148" s="300"/>
      <c r="Z148" s="300"/>
    </row>
    <row r="149" spans="1:26">
      <c r="A149" s="215" t="s">
        <v>3297</v>
      </c>
      <c r="B149" s="207">
        <v>2085</v>
      </c>
      <c r="C149" s="215" t="s">
        <v>5428</v>
      </c>
      <c r="D149" s="215" t="s">
        <v>6806</v>
      </c>
      <c r="E149" s="215" t="s">
        <v>6807</v>
      </c>
      <c r="F149" s="215" t="s">
        <v>6610</v>
      </c>
      <c r="G149" s="215" t="s">
        <v>6611</v>
      </c>
      <c r="H149" s="215" t="s">
        <v>6500</v>
      </c>
      <c r="I149" s="300"/>
      <c r="J149" s="300"/>
      <c r="K149" s="300"/>
      <c r="L149" s="300"/>
      <c r="M149" s="300"/>
      <c r="N149" s="300"/>
      <c r="O149" s="300"/>
      <c r="P149" s="300"/>
      <c r="Q149" s="300"/>
      <c r="R149" s="300"/>
      <c r="S149" s="300"/>
      <c r="T149" s="300"/>
      <c r="U149" s="300"/>
      <c r="V149" s="300"/>
      <c r="W149" s="300"/>
      <c r="X149" s="300"/>
      <c r="Y149" s="300"/>
      <c r="Z149" s="300"/>
    </row>
    <row r="150" spans="1:26">
      <c r="A150" s="215" t="s">
        <v>6808</v>
      </c>
      <c r="B150" s="207">
        <v>2086</v>
      </c>
      <c r="C150" s="215" t="s">
        <v>6417</v>
      </c>
      <c r="D150" s="215" t="s">
        <v>6809</v>
      </c>
      <c r="E150" s="215" t="s">
        <v>6809</v>
      </c>
      <c r="F150" s="215" t="s">
        <v>6610</v>
      </c>
      <c r="G150" s="215" t="s">
        <v>6611</v>
      </c>
      <c r="H150" s="215" t="s">
        <v>6497</v>
      </c>
      <c r="I150" s="300"/>
      <c r="J150" s="300"/>
      <c r="K150" s="300"/>
      <c r="L150" s="300"/>
      <c r="M150" s="300"/>
      <c r="N150" s="300"/>
      <c r="O150" s="300"/>
      <c r="P150" s="300"/>
      <c r="Q150" s="300"/>
      <c r="R150" s="300"/>
      <c r="S150" s="300"/>
      <c r="T150" s="300"/>
      <c r="U150" s="300"/>
      <c r="V150" s="300"/>
      <c r="W150" s="300"/>
      <c r="X150" s="300"/>
      <c r="Y150" s="300"/>
      <c r="Z150" s="300"/>
    </row>
    <row r="151" spans="1:26">
      <c r="A151" s="215" t="s">
        <v>6530</v>
      </c>
      <c r="B151" s="207">
        <v>1350</v>
      </c>
      <c r="C151" s="215" t="s">
        <v>5115</v>
      </c>
      <c r="D151" s="215" t="s">
        <v>6810</v>
      </c>
      <c r="E151" s="215" t="s">
        <v>6811</v>
      </c>
      <c r="F151" s="215" t="s">
        <v>6812</v>
      </c>
      <c r="G151" s="215" t="s">
        <v>6813</v>
      </c>
      <c r="H151" s="215" t="s">
        <v>6500</v>
      </c>
      <c r="I151" s="300"/>
      <c r="J151" s="300"/>
      <c r="K151" s="300"/>
      <c r="L151" s="300"/>
      <c r="M151" s="300"/>
      <c r="N151" s="300"/>
      <c r="O151" s="300"/>
      <c r="P151" s="300"/>
      <c r="Q151" s="300"/>
      <c r="R151" s="300"/>
      <c r="S151" s="300"/>
      <c r="T151" s="300"/>
      <c r="U151" s="300"/>
      <c r="V151" s="300"/>
      <c r="W151" s="300"/>
      <c r="X151" s="300"/>
      <c r="Y151" s="300"/>
      <c r="Z151" s="300"/>
    </row>
    <row r="152" spans="1:26">
      <c r="A152" s="215" t="s">
        <v>2773</v>
      </c>
      <c r="B152" s="207">
        <v>1045</v>
      </c>
      <c r="C152" s="215" t="s">
        <v>4932</v>
      </c>
      <c r="D152" s="215" t="s">
        <v>6814</v>
      </c>
      <c r="E152" s="215" t="s">
        <v>6815</v>
      </c>
      <c r="F152" s="215" t="s">
        <v>4907</v>
      </c>
      <c r="G152" s="215" t="s">
        <v>6816</v>
      </c>
      <c r="H152" s="215" t="s">
        <v>6504</v>
      </c>
      <c r="I152" s="300"/>
      <c r="J152" s="300"/>
      <c r="K152" s="300"/>
      <c r="L152" s="300"/>
      <c r="M152" s="300"/>
      <c r="N152" s="300"/>
      <c r="O152" s="300"/>
      <c r="P152" s="300"/>
      <c r="Q152" s="300"/>
      <c r="R152" s="300"/>
      <c r="S152" s="300"/>
      <c r="T152" s="300"/>
      <c r="U152" s="300"/>
      <c r="V152" s="300"/>
      <c r="W152" s="300"/>
      <c r="X152" s="300"/>
      <c r="Y152" s="300"/>
      <c r="Z152" s="300"/>
    </row>
    <row r="153" spans="1:26">
      <c r="A153" s="215" t="s">
        <v>3392</v>
      </c>
      <c r="B153" s="207">
        <v>1054</v>
      </c>
      <c r="C153" s="215" t="s">
        <v>5518</v>
      </c>
      <c r="D153" s="215" t="s">
        <v>6817</v>
      </c>
      <c r="E153" s="215" t="s">
        <v>6818</v>
      </c>
      <c r="F153" s="215" t="s">
        <v>4907</v>
      </c>
      <c r="G153" s="215" t="s">
        <v>6816</v>
      </c>
      <c r="H153" s="215" t="s">
        <v>6504</v>
      </c>
      <c r="I153" s="300"/>
      <c r="J153" s="300"/>
      <c r="K153" s="300"/>
      <c r="L153" s="300"/>
      <c r="M153" s="300"/>
      <c r="N153" s="300"/>
      <c r="O153" s="300"/>
      <c r="P153" s="300"/>
      <c r="Q153" s="300"/>
      <c r="R153" s="300"/>
      <c r="S153" s="300"/>
      <c r="T153" s="300"/>
      <c r="U153" s="300"/>
      <c r="V153" s="300"/>
      <c r="W153" s="300"/>
      <c r="X153" s="300"/>
      <c r="Y153" s="300"/>
      <c r="Z153" s="300"/>
    </row>
    <row r="154" spans="1:26">
      <c r="A154" s="215" t="s">
        <v>3459</v>
      </c>
      <c r="B154" s="207">
        <v>1055</v>
      </c>
      <c r="C154" s="215" t="s">
        <v>5575</v>
      </c>
      <c r="D154" s="215" t="s">
        <v>6819</v>
      </c>
      <c r="E154" s="215" t="s">
        <v>6820</v>
      </c>
      <c r="F154" s="215" t="s">
        <v>4907</v>
      </c>
      <c r="G154" s="215" t="s">
        <v>6816</v>
      </c>
      <c r="H154" s="215" t="s">
        <v>6504</v>
      </c>
      <c r="I154" s="300"/>
      <c r="J154" s="300"/>
      <c r="K154" s="300"/>
      <c r="L154" s="300"/>
      <c r="M154" s="300"/>
      <c r="N154" s="300"/>
      <c r="O154" s="300"/>
      <c r="P154" s="300"/>
      <c r="Q154" s="300"/>
      <c r="R154" s="300"/>
      <c r="S154" s="300"/>
      <c r="T154" s="300"/>
      <c r="U154" s="300"/>
      <c r="V154" s="300"/>
      <c r="W154" s="300"/>
      <c r="X154" s="300"/>
      <c r="Y154" s="300"/>
      <c r="Z154" s="300"/>
    </row>
    <row r="155" spans="1:26">
      <c r="A155" s="215" t="s">
        <v>4327</v>
      </c>
      <c r="B155" s="207">
        <v>1059</v>
      </c>
      <c r="C155" s="215" t="s">
        <v>6821</v>
      </c>
      <c r="D155" s="215" t="s">
        <v>4191</v>
      </c>
      <c r="E155" s="215" t="s">
        <v>6822</v>
      </c>
      <c r="F155" s="215" t="s">
        <v>4907</v>
      </c>
      <c r="G155" s="215" t="s">
        <v>6816</v>
      </c>
      <c r="H155" s="215" t="s">
        <v>6504</v>
      </c>
      <c r="I155" s="300"/>
      <c r="J155" s="300"/>
      <c r="K155" s="300"/>
      <c r="L155" s="300"/>
      <c r="M155" s="300"/>
      <c r="N155" s="300"/>
      <c r="O155" s="300"/>
      <c r="P155" s="300"/>
      <c r="Q155" s="300"/>
      <c r="R155" s="300"/>
      <c r="S155" s="300"/>
      <c r="T155" s="300"/>
      <c r="U155" s="300"/>
      <c r="V155" s="300"/>
      <c r="W155" s="300"/>
      <c r="X155" s="300"/>
      <c r="Y155" s="300"/>
      <c r="Z155" s="300"/>
    </row>
    <row r="156" spans="1:26">
      <c r="A156" s="215" t="s">
        <v>4354</v>
      </c>
      <c r="B156" s="207">
        <v>1063</v>
      </c>
      <c r="C156" s="215" t="s">
        <v>6823</v>
      </c>
      <c r="D156" s="215" t="s">
        <v>6824</v>
      </c>
      <c r="E156" s="215" t="s">
        <v>6825</v>
      </c>
      <c r="F156" s="215" t="s">
        <v>4907</v>
      </c>
      <c r="G156" s="215" t="s">
        <v>6816</v>
      </c>
      <c r="H156" s="215" t="s">
        <v>6504</v>
      </c>
      <c r="I156" s="300"/>
      <c r="J156" s="300"/>
      <c r="K156" s="300"/>
      <c r="L156" s="300"/>
      <c r="M156" s="300"/>
      <c r="N156" s="300"/>
      <c r="O156" s="300"/>
      <c r="P156" s="300"/>
      <c r="Q156" s="300"/>
      <c r="R156" s="300"/>
      <c r="S156" s="300"/>
      <c r="T156" s="300"/>
      <c r="U156" s="300"/>
      <c r="V156" s="300"/>
      <c r="W156" s="300"/>
      <c r="X156" s="300"/>
      <c r="Y156" s="300"/>
      <c r="Z156" s="300"/>
    </row>
    <row r="157" spans="1:26">
      <c r="A157" s="215"/>
      <c r="B157" s="207">
        <v>1613</v>
      </c>
      <c r="C157" s="215" t="s">
        <v>6826</v>
      </c>
      <c r="D157" s="215" t="s">
        <v>6827</v>
      </c>
      <c r="E157" s="215" t="s">
        <v>6827</v>
      </c>
      <c r="F157" s="215" t="s">
        <v>4907</v>
      </c>
      <c r="G157" s="215" t="s">
        <v>6816</v>
      </c>
      <c r="H157" s="215" t="s">
        <v>6548</v>
      </c>
      <c r="I157" s="300"/>
      <c r="J157" s="300"/>
      <c r="K157" s="300"/>
      <c r="L157" s="300"/>
      <c r="M157" s="300"/>
      <c r="N157" s="300"/>
      <c r="O157" s="300"/>
      <c r="P157" s="300"/>
      <c r="Q157" s="300"/>
      <c r="R157" s="300"/>
      <c r="S157" s="300"/>
      <c r="T157" s="300"/>
      <c r="U157" s="300"/>
      <c r="V157" s="300"/>
      <c r="W157" s="300"/>
      <c r="X157" s="300"/>
      <c r="Y157" s="300"/>
      <c r="Z157" s="300"/>
    </row>
    <row r="158" spans="1:26">
      <c r="A158" s="215" t="s">
        <v>4274</v>
      </c>
      <c r="B158" s="207">
        <v>1515</v>
      </c>
      <c r="C158" s="215" t="s">
        <v>6239</v>
      </c>
      <c r="D158" s="215" t="s">
        <v>6828</v>
      </c>
      <c r="E158" s="215" t="s">
        <v>6829</v>
      </c>
      <c r="F158" s="215" t="s">
        <v>6830</v>
      </c>
      <c r="G158" s="215" t="s">
        <v>6831</v>
      </c>
      <c r="H158" s="215" t="s">
        <v>6521</v>
      </c>
      <c r="I158" s="300"/>
      <c r="J158" s="300"/>
      <c r="K158" s="300"/>
      <c r="L158" s="300"/>
      <c r="M158" s="300"/>
      <c r="N158" s="300"/>
      <c r="O158" s="300"/>
      <c r="P158" s="300"/>
      <c r="Q158" s="300"/>
      <c r="R158" s="300"/>
      <c r="S158" s="300"/>
      <c r="T158" s="300"/>
      <c r="U158" s="300"/>
      <c r="V158" s="300"/>
      <c r="W158" s="300"/>
      <c r="X158" s="300"/>
      <c r="Y158" s="300"/>
      <c r="Z158" s="300"/>
    </row>
    <row r="159" spans="1:26">
      <c r="A159" s="215" t="s">
        <v>4033</v>
      </c>
      <c r="B159" s="207">
        <v>1036</v>
      </c>
      <c r="C159" s="215" t="s">
        <v>6057</v>
      </c>
      <c r="D159" s="215" t="s">
        <v>6832</v>
      </c>
      <c r="E159" s="215" t="s">
        <v>6833</v>
      </c>
      <c r="F159" s="215" t="s">
        <v>6834</v>
      </c>
      <c r="G159" s="215" t="s">
        <v>6835</v>
      </c>
      <c r="H159" s="215" t="s">
        <v>6500</v>
      </c>
      <c r="I159" s="300"/>
      <c r="J159" s="300"/>
      <c r="K159" s="300"/>
      <c r="L159" s="300"/>
      <c r="M159" s="300"/>
      <c r="N159" s="300"/>
      <c r="O159" s="300"/>
      <c r="P159" s="300"/>
      <c r="Q159" s="300"/>
      <c r="R159" s="300"/>
      <c r="S159" s="300"/>
      <c r="T159" s="300"/>
      <c r="U159" s="300"/>
      <c r="V159" s="300"/>
      <c r="W159" s="300"/>
      <c r="X159" s="300"/>
      <c r="Y159" s="300"/>
      <c r="Z159" s="300"/>
    </row>
    <row r="160" spans="1:26">
      <c r="A160" s="215" t="s">
        <v>3303</v>
      </c>
      <c r="B160" s="207">
        <v>1052</v>
      </c>
      <c r="C160" s="215" t="s">
        <v>6836</v>
      </c>
      <c r="D160" s="215" t="s">
        <v>6837</v>
      </c>
      <c r="E160" s="215" t="s">
        <v>6838</v>
      </c>
      <c r="F160" s="215" t="s">
        <v>6834</v>
      </c>
      <c r="G160" s="215" t="s">
        <v>6835</v>
      </c>
      <c r="H160" s="215" t="s">
        <v>6500</v>
      </c>
      <c r="I160" s="300"/>
      <c r="J160" s="300"/>
      <c r="K160" s="300"/>
      <c r="L160" s="300"/>
      <c r="M160" s="300"/>
      <c r="N160" s="300"/>
      <c r="O160" s="300"/>
      <c r="P160" s="300"/>
      <c r="Q160" s="300"/>
      <c r="R160" s="300"/>
      <c r="S160" s="300"/>
      <c r="T160" s="300"/>
      <c r="U160" s="300"/>
      <c r="V160" s="300"/>
      <c r="W160" s="300"/>
      <c r="X160" s="300"/>
      <c r="Y160" s="300"/>
      <c r="Z160" s="300"/>
    </row>
    <row r="161" spans="1:26">
      <c r="A161" s="215" t="s">
        <v>4259</v>
      </c>
      <c r="B161" s="207">
        <v>1061</v>
      </c>
      <c r="C161" s="215" t="s">
        <v>6230</v>
      </c>
      <c r="D161" s="215" t="s">
        <v>6839</v>
      </c>
      <c r="E161" s="215" t="s">
        <v>6840</v>
      </c>
      <c r="F161" s="215" t="s">
        <v>6834</v>
      </c>
      <c r="G161" s="215" t="s">
        <v>6835</v>
      </c>
      <c r="H161" s="215" t="s">
        <v>6500</v>
      </c>
      <c r="I161" s="300"/>
      <c r="J161" s="300"/>
      <c r="K161" s="300"/>
      <c r="L161" s="300"/>
      <c r="M161" s="300"/>
      <c r="N161" s="300"/>
      <c r="O161" s="300"/>
      <c r="P161" s="300"/>
      <c r="Q161" s="300"/>
      <c r="R161" s="300"/>
      <c r="S161" s="300"/>
      <c r="T161" s="300"/>
      <c r="U161" s="300"/>
      <c r="V161" s="300"/>
      <c r="W161" s="300"/>
      <c r="X161" s="300"/>
      <c r="Y161" s="300"/>
      <c r="Z161" s="300"/>
    </row>
    <row r="162" spans="1:26">
      <c r="A162" s="215" t="s">
        <v>3526</v>
      </c>
      <c r="B162" s="207">
        <v>1072</v>
      </c>
      <c r="C162" s="215" t="s">
        <v>5638</v>
      </c>
      <c r="D162" s="215" t="s">
        <v>6841</v>
      </c>
      <c r="E162" s="215" t="s">
        <v>6842</v>
      </c>
      <c r="F162" s="215" t="s">
        <v>6834</v>
      </c>
      <c r="G162" s="215" t="s">
        <v>6835</v>
      </c>
      <c r="H162" s="215" t="s">
        <v>6521</v>
      </c>
      <c r="I162" s="300"/>
      <c r="J162" s="300"/>
      <c r="K162" s="300"/>
      <c r="L162" s="300"/>
      <c r="M162" s="300"/>
      <c r="N162" s="300"/>
      <c r="O162" s="300"/>
      <c r="P162" s="300"/>
      <c r="Q162" s="300"/>
      <c r="R162" s="300"/>
      <c r="S162" s="300"/>
      <c r="T162" s="300"/>
      <c r="U162" s="300"/>
      <c r="V162" s="300"/>
      <c r="W162" s="300"/>
      <c r="X162" s="300"/>
      <c r="Y162" s="300"/>
      <c r="Z162" s="300"/>
    </row>
    <row r="163" spans="1:26">
      <c r="A163" s="215" t="s">
        <v>3892</v>
      </c>
      <c r="B163" s="207">
        <v>398</v>
      </c>
      <c r="C163" s="215" t="s">
        <v>5952</v>
      </c>
      <c r="D163" s="215" t="s">
        <v>6843</v>
      </c>
      <c r="E163" s="215" t="s">
        <v>6844</v>
      </c>
      <c r="F163" s="215" t="s">
        <v>6845</v>
      </c>
      <c r="G163" s="215" t="s">
        <v>6846</v>
      </c>
      <c r="H163" s="215" t="s">
        <v>6504</v>
      </c>
      <c r="I163" s="300"/>
      <c r="J163" s="300"/>
      <c r="K163" s="300"/>
      <c r="L163" s="300"/>
      <c r="M163" s="300"/>
      <c r="N163" s="300"/>
      <c r="O163" s="300"/>
      <c r="P163" s="300"/>
      <c r="Q163" s="300"/>
      <c r="R163" s="300"/>
      <c r="S163" s="300"/>
      <c r="T163" s="300"/>
      <c r="U163" s="300"/>
      <c r="V163" s="300"/>
      <c r="W163" s="300"/>
      <c r="X163" s="300"/>
      <c r="Y163" s="300"/>
      <c r="Z163" s="300"/>
    </row>
    <row r="164" spans="1:26">
      <c r="A164" s="215" t="s">
        <v>1360</v>
      </c>
      <c r="B164" s="207">
        <v>1519</v>
      </c>
      <c r="C164" s="215" t="s">
        <v>6847</v>
      </c>
      <c r="D164" s="215" t="s">
        <v>6848</v>
      </c>
      <c r="E164" s="215" t="s">
        <v>6849</v>
      </c>
      <c r="F164" s="215" t="s">
        <v>6845</v>
      </c>
      <c r="G164" s="215" t="s">
        <v>6846</v>
      </c>
      <c r="H164" s="215" t="s">
        <v>6504</v>
      </c>
      <c r="I164" s="300"/>
      <c r="J164" s="300"/>
      <c r="K164" s="300"/>
      <c r="L164" s="300"/>
      <c r="M164" s="300"/>
      <c r="N164" s="300"/>
      <c r="O164" s="300"/>
      <c r="P164" s="300"/>
      <c r="Q164" s="300"/>
      <c r="R164" s="300"/>
      <c r="S164" s="300"/>
      <c r="T164" s="300"/>
      <c r="U164" s="300"/>
      <c r="V164" s="300"/>
      <c r="W164" s="300"/>
      <c r="X164" s="300"/>
      <c r="Y164" s="300"/>
      <c r="Z164" s="300"/>
    </row>
    <row r="165" spans="1:26">
      <c r="A165" s="215" t="s">
        <v>1360</v>
      </c>
      <c r="B165" s="207">
        <v>1520</v>
      </c>
      <c r="C165" s="215" t="s">
        <v>6850</v>
      </c>
      <c r="D165" s="215" t="s">
        <v>6851</v>
      </c>
      <c r="E165" s="215" t="s">
        <v>6852</v>
      </c>
      <c r="F165" s="215" t="s">
        <v>6845</v>
      </c>
      <c r="G165" s="215" t="s">
        <v>6846</v>
      </c>
      <c r="H165" s="215" t="s">
        <v>6504</v>
      </c>
      <c r="I165" s="300"/>
      <c r="J165" s="300"/>
      <c r="K165" s="300"/>
      <c r="L165" s="300"/>
      <c r="M165" s="300"/>
      <c r="N165" s="300"/>
      <c r="O165" s="300"/>
      <c r="P165" s="300"/>
      <c r="Q165" s="300"/>
      <c r="R165" s="300"/>
      <c r="S165" s="300"/>
      <c r="T165" s="300"/>
      <c r="U165" s="300"/>
      <c r="V165" s="300"/>
      <c r="W165" s="300"/>
      <c r="X165" s="300"/>
      <c r="Y165" s="300"/>
      <c r="Z165" s="300"/>
    </row>
    <row r="166" spans="1:26">
      <c r="A166" s="215" t="s">
        <v>4433</v>
      </c>
      <c r="B166" s="207">
        <v>1947</v>
      </c>
      <c r="C166" s="215" t="s">
        <v>6365</v>
      </c>
      <c r="D166" s="215" t="s">
        <v>6853</v>
      </c>
      <c r="E166" s="215" t="s">
        <v>6854</v>
      </c>
      <c r="F166" s="215" t="s">
        <v>6855</v>
      </c>
      <c r="G166" s="215" t="s">
        <v>6856</v>
      </c>
      <c r="H166" s="215" t="s">
        <v>6500</v>
      </c>
      <c r="I166" s="300"/>
      <c r="J166" s="300"/>
      <c r="K166" s="300"/>
      <c r="L166" s="300"/>
      <c r="M166" s="300"/>
      <c r="N166" s="300"/>
      <c r="O166" s="300"/>
      <c r="P166" s="300"/>
      <c r="Q166" s="300"/>
      <c r="R166" s="300"/>
      <c r="S166" s="300"/>
      <c r="T166" s="300"/>
      <c r="U166" s="300"/>
      <c r="V166" s="300"/>
      <c r="W166" s="300"/>
      <c r="X166" s="300"/>
      <c r="Y166" s="300"/>
      <c r="Z166" s="300"/>
    </row>
    <row r="167" spans="1:26">
      <c r="A167" s="215" t="s">
        <v>6857</v>
      </c>
      <c r="B167" s="207">
        <v>1476</v>
      </c>
      <c r="C167" s="215" t="s">
        <v>6342</v>
      </c>
      <c r="D167" s="215" t="s">
        <v>6341</v>
      </c>
      <c r="E167" s="215" t="s">
        <v>6858</v>
      </c>
      <c r="F167" s="215" t="s">
        <v>6859</v>
      </c>
      <c r="G167" s="215" t="s">
        <v>6860</v>
      </c>
      <c r="H167" s="215" t="s">
        <v>6521</v>
      </c>
      <c r="I167" s="300"/>
      <c r="J167" s="300"/>
      <c r="K167" s="300"/>
      <c r="L167" s="300"/>
      <c r="M167" s="300"/>
      <c r="N167" s="300"/>
      <c r="O167" s="300"/>
      <c r="P167" s="300"/>
      <c r="Q167" s="300"/>
      <c r="R167" s="300"/>
      <c r="S167" s="300"/>
      <c r="T167" s="300"/>
      <c r="U167" s="300"/>
      <c r="V167" s="300"/>
      <c r="W167" s="300"/>
      <c r="X167" s="300"/>
      <c r="Y167" s="300"/>
      <c r="Z167" s="300"/>
    </row>
    <row r="168" spans="1:26">
      <c r="A168" s="215" t="s">
        <v>2789</v>
      </c>
      <c r="B168" s="207">
        <v>1328</v>
      </c>
      <c r="C168" s="215" t="s">
        <v>5004</v>
      </c>
      <c r="D168" s="215" t="s">
        <v>6861</v>
      </c>
      <c r="E168" s="215" t="s">
        <v>6861</v>
      </c>
      <c r="F168" s="215" t="s">
        <v>4966</v>
      </c>
      <c r="G168" s="215" t="s">
        <v>6862</v>
      </c>
      <c r="H168" s="215" t="s">
        <v>6497</v>
      </c>
      <c r="I168" s="300"/>
      <c r="J168" s="300"/>
      <c r="K168" s="300"/>
      <c r="L168" s="300"/>
      <c r="M168" s="300"/>
      <c r="N168" s="300"/>
      <c r="O168" s="300"/>
      <c r="P168" s="300"/>
      <c r="Q168" s="300"/>
      <c r="R168" s="300"/>
      <c r="S168" s="300"/>
      <c r="T168" s="300"/>
      <c r="U168" s="300"/>
      <c r="V168" s="300"/>
      <c r="W168" s="300"/>
      <c r="X168" s="300"/>
      <c r="Y168" s="300"/>
      <c r="Z168" s="300"/>
    </row>
    <row r="169" spans="1:26">
      <c r="A169" s="215" t="s">
        <v>3942</v>
      </c>
      <c r="B169" s="207">
        <v>1318</v>
      </c>
      <c r="C169" s="215" t="s">
        <v>5983</v>
      </c>
      <c r="D169" s="215" t="s">
        <v>6863</v>
      </c>
      <c r="E169" s="215" t="s">
        <v>6863</v>
      </c>
      <c r="F169" s="215" t="s">
        <v>6864</v>
      </c>
      <c r="G169" s="215" t="s">
        <v>6865</v>
      </c>
      <c r="H169" s="215" t="s">
        <v>6500</v>
      </c>
      <c r="I169" s="300"/>
      <c r="J169" s="300"/>
      <c r="K169" s="300"/>
      <c r="L169" s="300"/>
      <c r="M169" s="300"/>
      <c r="N169" s="300"/>
      <c r="O169" s="300"/>
      <c r="P169" s="300"/>
      <c r="Q169" s="300"/>
      <c r="R169" s="300"/>
      <c r="S169" s="300"/>
      <c r="T169" s="300"/>
      <c r="U169" s="300"/>
      <c r="V169" s="300"/>
      <c r="W169" s="300"/>
      <c r="X169" s="300"/>
      <c r="Y169" s="300"/>
      <c r="Z169" s="300"/>
    </row>
    <row r="170" spans="1:26">
      <c r="A170" s="215" t="s">
        <v>2964</v>
      </c>
      <c r="B170" s="207">
        <v>1138</v>
      </c>
      <c r="C170" s="215" t="s">
        <v>6866</v>
      </c>
      <c r="D170" s="215" t="s">
        <v>6867</v>
      </c>
      <c r="E170" s="215" t="s">
        <v>6867</v>
      </c>
      <c r="F170" s="215" t="s">
        <v>6868</v>
      </c>
      <c r="G170" s="215" t="s">
        <v>6869</v>
      </c>
      <c r="H170" s="215" t="s">
        <v>6504</v>
      </c>
      <c r="I170" s="300"/>
      <c r="J170" s="300"/>
      <c r="K170" s="300"/>
      <c r="L170" s="300"/>
      <c r="M170" s="300"/>
      <c r="N170" s="300"/>
      <c r="O170" s="300"/>
      <c r="P170" s="300"/>
      <c r="Q170" s="300"/>
      <c r="R170" s="300"/>
      <c r="S170" s="300"/>
      <c r="T170" s="300"/>
      <c r="U170" s="300"/>
      <c r="V170" s="300"/>
      <c r="W170" s="300"/>
      <c r="X170" s="300"/>
      <c r="Y170" s="300"/>
      <c r="Z170" s="300"/>
    </row>
    <row r="171" spans="1:26">
      <c r="A171" s="215" t="s">
        <v>3456</v>
      </c>
      <c r="B171" s="207">
        <v>1594</v>
      </c>
      <c r="C171" s="215" t="s">
        <v>6870</v>
      </c>
      <c r="D171" s="215" t="s">
        <v>6871</v>
      </c>
      <c r="E171" s="215" t="s">
        <v>6872</v>
      </c>
      <c r="F171" s="215" t="s">
        <v>6868</v>
      </c>
      <c r="G171" s="215" t="s">
        <v>6869</v>
      </c>
      <c r="H171" s="215" t="s">
        <v>6521</v>
      </c>
      <c r="I171" s="300"/>
      <c r="J171" s="300"/>
      <c r="K171" s="300"/>
      <c r="L171" s="300"/>
      <c r="M171" s="300"/>
      <c r="N171" s="300"/>
      <c r="O171" s="300"/>
      <c r="P171" s="300"/>
      <c r="Q171" s="300"/>
      <c r="R171" s="300"/>
      <c r="S171" s="300"/>
      <c r="T171" s="300"/>
      <c r="U171" s="300"/>
      <c r="V171" s="300"/>
      <c r="W171" s="300"/>
      <c r="X171" s="300"/>
      <c r="Y171" s="300"/>
      <c r="Z171" s="300"/>
    </row>
    <row r="172" spans="1:26">
      <c r="A172" s="215" t="s">
        <v>2792</v>
      </c>
      <c r="B172" s="207">
        <v>1190</v>
      </c>
      <c r="C172" s="215" t="s">
        <v>4954</v>
      </c>
      <c r="D172" s="215" t="s">
        <v>6873</v>
      </c>
      <c r="E172" s="215" t="s">
        <v>6874</v>
      </c>
      <c r="F172" s="215" t="s">
        <v>6875</v>
      </c>
      <c r="G172" s="215" t="s">
        <v>6876</v>
      </c>
      <c r="H172" s="215" t="s">
        <v>6500</v>
      </c>
      <c r="I172" s="300"/>
      <c r="J172" s="300"/>
      <c r="K172" s="300"/>
      <c r="L172" s="300"/>
      <c r="M172" s="300"/>
      <c r="N172" s="300"/>
      <c r="O172" s="300"/>
      <c r="P172" s="300"/>
      <c r="Q172" s="300"/>
      <c r="R172" s="300"/>
      <c r="S172" s="300"/>
      <c r="T172" s="300"/>
      <c r="U172" s="300"/>
      <c r="V172" s="300"/>
      <c r="W172" s="300"/>
      <c r="X172" s="300"/>
      <c r="Y172" s="300"/>
      <c r="Z172" s="300"/>
    </row>
    <row r="173" spans="1:26">
      <c r="A173" s="215" t="s">
        <v>4309</v>
      </c>
      <c r="B173" s="207">
        <v>1228</v>
      </c>
      <c r="C173" s="215" t="s">
        <v>6266</v>
      </c>
      <c r="D173" s="215" t="s">
        <v>6877</v>
      </c>
      <c r="E173" s="215" t="s">
        <v>6878</v>
      </c>
      <c r="F173" s="215" t="s">
        <v>6875</v>
      </c>
      <c r="G173" s="215" t="s">
        <v>6876</v>
      </c>
      <c r="H173" s="215" t="s">
        <v>6521</v>
      </c>
      <c r="I173" s="300"/>
      <c r="J173" s="300"/>
      <c r="K173" s="300"/>
      <c r="L173" s="300"/>
      <c r="M173" s="300"/>
      <c r="N173" s="300"/>
      <c r="O173" s="300"/>
      <c r="P173" s="300"/>
      <c r="Q173" s="300"/>
      <c r="R173" s="300"/>
      <c r="S173" s="300"/>
      <c r="T173" s="300"/>
      <c r="U173" s="300"/>
      <c r="V173" s="300"/>
      <c r="W173" s="300"/>
      <c r="X173" s="300"/>
      <c r="Y173" s="300"/>
      <c r="Z173" s="300"/>
    </row>
    <row r="174" spans="1:26">
      <c r="A174" s="215" t="s">
        <v>2841</v>
      </c>
      <c r="B174" s="207">
        <v>1568</v>
      </c>
      <c r="C174" s="215" t="s">
        <v>6879</v>
      </c>
      <c r="D174" s="215" t="s">
        <v>6880</v>
      </c>
      <c r="E174" s="215" t="s">
        <v>6881</v>
      </c>
      <c r="F174" s="215" t="s">
        <v>6875</v>
      </c>
      <c r="G174" s="215" t="s">
        <v>6876</v>
      </c>
      <c r="H174" s="215" t="s">
        <v>6521</v>
      </c>
      <c r="I174" s="300"/>
      <c r="J174" s="300"/>
      <c r="K174" s="300"/>
      <c r="L174" s="300"/>
      <c r="M174" s="300"/>
      <c r="N174" s="300"/>
      <c r="O174" s="300"/>
      <c r="P174" s="300"/>
      <c r="Q174" s="300"/>
      <c r="R174" s="300"/>
      <c r="S174" s="300"/>
      <c r="T174" s="300"/>
      <c r="U174" s="300"/>
      <c r="V174" s="300"/>
      <c r="W174" s="300"/>
      <c r="X174" s="300"/>
      <c r="Y174" s="300"/>
      <c r="Z174" s="300"/>
    </row>
    <row r="175" spans="1:26">
      <c r="A175" s="215" t="s">
        <v>6882</v>
      </c>
      <c r="B175" s="207">
        <v>354</v>
      </c>
      <c r="C175" s="215" t="s">
        <v>6883</v>
      </c>
      <c r="D175" s="215" t="s">
        <v>6884</v>
      </c>
      <c r="E175" s="215" t="s">
        <v>6885</v>
      </c>
      <c r="F175" s="215" t="s">
        <v>6886</v>
      </c>
      <c r="G175" s="215" t="s">
        <v>6887</v>
      </c>
      <c r="H175" s="215" t="s">
        <v>6497</v>
      </c>
      <c r="I175" s="300"/>
      <c r="J175" s="300"/>
      <c r="K175" s="300"/>
      <c r="L175" s="300"/>
      <c r="M175" s="300"/>
      <c r="N175" s="300"/>
      <c r="O175" s="300"/>
      <c r="P175" s="300"/>
      <c r="Q175" s="300"/>
      <c r="R175" s="300"/>
      <c r="S175" s="300"/>
      <c r="T175" s="300"/>
      <c r="U175" s="300"/>
      <c r="V175" s="300"/>
      <c r="W175" s="300"/>
      <c r="X175" s="300"/>
      <c r="Y175" s="300"/>
      <c r="Z175" s="300"/>
    </row>
    <row r="176" spans="1:26">
      <c r="A176" s="215" t="s">
        <v>6882</v>
      </c>
      <c r="B176" s="207">
        <v>671</v>
      </c>
      <c r="C176" s="215" t="s">
        <v>6888</v>
      </c>
      <c r="D176" s="215" t="s">
        <v>6889</v>
      </c>
      <c r="E176" s="215" t="s">
        <v>6890</v>
      </c>
      <c r="F176" s="215" t="s">
        <v>6891</v>
      </c>
      <c r="G176" s="215" t="s">
        <v>6892</v>
      </c>
      <c r="H176" s="215" t="s">
        <v>6504</v>
      </c>
      <c r="I176" s="300"/>
      <c r="J176" s="300"/>
      <c r="K176" s="300"/>
      <c r="L176" s="300"/>
      <c r="M176" s="300"/>
      <c r="N176" s="300"/>
      <c r="O176" s="300"/>
      <c r="P176" s="300"/>
      <c r="Q176" s="300"/>
      <c r="R176" s="300"/>
      <c r="S176" s="300"/>
      <c r="T176" s="300"/>
      <c r="U176" s="300"/>
      <c r="V176" s="300"/>
      <c r="W176" s="300"/>
      <c r="X176" s="300"/>
      <c r="Y176" s="300"/>
      <c r="Z176" s="300"/>
    </row>
    <row r="177" spans="1:26">
      <c r="A177" s="215" t="s">
        <v>6893</v>
      </c>
      <c r="B177" s="207">
        <v>1448</v>
      </c>
      <c r="C177" s="215" t="s">
        <v>6894</v>
      </c>
      <c r="D177" s="215" t="s">
        <v>6895</v>
      </c>
      <c r="E177" s="215" t="s">
        <v>6896</v>
      </c>
      <c r="F177" s="215" t="s">
        <v>6891</v>
      </c>
      <c r="G177" s="215" t="s">
        <v>6892</v>
      </c>
      <c r="H177" s="215" t="s">
        <v>6504</v>
      </c>
      <c r="I177" s="300"/>
      <c r="J177" s="300"/>
      <c r="K177" s="300"/>
      <c r="L177" s="300"/>
      <c r="M177" s="300"/>
      <c r="N177" s="300"/>
      <c r="O177" s="300"/>
      <c r="P177" s="300"/>
      <c r="Q177" s="300"/>
      <c r="R177" s="300"/>
      <c r="S177" s="300"/>
      <c r="T177" s="300"/>
      <c r="U177" s="300"/>
      <c r="V177" s="300"/>
      <c r="W177" s="300"/>
      <c r="X177" s="300"/>
      <c r="Y177" s="300"/>
      <c r="Z177" s="300"/>
    </row>
    <row r="178" spans="1:26">
      <c r="A178" s="215" t="s">
        <v>2903</v>
      </c>
      <c r="B178" s="207">
        <v>294</v>
      </c>
      <c r="C178" s="215" t="s">
        <v>6897</v>
      </c>
      <c r="D178" s="215" t="s">
        <v>6898</v>
      </c>
      <c r="E178" s="215" t="s">
        <v>6899</v>
      </c>
      <c r="F178" s="215" t="s">
        <v>6900</v>
      </c>
      <c r="G178" s="215" t="s">
        <v>6901</v>
      </c>
      <c r="H178" s="215" t="s">
        <v>6521</v>
      </c>
      <c r="I178" s="300"/>
      <c r="J178" s="300"/>
      <c r="K178" s="300"/>
      <c r="L178" s="300"/>
      <c r="M178" s="300"/>
      <c r="N178" s="300"/>
      <c r="O178" s="300"/>
      <c r="P178" s="300"/>
      <c r="Q178" s="300"/>
      <c r="R178" s="300"/>
      <c r="S178" s="300"/>
      <c r="T178" s="300"/>
      <c r="U178" s="300"/>
      <c r="V178" s="300"/>
      <c r="W178" s="300"/>
      <c r="X178" s="300"/>
      <c r="Y178" s="300"/>
      <c r="Z178" s="300"/>
    </row>
    <row r="179" spans="1:26">
      <c r="A179" s="215" t="s">
        <v>3654</v>
      </c>
      <c r="B179" s="207">
        <v>1750</v>
      </c>
      <c r="C179" s="215" t="s">
        <v>6902</v>
      </c>
      <c r="D179" s="215" t="s">
        <v>6903</v>
      </c>
      <c r="E179" s="215" t="s">
        <v>6903</v>
      </c>
      <c r="F179" s="215" t="s">
        <v>6900</v>
      </c>
      <c r="G179" s="215" t="s">
        <v>6901</v>
      </c>
      <c r="H179" s="215" t="s">
        <v>6504</v>
      </c>
      <c r="I179" s="300"/>
      <c r="J179" s="300"/>
      <c r="K179" s="300"/>
      <c r="L179" s="300"/>
      <c r="M179" s="300"/>
      <c r="N179" s="300"/>
      <c r="O179" s="300"/>
      <c r="P179" s="300"/>
      <c r="Q179" s="300"/>
      <c r="R179" s="300"/>
      <c r="S179" s="300"/>
      <c r="T179" s="300"/>
      <c r="U179" s="300"/>
      <c r="V179" s="300"/>
      <c r="W179" s="300"/>
      <c r="X179" s="300"/>
      <c r="Y179" s="300"/>
      <c r="Z179" s="300"/>
    </row>
    <row r="180" spans="1:26">
      <c r="A180" s="215" t="s">
        <v>3363</v>
      </c>
      <c r="B180" s="207">
        <v>1751</v>
      </c>
      <c r="C180" s="215" t="s">
        <v>6904</v>
      </c>
      <c r="D180" s="215" t="s">
        <v>6905</v>
      </c>
      <c r="E180" s="215" t="s">
        <v>6906</v>
      </c>
      <c r="F180" s="215" t="s">
        <v>6900</v>
      </c>
      <c r="G180" s="215" t="s">
        <v>6901</v>
      </c>
      <c r="H180" s="215" t="s">
        <v>6521</v>
      </c>
      <c r="I180" s="300"/>
      <c r="J180" s="300"/>
      <c r="K180" s="300"/>
      <c r="L180" s="300"/>
      <c r="M180" s="300"/>
      <c r="N180" s="300"/>
      <c r="O180" s="300"/>
      <c r="P180" s="300"/>
      <c r="Q180" s="300"/>
      <c r="R180" s="300"/>
      <c r="S180" s="300"/>
      <c r="T180" s="300"/>
      <c r="U180" s="300"/>
      <c r="V180" s="300"/>
      <c r="W180" s="300"/>
      <c r="X180" s="300"/>
      <c r="Y180" s="300"/>
      <c r="Z180" s="300"/>
    </row>
    <row r="181" spans="1:26">
      <c r="A181" s="215" t="s">
        <v>4542</v>
      </c>
      <c r="B181" s="207">
        <v>1752</v>
      </c>
      <c r="C181" s="215" t="s">
        <v>6452</v>
      </c>
      <c r="D181" s="215" t="s">
        <v>6907</v>
      </c>
      <c r="E181" s="215" t="s">
        <v>6908</v>
      </c>
      <c r="F181" s="215" t="s">
        <v>6900</v>
      </c>
      <c r="G181" s="215" t="s">
        <v>6901</v>
      </c>
      <c r="H181" s="215" t="s">
        <v>6500</v>
      </c>
      <c r="I181" s="300"/>
      <c r="J181" s="300"/>
      <c r="K181" s="300"/>
      <c r="L181" s="300"/>
      <c r="M181" s="300"/>
      <c r="N181" s="300"/>
      <c r="O181" s="300"/>
      <c r="P181" s="300"/>
      <c r="Q181" s="300"/>
      <c r="R181" s="300"/>
      <c r="S181" s="300"/>
      <c r="T181" s="300"/>
      <c r="U181" s="300"/>
      <c r="V181" s="300"/>
      <c r="W181" s="300"/>
      <c r="X181" s="300"/>
      <c r="Y181" s="300"/>
      <c r="Z181" s="300"/>
    </row>
    <row r="182" spans="1:26">
      <c r="A182" s="215"/>
      <c r="B182" s="207">
        <v>569</v>
      </c>
      <c r="C182" s="215" t="s">
        <v>6909</v>
      </c>
      <c r="D182" s="215" t="s">
        <v>6910</v>
      </c>
      <c r="E182" s="215" t="s">
        <v>6910</v>
      </c>
      <c r="F182" s="215" t="s">
        <v>6911</v>
      </c>
      <c r="G182" s="215" t="s">
        <v>6912</v>
      </c>
      <c r="H182" s="215" t="s">
        <v>6548</v>
      </c>
      <c r="I182" s="300"/>
      <c r="J182" s="300"/>
      <c r="K182" s="300"/>
      <c r="L182" s="300"/>
      <c r="M182" s="300"/>
      <c r="N182" s="300"/>
      <c r="O182" s="300"/>
      <c r="P182" s="300"/>
      <c r="Q182" s="300"/>
      <c r="R182" s="300"/>
      <c r="S182" s="300"/>
      <c r="T182" s="300"/>
      <c r="U182" s="300"/>
      <c r="V182" s="300"/>
      <c r="W182" s="300"/>
      <c r="X182" s="300"/>
      <c r="Y182" s="300"/>
      <c r="Z182" s="300"/>
    </row>
    <row r="183" spans="1:26">
      <c r="A183" s="215" t="s">
        <v>2913</v>
      </c>
      <c r="B183" s="207">
        <v>577</v>
      </c>
      <c r="C183" s="215" t="s">
        <v>5075</v>
      </c>
      <c r="D183" s="215" t="s">
        <v>6913</v>
      </c>
      <c r="E183" s="215" t="s">
        <v>6914</v>
      </c>
      <c r="F183" s="215" t="s">
        <v>6911</v>
      </c>
      <c r="G183" s="215" t="s">
        <v>6912</v>
      </c>
      <c r="H183" s="215" t="s">
        <v>6497</v>
      </c>
      <c r="I183" s="300"/>
      <c r="J183" s="300"/>
      <c r="K183" s="300"/>
      <c r="L183" s="300"/>
      <c r="M183" s="300"/>
      <c r="N183" s="300"/>
      <c r="O183" s="300"/>
      <c r="P183" s="300"/>
      <c r="Q183" s="300"/>
      <c r="R183" s="300"/>
      <c r="S183" s="300"/>
      <c r="T183" s="300"/>
      <c r="U183" s="300"/>
      <c r="V183" s="300"/>
      <c r="W183" s="300"/>
      <c r="X183" s="300"/>
      <c r="Y183" s="300"/>
      <c r="Z183" s="300"/>
    </row>
    <row r="184" spans="1:26">
      <c r="A184" s="215" t="s">
        <v>2916</v>
      </c>
      <c r="B184" s="207">
        <v>580</v>
      </c>
      <c r="C184" s="215" t="s">
        <v>5076</v>
      </c>
      <c r="D184" s="215" t="s">
        <v>6915</v>
      </c>
      <c r="E184" s="215" t="s">
        <v>6915</v>
      </c>
      <c r="F184" s="215" t="s">
        <v>6911</v>
      </c>
      <c r="G184" s="215" t="s">
        <v>6912</v>
      </c>
      <c r="H184" s="215" t="s">
        <v>6548</v>
      </c>
      <c r="I184" s="300"/>
      <c r="J184" s="300"/>
      <c r="K184" s="300"/>
      <c r="L184" s="300"/>
      <c r="M184" s="300"/>
      <c r="N184" s="300"/>
      <c r="O184" s="300"/>
      <c r="P184" s="300"/>
      <c r="Q184" s="300"/>
      <c r="R184" s="300"/>
      <c r="S184" s="300"/>
      <c r="T184" s="300"/>
      <c r="U184" s="300"/>
      <c r="V184" s="300"/>
      <c r="W184" s="300"/>
      <c r="X184" s="300"/>
      <c r="Y184" s="300"/>
      <c r="Z184" s="300"/>
    </row>
    <row r="185" spans="1:26">
      <c r="A185" s="215" t="s">
        <v>3024</v>
      </c>
      <c r="B185" s="207">
        <v>582</v>
      </c>
      <c r="C185" s="215" t="s">
        <v>5155</v>
      </c>
      <c r="D185" s="215" t="s">
        <v>6916</v>
      </c>
      <c r="E185" s="215" t="s">
        <v>6917</v>
      </c>
      <c r="F185" s="215" t="s">
        <v>6911</v>
      </c>
      <c r="G185" s="215" t="s">
        <v>6912</v>
      </c>
      <c r="H185" s="215" t="s">
        <v>6497</v>
      </c>
      <c r="I185" s="300"/>
      <c r="J185" s="300"/>
      <c r="K185" s="300"/>
      <c r="L185" s="300"/>
      <c r="M185" s="300"/>
      <c r="N185" s="300"/>
      <c r="O185" s="300"/>
      <c r="P185" s="300"/>
      <c r="Q185" s="300"/>
      <c r="R185" s="300"/>
      <c r="S185" s="300"/>
      <c r="T185" s="300"/>
      <c r="U185" s="300"/>
      <c r="V185" s="300"/>
      <c r="W185" s="300"/>
      <c r="X185" s="300"/>
      <c r="Y185" s="300"/>
      <c r="Z185" s="300"/>
    </row>
    <row r="186" spans="1:26">
      <c r="A186" s="215" t="s">
        <v>2907</v>
      </c>
      <c r="B186" s="207">
        <v>584</v>
      </c>
      <c r="C186" s="215" t="s">
        <v>5070</v>
      </c>
      <c r="D186" s="215" t="s">
        <v>6918</v>
      </c>
      <c r="E186" s="215" t="s">
        <v>6918</v>
      </c>
      <c r="F186" s="215" t="s">
        <v>6911</v>
      </c>
      <c r="G186" s="215" t="s">
        <v>6912</v>
      </c>
      <c r="H186" s="215" t="s">
        <v>6500</v>
      </c>
      <c r="I186" s="300"/>
      <c r="J186" s="300"/>
      <c r="K186" s="300"/>
      <c r="L186" s="300"/>
      <c r="M186" s="300"/>
      <c r="N186" s="300"/>
      <c r="O186" s="300"/>
      <c r="P186" s="300"/>
      <c r="Q186" s="300"/>
      <c r="R186" s="300"/>
      <c r="S186" s="300"/>
      <c r="T186" s="300"/>
      <c r="U186" s="300"/>
      <c r="V186" s="300"/>
      <c r="W186" s="300"/>
      <c r="X186" s="300"/>
      <c r="Y186" s="300"/>
      <c r="Z186" s="300"/>
    </row>
    <row r="187" spans="1:26">
      <c r="A187" s="215" t="s">
        <v>2914</v>
      </c>
      <c r="B187" s="207">
        <v>585</v>
      </c>
      <c r="C187" s="215" t="s">
        <v>6919</v>
      </c>
      <c r="D187" s="215" t="s">
        <v>6920</v>
      </c>
      <c r="E187" s="215" t="s">
        <v>6919</v>
      </c>
      <c r="F187" s="215" t="s">
        <v>6911</v>
      </c>
      <c r="G187" s="215" t="s">
        <v>6912</v>
      </c>
      <c r="H187" s="215" t="s">
        <v>6500</v>
      </c>
      <c r="I187" s="300"/>
      <c r="J187" s="300"/>
      <c r="K187" s="300"/>
      <c r="L187" s="300"/>
      <c r="M187" s="300"/>
      <c r="N187" s="300"/>
      <c r="O187" s="300"/>
      <c r="P187" s="300"/>
      <c r="Q187" s="300"/>
      <c r="R187" s="300"/>
      <c r="S187" s="300"/>
      <c r="T187" s="300"/>
      <c r="U187" s="300"/>
      <c r="V187" s="300"/>
      <c r="W187" s="300"/>
      <c r="X187" s="300"/>
      <c r="Y187" s="300"/>
      <c r="Z187" s="300"/>
    </row>
    <row r="188" spans="1:26">
      <c r="A188" s="215" t="s">
        <v>3285</v>
      </c>
      <c r="B188" s="207">
        <v>606</v>
      </c>
      <c r="C188" s="215" t="s">
        <v>5415</v>
      </c>
      <c r="D188" s="215" t="s">
        <v>6921</v>
      </c>
      <c r="E188" s="215" t="s">
        <v>6921</v>
      </c>
      <c r="F188" s="215" t="s">
        <v>6911</v>
      </c>
      <c r="G188" s="215" t="s">
        <v>6912</v>
      </c>
      <c r="H188" s="215" t="s">
        <v>6497</v>
      </c>
      <c r="I188" s="300"/>
      <c r="J188" s="300"/>
      <c r="K188" s="300"/>
      <c r="L188" s="300"/>
      <c r="M188" s="300"/>
      <c r="N188" s="300"/>
      <c r="O188" s="300"/>
      <c r="P188" s="300"/>
      <c r="Q188" s="300"/>
      <c r="R188" s="300"/>
      <c r="S188" s="300"/>
      <c r="T188" s="300"/>
      <c r="U188" s="300"/>
      <c r="V188" s="300"/>
      <c r="W188" s="300"/>
      <c r="X188" s="300"/>
      <c r="Y188" s="300"/>
      <c r="Z188" s="300"/>
    </row>
    <row r="189" spans="1:26">
      <c r="A189" s="215" t="s">
        <v>3522</v>
      </c>
      <c r="B189" s="207">
        <v>621</v>
      </c>
      <c r="C189" s="215" t="s">
        <v>5634</v>
      </c>
      <c r="D189" s="215" t="s">
        <v>6922</v>
      </c>
      <c r="E189" s="215" t="s">
        <v>6922</v>
      </c>
      <c r="F189" s="215" t="s">
        <v>6911</v>
      </c>
      <c r="G189" s="215" t="s">
        <v>6912</v>
      </c>
      <c r="H189" s="215" t="s">
        <v>6497</v>
      </c>
      <c r="I189" s="300"/>
      <c r="J189" s="300"/>
      <c r="K189" s="300"/>
      <c r="L189" s="300"/>
      <c r="M189" s="300"/>
      <c r="N189" s="300"/>
      <c r="O189" s="300"/>
      <c r="P189" s="300"/>
      <c r="Q189" s="300"/>
      <c r="R189" s="300"/>
      <c r="S189" s="300"/>
      <c r="T189" s="300"/>
      <c r="U189" s="300"/>
      <c r="V189" s="300"/>
      <c r="W189" s="300"/>
      <c r="X189" s="300"/>
      <c r="Y189" s="300"/>
      <c r="Z189" s="300"/>
    </row>
    <row r="190" spans="1:26">
      <c r="A190" s="215" t="s">
        <v>2910</v>
      </c>
      <c r="B190" s="207">
        <v>633</v>
      </c>
      <c r="C190" s="215" t="s">
        <v>5072</v>
      </c>
      <c r="D190" s="215" t="s">
        <v>6923</v>
      </c>
      <c r="E190" s="215" t="s">
        <v>6924</v>
      </c>
      <c r="F190" s="215" t="s">
        <v>6911</v>
      </c>
      <c r="G190" s="215" t="s">
        <v>6912</v>
      </c>
      <c r="H190" s="215" t="s">
        <v>6504</v>
      </c>
      <c r="I190" s="300"/>
      <c r="J190" s="300"/>
      <c r="K190" s="300"/>
      <c r="L190" s="300"/>
      <c r="M190" s="300"/>
      <c r="N190" s="300"/>
      <c r="O190" s="300"/>
      <c r="P190" s="300"/>
      <c r="Q190" s="300"/>
      <c r="R190" s="300"/>
      <c r="S190" s="300"/>
      <c r="T190" s="300"/>
      <c r="U190" s="300"/>
      <c r="V190" s="300"/>
      <c r="W190" s="300"/>
      <c r="X190" s="300"/>
      <c r="Y190" s="300"/>
      <c r="Z190" s="300"/>
    </row>
    <row r="191" spans="1:26">
      <c r="A191" s="215" t="s">
        <v>2910</v>
      </c>
      <c r="B191" s="207">
        <v>634</v>
      </c>
      <c r="C191" s="215" t="s">
        <v>5071</v>
      </c>
      <c r="D191" s="215" t="s">
        <v>6925</v>
      </c>
      <c r="E191" s="215" t="s">
        <v>6925</v>
      </c>
      <c r="F191" s="215" t="s">
        <v>6911</v>
      </c>
      <c r="G191" s="215" t="s">
        <v>6912</v>
      </c>
      <c r="H191" s="215" t="s">
        <v>6521</v>
      </c>
      <c r="I191" s="300"/>
      <c r="J191" s="300"/>
      <c r="K191" s="300"/>
      <c r="L191" s="300"/>
      <c r="M191" s="300"/>
      <c r="N191" s="300"/>
      <c r="O191" s="300"/>
      <c r="P191" s="300"/>
      <c r="Q191" s="300"/>
      <c r="R191" s="300"/>
      <c r="S191" s="300"/>
      <c r="T191" s="300"/>
      <c r="U191" s="300"/>
      <c r="V191" s="300"/>
      <c r="W191" s="300"/>
      <c r="X191" s="300"/>
      <c r="Y191" s="300"/>
      <c r="Z191" s="300"/>
    </row>
    <row r="192" spans="1:26">
      <c r="A192" s="215" t="s">
        <v>3721</v>
      </c>
      <c r="B192" s="207">
        <v>635</v>
      </c>
      <c r="C192" s="215" t="s">
        <v>5807</v>
      </c>
      <c r="D192" s="215" t="s">
        <v>6926</v>
      </c>
      <c r="E192" s="215" t="s">
        <v>6926</v>
      </c>
      <c r="F192" s="215" t="s">
        <v>6911</v>
      </c>
      <c r="G192" s="215" t="s">
        <v>6912</v>
      </c>
      <c r="H192" s="215" t="s">
        <v>6504</v>
      </c>
      <c r="I192" s="300"/>
      <c r="J192" s="300"/>
      <c r="K192" s="300"/>
      <c r="L192" s="300"/>
      <c r="M192" s="300"/>
      <c r="N192" s="300"/>
      <c r="O192" s="300"/>
      <c r="P192" s="300"/>
      <c r="Q192" s="300"/>
      <c r="R192" s="300"/>
      <c r="S192" s="300"/>
      <c r="T192" s="300"/>
      <c r="U192" s="300"/>
      <c r="V192" s="300"/>
      <c r="W192" s="300"/>
      <c r="X192" s="300"/>
      <c r="Y192" s="300"/>
      <c r="Z192" s="300"/>
    </row>
    <row r="193" spans="1:26">
      <c r="A193" s="215" t="s">
        <v>4374</v>
      </c>
      <c r="B193" s="207">
        <v>661</v>
      </c>
      <c r="C193" s="215" t="s">
        <v>5917</v>
      </c>
      <c r="D193" s="215" t="s">
        <v>4377</v>
      </c>
      <c r="E193" s="215" t="s">
        <v>4377</v>
      </c>
      <c r="F193" s="215" t="s">
        <v>6911</v>
      </c>
      <c r="G193" s="215" t="s">
        <v>6912</v>
      </c>
      <c r="H193" s="215" t="s">
        <v>6548</v>
      </c>
      <c r="I193" s="300"/>
      <c r="J193" s="300"/>
      <c r="K193" s="300"/>
      <c r="L193" s="300"/>
      <c r="M193" s="300"/>
      <c r="N193" s="300"/>
      <c r="O193" s="300"/>
      <c r="P193" s="300"/>
      <c r="Q193" s="300"/>
      <c r="R193" s="300"/>
      <c r="S193" s="300"/>
      <c r="T193" s="300"/>
      <c r="U193" s="300"/>
      <c r="V193" s="300"/>
      <c r="W193" s="300"/>
      <c r="X193" s="300"/>
      <c r="Y193" s="300"/>
      <c r="Z193" s="300"/>
    </row>
    <row r="194" spans="1:26">
      <c r="A194" s="215" t="s">
        <v>4550</v>
      </c>
      <c r="B194" s="207">
        <v>666</v>
      </c>
      <c r="C194" s="215" t="s">
        <v>6459</v>
      </c>
      <c r="D194" s="215" t="s">
        <v>6927</v>
      </c>
      <c r="E194" s="215" t="s">
        <v>6928</v>
      </c>
      <c r="F194" s="215" t="s">
        <v>6911</v>
      </c>
      <c r="G194" s="215" t="s">
        <v>6912</v>
      </c>
      <c r="H194" s="215" t="s">
        <v>6504</v>
      </c>
      <c r="I194" s="300"/>
      <c r="J194" s="300"/>
      <c r="K194" s="300"/>
      <c r="L194" s="300"/>
      <c r="M194" s="300"/>
      <c r="N194" s="300"/>
      <c r="O194" s="300"/>
      <c r="P194" s="300"/>
      <c r="Q194" s="300"/>
      <c r="R194" s="300"/>
      <c r="S194" s="300"/>
      <c r="T194" s="300"/>
      <c r="U194" s="300"/>
      <c r="V194" s="300"/>
      <c r="W194" s="300"/>
      <c r="X194" s="300"/>
      <c r="Y194" s="300"/>
      <c r="Z194" s="300"/>
    </row>
    <row r="195" spans="1:26">
      <c r="A195" s="215" t="s">
        <v>4554</v>
      </c>
      <c r="B195" s="207">
        <v>667</v>
      </c>
      <c r="C195" s="215" t="s">
        <v>6929</v>
      </c>
      <c r="D195" s="215" t="s">
        <v>6930</v>
      </c>
      <c r="E195" s="215" t="s">
        <v>6930</v>
      </c>
      <c r="F195" s="215" t="s">
        <v>6911</v>
      </c>
      <c r="G195" s="215" t="s">
        <v>6912</v>
      </c>
      <c r="H195" s="215" t="s">
        <v>6500</v>
      </c>
      <c r="I195" s="300"/>
      <c r="J195" s="300"/>
      <c r="K195" s="300"/>
      <c r="L195" s="300"/>
      <c r="M195" s="300"/>
      <c r="N195" s="300"/>
      <c r="O195" s="300"/>
      <c r="P195" s="300"/>
      <c r="Q195" s="300"/>
      <c r="R195" s="300"/>
      <c r="S195" s="300"/>
      <c r="T195" s="300"/>
      <c r="U195" s="300"/>
      <c r="V195" s="300"/>
      <c r="W195" s="300"/>
      <c r="X195" s="300"/>
      <c r="Y195" s="300"/>
      <c r="Z195" s="300"/>
    </row>
    <row r="196" spans="1:26">
      <c r="A196" s="215" t="s">
        <v>2912</v>
      </c>
      <c r="B196" s="207">
        <v>1659</v>
      </c>
      <c r="C196" s="215" t="s">
        <v>5074</v>
      </c>
      <c r="D196" s="215" t="s">
        <v>6931</v>
      </c>
      <c r="E196" s="215" t="s">
        <v>6931</v>
      </c>
      <c r="F196" s="215" t="s">
        <v>6911</v>
      </c>
      <c r="G196" s="215" t="s">
        <v>6912</v>
      </c>
      <c r="H196" s="215" t="s">
        <v>6500</v>
      </c>
      <c r="I196" s="300"/>
      <c r="J196" s="300"/>
      <c r="K196" s="300"/>
      <c r="L196" s="300"/>
      <c r="M196" s="300"/>
      <c r="N196" s="300"/>
      <c r="O196" s="300"/>
      <c r="P196" s="300"/>
      <c r="Q196" s="300"/>
      <c r="R196" s="300"/>
      <c r="S196" s="300"/>
      <c r="T196" s="300"/>
      <c r="U196" s="300"/>
      <c r="V196" s="300"/>
      <c r="W196" s="300"/>
      <c r="X196" s="300"/>
      <c r="Y196" s="300"/>
      <c r="Z196" s="300"/>
    </row>
    <row r="197" spans="1:26">
      <c r="A197" s="215" t="s">
        <v>4008</v>
      </c>
      <c r="B197" s="207">
        <v>1911</v>
      </c>
      <c r="C197" s="215" t="s">
        <v>6035</v>
      </c>
      <c r="D197" s="215" t="s">
        <v>6932</v>
      </c>
      <c r="E197" s="215" t="s">
        <v>6932</v>
      </c>
      <c r="F197" s="215" t="s">
        <v>6911</v>
      </c>
      <c r="G197" s="215" t="s">
        <v>6912</v>
      </c>
      <c r="H197" s="215" t="s">
        <v>6497</v>
      </c>
      <c r="I197" s="300"/>
      <c r="J197" s="300"/>
      <c r="K197" s="300"/>
      <c r="L197" s="300"/>
      <c r="M197" s="300"/>
      <c r="N197" s="300"/>
      <c r="O197" s="300"/>
      <c r="P197" s="300"/>
      <c r="Q197" s="300"/>
      <c r="R197" s="300"/>
      <c r="S197" s="300"/>
      <c r="T197" s="300"/>
      <c r="U197" s="300"/>
      <c r="V197" s="300"/>
      <c r="W197" s="300"/>
      <c r="X197" s="300"/>
      <c r="Y197" s="300"/>
      <c r="Z197" s="300"/>
    </row>
    <row r="198" spans="1:26">
      <c r="A198" s="215" t="s">
        <v>4142</v>
      </c>
      <c r="B198" s="207">
        <v>1914</v>
      </c>
      <c r="C198" s="215" t="s">
        <v>6133</v>
      </c>
      <c r="D198" s="215" t="s">
        <v>6933</v>
      </c>
      <c r="E198" s="215" t="s">
        <v>6933</v>
      </c>
      <c r="F198" s="215" t="s">
        <v>6911</v>
      </c>
      <c r="G198" s="215" t="s">
        <v>6912</v>
      </c>
      <c r="H198" s="215" t="s">
        <v>6504</v>
      </c>
      <c r="I198" s="300"/>
      <c r="J198" s="300"/>
      <c r="K198" s="300"/>
      <c r="L198" s="300"/>
      <c r="M198" s="300"/>
      <c r="N198" s="300"/>
      <c r="O198" s="300"/>
      <c r="P198" s="300"/>
      <c r="Q198" s="300"/>
      <c r="R198" s="300"/>
      <c r="S198" s="300"/>
      <c r="T198" s="300"/>
      <c r="U198" s="300"/>
      <c r="V198" s="300"/>
      <c r="W198" s="300"/>
      <c r="X198" s="300"/>
      <c r="Y198" s="300"/>
      <c r="Z198" s="300"/>
    </row>
    <row r="199" spans="1:26">
      <c r="A199" s="215" t="s">
        <v>2850</v>
      </c>
      <c r="B199" s="207">
        <v>1919</v>
      </c>
      <c r="C199" s="215" t="s">
        <v>5014</v>
      </c>
      <c r="D199" s="215" t="s">
        <v>6934</v>
      </c>
      <c r="E199" s="215" t="s">
        <v>6934</v>
      </c>
      <c r="F199" s="215" t="s">
        <v>6911</v>
      </c>
      <c r="G199" s="215" t="s">
        <v>6912</v>
      </c>
      <c r="H199" s="215" t="s">
        <v>6497</v>
      </c>
      <c r="I199" s="300"/>
      <c r="J199" s="300"/>
      <c r="K199" s="300"/>
      <c r="L199" s="300"/>
      <c r="M199" s="300"/>
      <c r="N199" s="300"/>
      <c r="O199" s="300"/>
      <c r="P199" s="300"/>
      <c r="Q199" s="300"/>
      <c r="R199" s="300"/>
      <c r="S199" s="300"/>
      <c r="T199" s="300"/>
      <c r="U199" s="300"/>
      <c r="V199" s="300"/>
      <c r="W199" s="300"/>
      <c r="X199" s="300"/>
      <c r="Y199" s="300"/>
      <c r="Z199" s="300"/>
    </row>
    <row r="200" spans="1:26">
      <c r="A200" s="215" t="s">
        <v>3207</v>
      </c>
      <c r="B200" s="207">
        <v>1922</v>
      </c>
      <c r="C200" s="215" t="s">
        <v>5336</v>
      </c>
      <c r="D200" s="215" t="s">
        <v>6935</v>
      </c>
      <c r="E200" s="215" t="s">
        <v>6936</v>
      </c>
      <c r="F200" s="215" t="s">
        <v>6911</v>
      </c>
      <c r="G200" s="215" t="s">
        <v>6912</v>
      </c>
      <c r="H200" s="215" t="s">
        <v>6500</v>
      </c>
      <c r="I200" s="300"/>
      <c r="J200" s="300"/>
      <c r="K200" s="300"/>
      <c r="L200" s="300"/>
      <c r="M200" s="300"/>
      <c r="N200" s="300"/>
      <c r="O200" s="300"/>
      <c r="P200" s="300"/>
      <c r="Q200" s="300"/>
      <c r="R200" s="300"/>
      <c r="S200" s="300"/>
      <c r="T200" s="300"/>
      <c r="U200" s="300"/>
      <c r="V200" s="300"/>
      <c r="W200" s="300"/>
      <c r="X200" s="300"/>
      <c r="Y200" s="300"/>
      <c r="Z200" s="300"/>
    </row>
    <row r="201" spans="1:26">
      <c r="A201" s="215" t="s">
        <v>3283</v>
      </c>
      <c r="B201" s="207">
        <v>1924</v>
      </c>
      <c r="C201" s="215" t="s">
        <v>5413</v>
      </c>
      <c r="D201" s="215" t="s">
        <v>6937</v>
      </c>
      <c r="E201" s="215" t="s">
        <v>6937</v>
      </c>
      <c r="F201" s="215" t="s">
        <v>6911</v>
      </c>
      <c r="G201" s="215" t="s">
        <v>6912</v>
      </c>
      <c r="H201" s="215" t="s">
        <v>6497</v>
      </c>
      <c r="I201" s="300"/>
      <c r="J201" s="300"/>
      <c r="K201" s="300"/>
      <c r="L201" s="300"/>
      <c r="M201" s="300"/>
      <c r="N201" s="300"/>
      <c r="O201" s="300"/>
      <c r="P201" s="300"/>
      <c r="Q201" s="300"/>
      <c r="R201" s="300"/>
      <c r="S201" s="300"/>
      <c r="T201" s="300"/>
      <c r="U201" s="300"/>
      <c r="V201" s="300"/>
      <c r="W201" s="300"/>
      <c r="X201" s="300"/>
      <c r="Y201" s="300"/>
      <c r="Z201" s="300"/>
    </row>
    <row r="202" spans="1:26">
      <c r="A202" s="215" t="s">
        <v>3318</v>
      </c>
      <c r="B202" s="207">
        <v>1925</v>
      </c>
      <c r="C202" s="215" t="s">
        <v>5449</v>
      </c>
      <c r="D202" s="215" t="s">
        <v>6938</v>
      </c>
      <c r="E202" s="215" t="s">
        <v>6938</v>
      </c>
      <c r="F202" s="215" t="s">
        <v>6911</v>
      </c>
      <c r="G202" s="215" t="s">
        <v>6912</v>
      </c>
      <c r="H202" s="215" t="s">
        <v>6497</v>
      </c>
      <c r="I202" s="300"/>
      <c r="J202" s="300"/>
      <c r="K202" s="300"/>
      <c r="L202" s="300"/>
      <c r="M202" s="300"/>
      <c r="N202" s="300"/>
      <c r="O202" s="300"/>
      <c r="P202" s="300"/>
      <c r="Q202" s="300"/>
      <c r="R202" s="300"/>
      <c r="S202" s="300"/>
      <c r="T202" s="300"/>
      <c r="U202" s="300"/>
      <c r="V202" s="300"/>
      <c r="W202" s="300"/>
      <c r="X202" s="300"/>
      <c r="Y202" s="300"/>
      <c r="Z202" s="300"/>
    </row>
    <row r="203" spans="1:26">
      <c r="A203" s="215" t="s">
        <v>2750</v>
      </c>
      <c r="B203" s="207">
        <v>1926</v>
      </c>
      <c r="C203" s="215" t="s">
        <v>4903</v>
      </c>
      <c r="D203" s="215" t="s">
        <v>6939</v>
      </c>
      <c r="E203" s="215" t="s">
        <v>6939</v>
      </c>
      <c r="F203" s="215" t="s">
        <v>6911</v>
      </c>
      <c r="G203" s="215" t="s">
        <v>6912</v>
      </c>
      <c r="H203" s="215" t="s">
        <v>6500</v>
      </c>
      <c r="I203" s="300"/>
      <c r="J203" s="300"/>
      <c r="K203" s="300"/>
      <c r="L203" s="300"/>
      <c r="M203" s="300"/>
      <c r="N203" s="300"/>
      <c r="O203" s="300"/>
      <c r="P203" s="300"/>
      <c r="Q203" s="300"/>
      <c r="R203" s="300"/>
      <c r="S203" s="300"/>
      <c r="T203" s="300"/>
      <c r="U203" s="300"/>
      <c r="V203" s="300"/>
      <c r="W203" s="300"/>
      <c r="X203" s="300"/>
      <c r="Y203" s="300"/>
      <c r="Z203" s="300"/>
    </row>
    <row r="204" spans="1:26">
      <c r="A204" s="215" t="s">
        <v>2707</v>
      </c>
      <c r="B204" s="207">
        <v>1928</v>
      </c>
      <c r="C204" s="215" t="s">
        <v>4871</v>
      </c>
      <c r="D204" s="215" t="s">
        <v>6940</v>
      </c>
      <c r="E204" s="215" t="s">
        <v>6940</v>
      </c>
      <c r="F204" s="215" t="s">
        <v>6911</v>
      </c>
      <c r="G204" s="215" t="s">
        <v>6912</v>
      </c>
      <c r="H204" s="215" t="s">
        <v>6504</v>
      </c>
      <c r="I204" s="300"/>
      <c r="J204" s="300"/>
      <c r="K204" s="300"/>
      <c r="L204" s="300"/>
      <c r="M204" s="300"/>
      <c r="N204" s="300"/>
      <c r="O204" s="300"/>
      <c r="P204" s="300"/>
      <c r="Q204" s="300"/>
      <c r="R204" s="300"/>
      <c r="S204" s="300"/>
      <c r="T204" s="300"/>
      <c r="U204" s="300"/>
      <c r="V204" s="300"/>
      <c r="W204" s="300"/>
      <c r="X204" s="300"/>
      <c r="Y204" s="300"/>
      <c r="Z204" s="300"/>
    </row>
    <row r="205" spans="1:26">
      <c r="A205" s="215" t="s">
        <v>3982</v>
      </c>
      <c r="B205" s="207">
        <v>1943</v>
      </c>
      <c r="C205" s="215" t="s">
        <v>6941</v>
      </c>
      <c r="D205" s="215" t="s">
        <v>6942</v>
      </c>
      <c r="E205" s="215" t="s">
        <v>6943</v>
      </c>
      <c r="F205" s="215" t="s">
        <v>6911</v>
      </c>
      <c r="G205" s="215" t="s">
        <v>6912</v>
      </c>
      <c r="H205" s="215" t="s">
        <v>6521</v>
      </c>
      <c r="I205" s="300"/>
      <c r="J205" s="300"/>
      <c r="K205" s="300"/>
      <c r="L205" s="300"/>
      <c r="M205" s="300"/>
      <c r="N205" s="300"/>
      <c r="O205" s="300"/>
      <c r="P205" s="300"/>
      <c r="Q205" s="300"/>
      <c r="R205" s="300"/>
      <c r="S205" s="300"/>
      <c r="T205" s="300"/>
      <c r="U205" s="300"/>
      <c r="V205" s="300"/>
      <c r="W205" s="300"/>
      <c r="X205" s="300"/>
      <c r="Y205" s="300"/>
      <c r="Z205" s="300"/>
    </row>
    <row r="206" spans="1:26">
      <c r="A206" s="215" t="s">
        <v>3985</v>
      </c>
      <c r="B206" s="207">
        <v>1944</v>
      </c>
      <c r="C206" s="215" t="s">
        <v>6944</v>
      </c>
      <c r="D206" s="215" t="s">
        <v>6945</v>
      </c>
      <c r="E206" s="215" t="s">
        <v>6946</v>
      </c>
      <c r="F206" s="215" t="s">
        <v>6911</v>
      </c>
      <c r="G206" s="215" t="s">
        <v>6912</v>
      </c>
      <c r="H206" s="215" t="s">
        <v>6521</v>
      </c>
      <c r="I206" s="300"/>
      <c r="J206" s="300"/>
      <c r="K206" s="300"/>
      <c r="L206" s="300"/>
      <c r="M206" s="300"/>
      <c r="N206" s="300"/>
      <c r="O206" s="300"/>
      <c r="P206" s="300"/>
      <c r="Q206" s="300"/>
      <c r="R206" s="300"/>
      <c r="S206" s="300"/>
      <c r="T206" s="300"/>
      <c r="U206" s="300"/>
      <c r="V206" s="300"/>
      <c r="W206" s="300"/>
      <c r="X206" s="300"/>
      <c r="Y206" s="300"/>
      <c r="Z206" s="300"/>
    </row>
    <row r="207" spans="1:26">
      <c r="A207" s="215" t="s">
        <v>4280</v>
      </c>
      <c r="B207" s="207">
        <v>1951</v>
      </c>
      <c r="C207" s="215" t="s">
        <v>6245</v>
      </c>
      <c r="D207" s="215" t="s">
        <v>6947</v>
      </c>
      <c r="E207" s="215" t="s">
        <v>6947</v>
      </c>
      <c r="F207" s="215" t="s">
        <v>6911</v>
      </c>
      <c r="G207" s="215" t="s">
        <v>6912</v>
      </c>
      <c r="H207" s="215" t="s">
        <v>6500</v>
      </c>
      <c r="I207" s="300"/>
      <c r="J207" s="300"/>
      <c r="K207" s="300"/>
      <c r="L207" s="300"/>
      <c r="M207" s="300"/>
      <c r="N207" s="300"/>
      <c r="O207" s="300"/>
      <c r="P207" s="300"/>
      <c r="Q207" s="300"/>
      <c r="R207" s="300"/>
      <c r="S207" s="300"/>
      <c r="T207" s="300"/>
      <c r="U207" s="300"/>
      <c r="V207" s="300"/>
      <c r="W207" s="300"/>
      <c r="X207" s="300"/>
      <c r="Y207" s="300"/>
      <c r="Z207" s="300"/>
    </row>
    <row r="208" spans="1:26">
      <c r="A208" s="215" t="s">
        <v>2906</v>
      </c>
      <c r="B208" s="207">
        <v>1952</v>
      </c>
      <c r="C208" s="215" t="s">
        <v>5069</v>
      </c>
      <c r="D208" s="215" t="s">
        <v>6948</v>
      </c>
      <c r="E208" s="215" t="s">
        <v>6948</v>
      </c>
      <c r="F208" s="215" t="s">
        <v>6911</v>
      </c>
      <c r="G208" s="215" t="s">
        <v>6912</v>
      </c>
      <c r="H208" s="215" t="s">
        <v>6500</v>
      </c>
      <c r="I208" s="300"/>
      <c r="J208" s="300"/>
      <c r="K208" s="300"/>
      <c r="L208" s="300"/>
      <c r="M208" s="300"/>
      <c r="N208" s="300"/>
      <c r="O208" s="300"/>
      <c r="P208" s="300"/>
      <c r="Q208" s="300"/>
      <c r="R208" s="300"/>
      <c r="S208" s="300"/>
      <c r="T208" s="300"/>
      <c r="U208" s="300"/>
      <c r="V208" s="300"/>
      <c r="W208" s="300"/>
      <c r="X208" s="300"/>
      <c r="Y208" s="300"/>
      <c r="Z208" s="300"/>
    </row>
    <row r="209" spans="1:26">
      <c r="A209" s="215" t="s">
        <v>3896</v>
      </c>
      <c r="B209" s="207">
        <v>1953</v>
      </c>
      <c r="C209" s="215" t="s">
        <v>5956</v>
      </c>
      <c r="D209" s="215" t="s">
        <v>6949</v>
      </c>
      <c r="E209" s="215" t="s">
        <v>6950</v>
      </c>
      <c r="F209" s="215" t="s">
        <v>6911</v>
      </c>
      <c r="G209" s="215" t="s">
        <v>6912</v>
      </c>
      <c r="H209" s="215" t="s">
        <v>6497</v>
      </c>
      <c r="I209" s="300"/>
      <c r="J209" s="300"/>
      <c r="K209" s="300"/>
      <c r="L209" s="300"/>
      <c r="M209" s="300"/>
      <c r="N209" s="300"/>
      <c r="O209" s="300"/>
      <c r="P209" s="300"/>
      <c r="Q209" s="300"/>
      <c r="R209" s="300"/>
      <c r="S209" s="300"/>
      <c r="T209" s="300"/>
      <c r="U209" s="300"/>
      <c r="V209" s="300"/>
      <c r="W209" s="300"/>
      <c r="X209" s="300"/>
      <c r="Y209" s="300"/>
      <c r="Z209" s="300"/>
    </row>
    <row r="210" spans="1:26">
      <c r="A210" s="215" t="s">
        <v>3661</v>
      </c>
      <c r="B210" s="207">
        <v>1954</v>
      </c>
      <c r="C210" s="215" t="s">
        <v>6951</v>
      </c>
      <c r="D210" s="215" t="s">
        <v>6952</v>
      </c>
      <c r="E210" s="215" t="s">
        <v>6953</v>
      </c>
      <c r="F210" s="215" t="s">
        <v>6911</v>
      </c>
      <c r="G210" s="215" t="s">
        <v>6912</v>
      </c>
      <c r="H210" s="215" t="s">
        <v>6504</v>
      </c>
      <c r="I210" s="300"/>
      <c r="J210" s="300"/>
      <c r="K210" s="300"/>
      <c r="L210" s="300"/>
      <c r="M210" s="300"/>
      <c r="N210" s="300"/>
      <c r="O210" s="300"/>
      <c r="P210" s="300"/>
      <c r="Q210" s="300"/>
      <c r="R210" s="300"/>
      <c r="S210" s="300"/>
      <c r="T210" s="300"/>
      <c r="U210" s="300"/>
      <c r="V210" s="300"/>
      <c r="W210" s="300"/>
      <c r="X210" s="300"/>
      <c r="Y210" s="300"/>
      <c r="Z210" s="300"/>
    </row>
    <row r="211" spans="1:26">
      <c r="A211" s="215" t="s">
        <v>6954</v>
      </c>
      <c r="B211" s="207">
        <v>1956</v>
      </c>
      <c r="C211" s="215" t="s">
        <v>5391</v>
      </c>
      <c r="D211" s="215" t="s">
        <v>6955</v>
      </c>
      <c r="E211" s="215" t="s">
        <v>6956</v>
      </c>
      <c r="F211" s="215" t="s">
        <v>6911</v>
      </c>
      <c r="G211" s="215" t="s">
        <v>6912</v>
      </c>
      <c r="H211" s="215" t="s">
        <v>6500</v>
      </c>
      <c r="I211" s="300"/>
      <c r="J211" s="300"/>
      <c r="K211" s="300"/>
      <c r="L211" s="300"/>
      <c r="M211" s="300"/>
      <c r="N211" s="300"/>
      <c r="O211" s="300"/>
      <c r="P211" s="300"/>
      <c r="Q211" s="300"/>
      <c r="R211" s="300"/>
      <c r="S211" s="300"/>
      <c r="T211" s="300"/>
      <c r="U211" s="300"/>
      <c r="V211" s="300"/>
      <c r="W211" s="300"/>
      <c r="X211" s="300"/>
      <c r="Y211" s="300"/>
      <c r="Z211" s="300"/>
    </row>
    <row r="212" spans="1:26">
      <c r="A212" s="215"/>
      <c r="B212" s="207">
        <v>1958</v>
      </c>
      <c r="C212" s="215" t="s">
        <v>5981</v>
      </c>
      <c r="D212" s="215" t="s">
        <v>6957</v>
      </c>
      <c r="E212" s="215" t="s">
        <v>6957</v>
      </c>
      <c r="F212" s="215" t="s">
        <v>6911</v>
      </c>
      <c r="G212" s="215" t="s">
        <v>6912</v>
      </c>
      <c r="H212" s="215" t="s">
        <v>6497</v>
      </c>
      <c r="I212" s="300"/>
      <c r="J212" s="300"/>
      <c r="K212" s="300"/>
      <c r="L212" s="300"/>
      <c r="M212" s="300"/>
      <c r="N212" s="300"/>
      <c r="O212" s="300"/>
      <c r="P212" s="300"/>
      <c r="Q212" s="300"/>
      <c r="R212" s="300"/>
      <c r="S212" s="300"/>
      <c r="T212" s="300"/>
      <c r="U212" s="300"/>
      <c r="V212" s="300"/>
      <c r="W212" s="300"/>
      <c r="X212" s="300"/>
      <c r="Y212" s="300"/>
      <c r="Z212" s="300"/>
    </row>
    <row r="213" spans="1:26">
      <c r="A213" s="215" t="s">
        <v>6958</v>
      </c>
      <c r="B213" s="207">
        <v>755</v>
      </c>
      <c r="C213" s="215" t="s">
        <v>4905</v>
      </c>
      <c r="D213" s="215" t="s">
        <v>6959</v>
      </c>
      <c r="E213" s="215" t="s">
        <v>6959</v>
      </c>
      <c r="F213" s="215" t="s">
        <v>6960</v>
      </c>
      <c r="G213" s="215" t="s">
        <v>6961</v>
      </c>
      <c r="H213" s="215" t="s">
        <v>6521</v>
      </c>
      <c r="I213" s="300"/>
      <c r="J213" s="300"/>
      <c r="K213" s="300"/>
      <c r="L213" s="300"/>
      <c r="M213" s="300"/>
      <c r="N213" s="300"/>
      <c r="O213" s="300"/>
      <c r="P213" s="300"/>
      <c r="Q213" s="300"/>
      <c r="R213" s="300"/>
      <c r="S213" s="300"/>
      <c r="T213" s="300"/>
      <c r="U213" s="300"/>
      <c r="V213" s="300"/>
      <c r="W213" s="300"/>
      <c r="X213" s="300"/>
      <c r="Y213" s="300"/>
      <c r="Z213" s="300"/>
    </row>
    <row r="214" spans="1:26">
      <c r="A214" s="215" t="s">
        <v>3100</v>
      </c>
      <c r="B214" s="207">
        <v>740</v>
      </c>
      <c r="C214" s="215" t="s">
        <v>6962</v>
      </c>
      <c r="D214" s="215" t="s">
        <v>6963</v>
      </c>
      <c r="E214" s="215" t="s">
        <v>6964</v>
      </c>
      <c r="F214" s="215" t="s">
        <v>6965</v>
      </c>
      <c r="G214" s="215" t="s">
        <v>6966</v>
      </c>
      <c r="H214" s="215" t="s">
        <v>6500</v>
      </c>
      <c r="I214" s="300"/>
      <c r="J214" s="300"/>
      <c r="K214" s="300"/>
      <c r="L214" s="300"/>
      <c r="M214" s="300"/>
      <c r="N214" s="300"/>
      <c r="O214" s="300"/>
      <c r="P214" s="300"/>
      <c r="Q214" s="300"/>
      <c r="R214" s="300"/>
      <c r="S214" s="300"/>
      <c r="T214" s="300"/>
      <c r="U214" s="300"/>
      <c r="V214" s="300"/>
      <c r="W214" s="300"/>
      <c r="X214" s="300"/>
      <c r="Y214" s="300"/>
      <c r="Z214" s="300"/>
    </row>
    <row r="215" spans="1:26">
      <c r="A215" s="215" t="s">
        <v>4499</v>
      </c>
      <c r="B215" s="207">
        <v>751</v>
      </c>
      <c r="C215" s="215" t="s">
        <v>6967</v>
      </c>
      <c r="D215" s="215" t="s">
        <v>6968</v>
      </c>
      <c r="E215" s="215" t="s">
        <v>6969</v>
      </c>
      <c r="F215" s="215" t="s">
        <v>6965</v>
      </c>
      <c r="G215" s="215" t="s">
        <v>6966</v>
      </c>
      <c r="H215" s="215" t="s">
        <v>6504</v>
      </c>
      <c r="I215" s="300"/>
      <c r="J215" s="300"/>
      <c r="K215" s="300"/>
      <c r="L215" s="300"/>
      <c r="M215" s="300"/>
      <c r="N215" s="300"/>
      <c r="O215" s="300"/>
      <c r="P215" s="300"/>
      <c r="Q215" s="300"/>
      <c r="R215" s="300"/>
      <c r="S215" s="300"/>
      <c r="T215" s="300"/>
      <c r="U215" s="300"/>
      <c r="V215" s="300"/>
      <c r="W215" s="300"/>
      <c r="X215" s="300"/>
      <c r="Y215" s="300"/>
      <c r="Z215" s="300"/>
    </row>
    <row r="216" spans="1:26">
      <c r="A216" s="215" t="s">
        <v>6970</v>
      </c>
      <c r="B216" s="207">
        <v>287</v>
      </c>
      <c r="C216" s="215" t="s">
        <v>6971</v>
      </c>
      <c r="D216" s="215" t="s">
        <v>6972</v>
      </c>
      <c r="E216" s="215" t="s">
        <v>6973</v>
      </c>
      <c r="F216" s="215" t="s">
        <v>6974</v>
      </c>
      <c r="G216" s="215" t="s">
        <v>6975</v>
      </c>
      <c r="H216" s="215" t="s">
        <v>6497</v>
      </c>
      <c r="I216" s="300"/>
      <c r="J216" s="300"/>
      <c r="K216" s="300"/>
      <c r="L216" s="300"/>
      <c r="M216" s="300"/>
      <c r="N216" s="300"/>
      <c r="O216" s="300"/>
      <c r="P216" s="300"/>
      <c r="Q216" s="300"/>
      <c r="R216" s="300"/>
      <c r="S216" s="300"/>
      <c r="T216" s="300"/>
      <c r="U216" s="300"/>
      <c r="V216" s="300"/>
      <c r="W216" s="300"/>
      <c r="X216" s="300"/>
      <c r="Y216" s="300"/>
      <c r="Z216" s="300"/>
    </row>
    <row r="217" spans="1:26">
      <c r="A217" s="215" t="s">
        <v>6976</v>
      </c>
      <c r="B217" s="207">
        <v>323</v>
      </c>
      <c r="C217" s="215" t="s">
        <v>6977</v>
      </c>
      <c r="D217" s="215" t="s">
        <v>6978</v>
      </c>
      <c r="E217" s="215" t="s">
        <v>6979</v>
      </c>
      <c r="F217" s="215" t="s">
        <v>6974</v>
      </c>
      <c r="G217" s="215" t="s">
        <v>6975</v>
      </c>
      <c r="H217" s="215" t="s">
        <v>6521</v>
      </c>
      <c r="I217" s="300"/>
      <c r="J217" s="300"/>
      <c r="K217" s="300"/>
      <c r="L217" s="300"/>
      <c r="M217" s="300"/>
      <c r="N217" s="300"/>
      <c r="O217" s="300"/>
      <c r="P217" s="300"/>
      <c r="Q217" s="300"/>
      <c r="R217" s="300"/>
      <c r="S217" s="300"/>
      <c r="T217" s="300"/>
      <c r="U217" s="300"/>
      <c r="V217" s="300"/>
      <c r="W217" s="300"/>
      <c r="X217" s="300"/>
      <c r="Y217" s="300"/>
      <c r="Z217" s="300"/>
    </row>
    <row r="218" spans="1:26">
      <c r="A218" s="215"/>
      <c r="B218" s="207">
        <v>567</v>
      </c>
      <c r="C218" s="215" t="s">
        <v>4864</v>
      </c>
      <c r="D218" s="215" t="s">
        <v>6980</v>
      </c>
      <c r="E218" s="215" t="s">
        <v>6980</v>
      </c>
      <c r="F218" s="215" t="s">
        <v>6974</v>
      </c>
      <c r="G218" s="215" t="s">
        <v>6975</v>
      </c>
      <c r="H218" s="215" t="s">
        <v>6497</v>
      </c>
      <c r="I218" s="300"/>
      <c r="J218" s="300"/>
      <c r="K218" s="300"/>
      <c r="L218" s="300"/>
      <c r="M218" s="300"/>
      <c r="N218" s="300"/>
      <c r="O218" s="300"/>
      <c r="P218" s="300"/>
      <c r="Q218" s="300"/>
      <c r="R218" s="300"/>
      <c r="S218" s="300"/>
      <c r="T218" s="300"/>
      <c r="U218" s="300"/>
      <c r="V218" s="300"/>
      <c r="W218" s="300"/>
      <c r="X218" s="300"/>
      <c r="Y218" s="300"/>
      <c r="Z218" s="300"/>
    </row>
    <row r="219" spans="1:26">
      <c r="A219" s="215" t="s">
        <v>1027</v>
      </c>
      <c r="B219" s="207">
        <v>571</v>
      </c>
      <c r="C219" s="215" t="s">
        <v>6981</v>
      </c>
      <c r="D219" s="215" t="s">
        <v>6982</v>
      </c>
      <c r="E219" s="215" t="s">
        <v>6983</v>
      </c>
      <c r="F219" s="215" t="s">
        <v>6974</v>
      </c>
      <c r="G219" s="215" t="s">
        <v>6975</v>
      </c>
      <c r="H219" s="215" t="s">
        <v>6497</v>
      </c>
      <c r="I219" s="300"/>
      <c r="J219" s="300"/>
      <c r="K219" s="300"/>
      <c r="L219" s="300"/>
      <c r="M219" s="300"/>
      <c r="N219" s="300"/>
      <c r="O219" s="300"/>
      <c r="P219" s="300"/>
      <c r="Q219" s="300"/>
      <c r="R219" s="300"/>
      <c r="S219" s="300"/>
      <c r="T219" s="300"/>
      <c r="U219" s="300"/>
      <c r="V219" s="300"/>
      <c r="W219" s="300"/>
      <c r="X219" s="300"/>
      <c r="Y219" s="300"/>
      <c r="Z219" s="300"/>
    </row>
    <row r="220" spans="1:26">
      <c r="A220" s="215" t="s">
        <v>2712</v>
      </c>
      <c r="B220" s="207">
        <v>572</v>
      </c>
      <c r="C220" s="215" t="s">
        <v>4874</v>
      </c>
      <c r="D220" s="215" t="s">
        <v>6984</v>
      </c>
      <c r="E220" s="215" t="s">
        <v>6984</v>
      </c>
      <c r="F220" s="215" t="s">
        <v>6974</v>
      </c>
      <c r="G220" s="215" t="s">
        <v>6975</v>
      </c>
      <c r="H220" s="215" t="s">
        <v>6504</v>
      </c>
      <c r="I220" s="300"/>
      <c r="J220" s="300"/>
      <c r="K220" s="300"/>
      <c r="L220" s="300"/>
      <c r="M220" s="300"/>
      <c r="N220" s="300"/>
      <c r="O220" s="300"/>
      <c r="P220" s="300"/>
      <c r="Q220" s="300"/>
      <c r="R220" s="300"/>
      <c r="S220" s="300"/>
      <c r="T220" s="300"/>
      <c r="U220" s="300"/>
      <c r="V220" s="300"/>
      <c r="W220" s="300"/>
      <c r="X220" s="300"/>
      <c r="Y220" s="300"/>
      <c r="Z220" s="300"/>
    </row>
    <row r="221" spans="1:26">
      <c r="A221" s="215" t="s">
        <v>2743</v>
      </c>
      <c r="B221" s="207">
        <v>574</v>
      </c>
      <c r="C221" s="215" t="s">
        <v>6985</v>
      </c>
      <c r="D221" s="215" t="s">
        <v>6986</v>
      </c>
      <c r="E221" s="215" t="s">
        <v>6987</v>
      </c>
      <c r="F221" s="215" t="s">
        <v>6974</v>
      </c>
      <c r="G221" s="215" t="s">
        <v>6975</v>
      </c>
      <c r="H221" s="215" t="s">
        <v>6521</v>
      </c>
      <c r="I221" s="300"/>
      <c r="J221" s="300"/>
      <c r="K221" s="300"/>
      <c r="L221" s="300"/>
      <c r="M221" s="300"/>
      <c r="N221" s="300"/>
      <c r="O221" s="300"/>
      <c r="P221" s="300"/>
      <c r="Q221" s="300"/>
      <c r="R221" s="300"/>
      <c r="S221" s="300"/>
      <c r="T221" s="300"/>
      <c r="U221" s="300"/>
      <c r="V221" s="300"/>
      <c r="W221" s="300"/>
      <c r="X221" s="300"/>
      <c r="Y221" s="300"/>
      <c r="Z221" s="300"/>
    </row>
    <row r="222" spans="1:26">
      <c r="A222" s="215" t="s">
        <v>4458</v>
      </c>
      <c r="B222" s="207">
        <v>575</v>
      </c>
      <c r="C222" s="215" t="s">
        <v>6988</v>
      </c>
      <c r="D222" s="215" t="s">
        <v>6989</v>
      </c>
      <c r="E222" s="215" t="s">
        <v>6990</v>
      </c>
      <c r="F222" s="215" t="s">
        <v>6974</v>
      </c>
      <c r="G222" s="215" t="s">
        <v>6975</v>
      </c>
      <c r="H222" s="215" t="s">
        <v>6504</v>
      </c>
      <c r="I222" s="300"/>
      <c r="J222" s="300"/>
      <c r="K222" s="300"/>
      <c r="L222" s="300"/>
      <c r="M222" s="300"/>
      <c r="N222" s="300"/>
      <c r="O222" s="300"/>
      <c r="P222" s="300"/>
      <c r="Q222" s="300"/>
      <c r="R222" s="300"/>
      <c r="S222" s="300"/>
      <c r="T222" s="300"/>
      <c r="U222" s="300"/>
      <c r="V222" s="300"/>
      <c r="W222" s="300"/>
      <c r="X222" s="300"/>
      <c r="Y222" s="300"/>
      <c r="Z222" s="300"/>
    </row>
    <row r="223" spans="1:26">
      <c r="A223" s="215" t="s">
        <v>2863</v>
      </c>
      <c r="B223" s="207">
        <v>576</v>
      </c>
      <c r="C223" s="215" t="s">
        <v>6991</v>
      </c>
      <c r="D223" s="215" t="s">
        <v>6992</v>
      </c>
      <c r="E223" s="215" t="s">
        <v>6993</v>
      </c>
      <c r="F223" s="215" t="s">
        <v>6974</v>
      </c>
      <c r="G223" s="215" t="s">
        <v>6975</v>
      </c>
      <c r="H223" s="215" t="s">
        <v>6504</v>
      </c>
      <c r="I223" s="300"/>
      <c r="J223" s="300"/>
      <c r="K223" s="300"/>
      <c r="L223" s="300"/>
      <c r="M223" s="300"/>
      <c r="N223" s="300"/>
      <c r="O223" s="300"/>
      <c r="P223" s="300"/>
      <c r="Q223" s="300"/>
      <c r="R223" s="300"/>
      <c r="S223" s="300"/>
      <c r="T223" s="300"/>
      <c r="U223" s="300"/>
      <c r="V223" s="300"/>
      <c r="W223" s="300"/>
      <c r="X223" s="300"/>
      <c r="Y223" s="300"/>
      <c r="Z223" s="300"/>
    </row>
    <row r="224" spans="1:26">
      <c r="A224" s="215" t="s">
        <v>2956</v>
      </c>
      <c r="B224" s="207">
        <v>589</v>
      </c>
      <c r="C224" s="215" t="s">
        <v>5109</v>
      </c>
      <c r="D224" s="215" t="s">
        <v>6994</v>
      </c>
      <c r="E224" s="215" t="s">
        <v>6994</v>
      </c>
      <c r="F224" s="215" t="s">
        <v>6974</v>
      </c>
      <c r="G224" s="215" t="s">
        <v>6975</v>
      </c>
      <c r="H224" s="215" t="s">
        <v>6521</v>
      </c>
      <c r="I224" s="300"/>
      <c r="J224" s="300"/>
      <c r="K224" s="300"/>
      <c r="L224" s="300"/>
      <c r="M224" s="300"/>
      <c r="N224" s="300"/>
      <c r="O224" s="300"/>
      <c r="P224" s="300"/>
      <c r="Q224" s="300"/>
      <c r="R224" s="300"/>
      <c r="S224" s="300"/>
      <c r="T224" s="300"/>
      <c r="U224" s="300"/>
      <c r="V224" s="300"/>
      <c r="W224" s="300"/>
      <c r="X224" s="300"/>
      <c r="Y224" s="300"/>
      <c r="Z224" s="300"/>
    </row>
    <row r="225" spans="1:26">
      <c r="A225" s="215" t="s">
        <v>3877</v>
      </c>
      <c r="B225" s="207">
        <v>595</v>
      </c>
      <c r="C225" s="215" t="s">
        <v>5942</v>
      </c>
      <c r="D225" s="215" t="s">
        <v>6995</v>
      </c>
      <c r="E225" s="215" t="s">
        <v>6995</v>
      </c>
      <c r="F225" s="215" t="s">
        <v>6974</v>
      </c>
      <c r="G225" s="215" t="s">
        <v>6975</v>
      </c>
      <c r="H225" s="215" t="s">
        <v>6497</v>
      </c>
      <c r="I225" s="300"/>
      <c r="J225" s="300"/>
      <c r="K225" s="300"/>
      <c r="L225" s="300"/>
      <c r="M225" s="300"/>
      <c r="N225" s="300"/>
      <c r="O225" s="300"/>
      <c r="P225" s="300"/>
      <c r="Q225" s="300"/>
      <c r="R225" s="300"/>
      <c r="S225" s="300"/>
      <c r="T225" s="300"/>
      <c r="U225" s="300"/>
      <c r="V225" s="300"/>
      <c r="W225" s="300"/>
      <c r="X225" s="300"/>
      <c r="Y225" s="300"/>
      <c r="Z225" s="300"/>
    </row>
    <row r="226" spans="1:26">
      <c r="A226" s="215" t="s">
        <v>3122</v>
      </c>
      <c r="B226" s="207">
        <v>596</v>
      </c>
      <c r="C226" s="215" t="s">
        <v>5261</v>
      </c>
      <c r="D226" s="215" t="s">
        <v>6996</v>
      </c>
      <c r="E226" s="215" t="s">
        <v>6997</v>
      </c>
      <c r="F226" s="215" t="s">
        <v>6974</v>
      </c>
      <c r="G226" s="215" t="s">
        <v>6975</v>
      </c>
      <c r="H226" s="215" t="s">
        <v>6504</v>
      </c>
      <c r="I226" s="300"/>
      <c r="J226" s="300"/>
      <c r="K226" s="300"/>
      <c r="L226" s="300"/>
      <c r="M226" s="300"/>
      <c r="N226" s="300"/>
      <c r="O226" s="300"/>
      <c r="P226" s="300"/>
      <c r="Q226" s="300"/>
      <c r="R226" s="300"/>
      <c r="S226" s="300"/>
      <c r="T226" s="300"/>
      <c r="U226" s="300"/>
      <c r="V226" s="300"/>
      <c r="W226" s="300"/>
      <c r="X226" s="300"/>
      <c r="Y226" s="300"/>
      <c r="Z226" s="300"/>
    </row>
    <row r="227" spans="1:26">
      <c r="A227" s="215" t="s">
        <v>3196</v>
      </c>
      <c r="B227" s="207">
        <v>598</v>
      </c>
      <c r="C227" s="215" t="s">
        <v>6998</v>
      </c>
      <c r="D227" s="215" t="s">
        <v>6999</v>
      </c>
      <c r="E227" s="215" t="s">
        <v>7000</v>
      </c>
      <c r="F227" s="215" t="s">
        <v>6974</v>
      </c>
      <c r="G227" s="215" t="s">
        <v>6975</v>
      </c>
      <c r="H227" s="215" t="s">
        <v>6521</v>
      </c>
      <c r="I227" s="300"/>
      <c r="J227" s="300"/>
      <c r="K227" s="300"/>
      <c r="L227" s="300"/>
      <c r="M227" s="300"/>
      <c r="N227" s="300"/>
      <c r="O227" s="300"/>
      <c r="P227" s="300"/>
      <c r="Q227" s="300"/>
      <c r="R227" s="300"/>
      <c r="S227" s="300"/>
      <c r="T227" s="300"/>
      <c r="U227" s="300"/>
      <c r="V227" s="300"/>
      <c r="W227" s="300"/>
      <c r="X227" s="300"/>
      <c r="Y227" s="300"/>
      <c r="Z227" s="300"/>
    </row>
    <row r="228" spans="1:26">
      <c r="A228" s="215" t="s">
        <v>3178</v>
      </c>
      <c r="B228" s="207">
        <v>600</v>
      </c>
      <c r="C228" s="215" t="s">
        <v>5313</v>
      </c>
      <c r="D228" s="215" t="s">
        <v>7001</v>
      </c>
      <c r="E228" s="215" t="s">
        <v>7001</v>
      </c>
      <c r="F228" s="215" t="s">
        <v>6974</v>
      </c>
      <c r="G228" s="215" t="s">
        <v>6975</v>
      </c>
      <c r="H228" s="215" t="s">
        <v>6497</v>
      </c>
      <c r="I228" s="300"/>
      <c r="J228" s="300"/>
      <c r="K228" s="300"/>
      <c r="L228" s="300"/>
      <c r="M228" s="300"/>
      <c r="N228" s="300"/>
      <c r="O228" s="300"/>
      <c r="P228" s="300"/>
      <c r="Q228" s="300"/>
      <c r="R228" s="300"/>
      <c r="S228" s="300"/>
      <c r="T228" s="300"/>
      <c r="U228" s="300"/>
      <c r="V228" s="300"/>
      <c r="W228" s="300"/>
      <c r="X228" s="300"/>
      <c r="Y228" s="300"/>
      <c r="Z228" s="300"/>
    </row>
    <row r="229" spans="1:26">
      <c r="A229" s="215" t="s">
        <v>3661</v>
      </c>
      <c r="B229" s="207">
        <v>602</v>
      </c>
      <c r="C229" s="215" t="s">
        <v>7002</v>
      </c>
      <c r="D229" s="215" t="s">
        <v>7003</v>
      </c>
      <c r="E229" s="215" t="s">
        <v>7004</v>
      </c>
      <c r="F229" s="215" t="s">
        <v>6974</v>
      </c>
      <c r="G229" s="215" t="s">
        <v>6975</v>
      </c>
      <c r="H229" s="215" t="s">
        <v>6521</v>
      </c>
      <c r="I229" s="300"/>
      <c r="J229" s="300"/>
      <c r="K229" s="300"/>
      <c r="L229" s="300"/>
      <c r="M229" s="300"/>
      <c r="N229" s="300"/>
      <c r="O229" s="300"/>
      <c r="P229" s="300"/>
      <c r="Q229" s="300"/>
      <c r="R229" s="300"/>
      <c r="S229" s="300"/>
      <c r="T229" s="300"/>
      <c r="U229" s="300"/>
      <c r="V229" s="300"/>
      <c r="W229" s="300"/>
      <c r="X229" s="300"/>
      <c r="Y229" s="300"/>
      <c r="Z229" s="300"/>
    </row>
    <row r="230" spans="1:26">
      <c r="A230" s="215" t="s">
        <v>3814</v>
      </c>
      <c r="B230" s="207">
        <v>603</v>
      </c>
      <c r="C230" s="215" t="s">
        <v>7005</v>
      </c>
      <c r="D230" s="215" t="s">
        <v>7006</v>
      </c>
      <c r="E230" s="215" t="s">
        <v>7006</v>
      </c>
      <c r="F230" s="215" t="s">
        <v>6974</v>
      </c>
      <c r="G230" s="215" t="s">
        <v>6975</v>
      </c>
      <c r="H230" s="215" t="s">
        <v>6548</v>
      </c>
      <c r="I230" s="300"/>
      <c r="J230" s="300"/>
      <c r="K230" s="300"/>
      <c r="L230" s="300"/>
      <c r="M230" s="300"/>
      <c r="N230" s="300"/>
      <c r="O230" s="300"/>
      <c r="P230" s="300"/>
      <c r="Q230" s="300"/>
      <c r="R230" s="300"/>
      <c r="S230" s="300"/>
      <c r="T230" s="300"/>
      <c r="U230" s="300"/>
      <c r="V230" s="300"/>
      <c r="W230" s="300"/>
      <c r="X230" s="300"/>
      <c r="Y230" s="300"/>
      <c r="Z230" s="300"/>
    </row>
    <row r="231" spans="1:26">
      <c r="A231" s="215" t="s">
        <v>3321</v>
      </c>
      <c r="B231" s="207">
        <v>609</v>
      </c>
      <c r="C231" s="215" t="s">
        <v>7007</v>
      </c>
      <c r="D231" s="215" t="s">
        <v>7008</v>
      </c>
      <c r="E231" s="215" t="s">
        <v>7009</v>
      </c>
      <c r="F231" s="215" t="s">
        <v>6974</v>
      </c>
      <c r="G231" s="215" t="s">
        <v>6975</v>
      </c>
      <c r="H231" s="215" t="s">
        <v>6497</v>
      </c>
      <c r="I231" s="300"/>
      <c r="J231" s="300"/>
      <c r="K231" s="300"/>
      <c r="L231" s="300"/>
      <c r="M231" s="300"/>
      <c r="N231" s="300"/>
      <c r="O231" s="300"/>
      <c r="P231" s="300"/>
      <c r="Q231" s="300"/>
      <c r="R231" s="300"/>
      <c r="S231" s="300"/>
      <c r="T231" s="300"/>
      <c r="U231" s="300"/>
      <c r="V231" s="300"/>
      <c r="W231" s="300"/>
      <c r="X231" s="300"/>
      <c r="Y231" s="300"/>
      <c r="Z231" s="300"/>
    </row>
    <row r="232" spans="1:26">
      <c r="A232" s="215" t="s">
        <v>4546</v>
      </c>
      <c r="B232" s="207">
        <v>610</v>
      </c>
      <c r="C232" s="215" t="s">
        <v>7010</v>
      </c>
      <c r="D232" s="215" t="s">
        <v>7011</v>
      </c>
      <c r="E232" s="215" t="s">
        <v>7012</v>
      </c>
      <c r="F232" s="215" t="s">
        <v>6974</v>
      </c>
      <c r="G232" s="215" t="s">
        <v>6975</v>
      </c>
      <c r="H232" s="215" t="s">
        <v>6548</v>
      </c>
      <c r="I232" s="300"/>
      <c r="J232" s="300"/>
      <c r="K232" s="300"/>
      <c r="L232" s="300"/>
      <c r="M232" s="300"/>
      <c r="N232" s="300"/>
      <c r="O232" s="300"/>
      <c r="P232" s="300"/>
      <c r="Q232" s="300"/>
      <c r="R232" s="300"/>
      <c r="S232" s="300"/>
      <c r="T232" s="300"/>
      <c r="U232" s="300"/>
      <c r="V232" s="300"/>
      <c r="W232" s="300"/>
      <c r="X232" s="300"/>
      <c r="Y232" s="300"/>
      <c r="Z232" s="300"/>
    </row>
    <row r="233" spans="1:26">
      <c r="A233" s="215" t="s">
        <v>3489</v>
      </c>
      <c r="B233" s="207">
        <v>611</v>
      </c>
      <c r="C233" s="215" t="s">
        <v>5598</v>
      </c>
      <c r="D233" s="215" t="s">
        <v>7013</v>
      </c>
      <c r="E233" s="215" t="s">
        <v>7014</v>
      </c>
      <c r="F233" s="215" t="s">
        <v>6974</v>
      </c>
      <c r="G233" s="215" t="s">
        <v>6975</v>
      </c>
      <c r="H233" s="215" t="s">
        <v>6497</v>
      </c>
      <c r="I233" s="300"/>
      <c r="J233" s="300"/>
      <c r="K233" s="300"/>
      <c r="L233" s="300"/>
      <c r="M233" s="300"/>
      <c r="N233" s="300"/>
      <c r="O233" s="300"/>
      <c r="P233" s="300"/>
      <c r="Q233" s="300"/>
      <c r="R233" s="300"/>
      <c r="S233" s="300"/>
      <c r="T233" s="300"/>
      <c r="U233" s="300"/>
      <c r="V233" s="300"/>
      <c r="W233" s="300"/>
      <c r="X233" s="300"/>
      <c r="Y233" s="300"/>
      <c r="Z233" s="300"/>
    </row>
    <row r="234" spans="1:26">
      <c r="A234" s="215" t="s">
        <v>2918</v>
      </c>
      <c r="B234" s="207">
        <v>612</v>
      </c>
      <c r="C234" s="215" t="s">
        <v>7015</v>
      </c>
      <c r="D234" s="215" t="s">
        <v>7016</v>
      </c>
      <c r="E234" s="215" t="s">
        <v>7017</v>
      </c>
      <c r="F234" s="215" t="s">
        <v>6974</v>
      </c>
      <c r="G234" s="215" t="s">
        <v>6975</v>
      </c>
      <c r="H234" s="215" t="s">
        <v>6504</v>
      </c>
      <c r="I234" s="300"/>
      <c r="J234" s="300"/>
      <c r="K234" s="300"/>
      <c r="L234" s="300"/>
      <c r="M234" s="300"/>
      <c r="N234" s="300"/>
      <c r="O234" s="300"/>
      <c r="P234" s="300"/>
      <c r="Q234" s="300"/>
      <c r="R234" s="300"/>
      <c r="S234" s="300"/>
      <c r="T234" s="300"/>
      <c r="U234" s="300"/>
      <c r="V234" s="300"/>
      <c r="W234" s="300"/>
      <c r="X234" s="300"/>
      <c r="Y234" s="300"/>
      <c r="Z234" s="300"/>
    </row>
    <row r="235" spans="1:26">
      <c r="A235" s="215" t="s">
        <v>3473</v>
      </c>
      <c r="B235" s="207">
        <v>613</v>
      </c>
      <c r="C235" s="215" t="s">
        <v>5585</v>
      </c>
      <c r="D235" s="215" t="s">
        <v>7018</v>
      </c>
      <c r="E235" s="215" t="s">
        <v>7018</v>
      </c>
      <c r="F235" s="215" t="s">
        <v>6974</v>
      </c>
      <c r="G235" s="215" t="s">
        <v>6975</v>
      </c>
      <c r="H235" s="215" t="s">
        <v>6500</v>
      </c>
      <c r="I235" s="300"/>
      <c r="J235" s="300"/>
      <c r="K235" s="300"/>
      <c r="L235" s="300"/>
      <c r="M235" s="300"/>
      <c r="N235" s="300"/>
      <c r="O235" s="300"/>
      <c r="P235" s="300"/>
      <c r="Q235" s="300"/>
      <c r="R235" s="300"/>
      <c r="S235" s="300"/>
      <c r="T235" s="300"/>
      <c r="U235" s="300"/>
      <c r="V235" s="300"/>
      <c r="W235" s="300"/>
      <c r="X235" s="300"/>
      <c r="Y235" s="300"/>
      <c r="Z235" s="300"/>
    </row>
    <row r="236" spans="1:26">
      <c r="A236" s="215" t="s">
        <v>3465</v>
      </c>
      <c r="B236" s="207">
        <v>614</v>
      </c>
      <c r="C236" s="215" t="s">
        <v>7019</v>
      </c>
      <c r="D236" s="215" t="s">
        <v>7020</v>
      </c>
      <c r="E236" s="215" t="s">
        <v>7021</v>
      </c>
      <c r="F236" s="215" t="s">
        <v>6974</v>
      </c>
      <c r="G236" s="215" t="s">
        <v>6975</v>
      </c>
      <c r="H236" s="215" t="s">
        <v>6521</v>
      </c>
      <c r="I236" s="300"/>
      <c r="J236" s="300"/>
      <c r="K236" s="300"/>
      <c r="L236" s="300"/>
      <c r="M236" s="300"/>
      <c r="N236" s="300"/>
      <c r="O236" s="300"/>
      <c r="P236" s="300"/>
      <c r="Q236" s="300"/>
      <c r="R236" s="300"/>
      <c r="S236" s="300"/>
      <c r="T236" s="300"/>
      <c r="U236" s="300"/>
      <c r="V236" s="300"/>
      <c r="W236" s="300"/>
      <c r="X236" s="300"/>
      <c r="Y236" s="300"/>
      <c r="Z236" s="300"/>
    </row>
    <row r="237" spans="1:26">
      <c r="A237" s="215" t="s">
        <v>4463</v>
      </c>
      <c r="B237" s="207">
        <v>615</v>
      </c>
      <c r="C237" s="215" t="s">
        <v>6391</v>
      </c>
      <c r="D237" s="215" t="s">
        <v>7022</v>
      </c>
      <c r="E237" s="215" t="s">
        <v>7023</v>
      </c>
      <c r="F237" s="215" t="s">
        <v>6974</v>
      </c>
      <c r="G237" s="215" t="s">
        <v>6975</v>
      </c>
      <c r="H237" s="215" t="s">
        <v>6497</v>
      </c>
      <c r="I237" s="300"/>
      <c r="J237" s="300"/>
      <c r="K237" s="300"/>
      <c r="L237" s="300"/>
      <c r="M237" s="300"/>
      <c r="N237" s="300"/>
      <c r="O237" s="300"/>
      <c r="P237" s="300"/>
      <c r="Q237" s="300"/>
      <c r="R237" s="300"/>
      <c r="S237" s="300"/>
      <c r="T237" s="300"/>
      <c r="U237" s="300"/>
      <c r="V237" s="300"/>
      <c r="W237" s="300"/>
      <c r="X237" s="300"/>
      <c r="Y237" s="300"/>
      <c r="Z237" s="300"/>
    </row>
    <row r="238" spans="1:26">
      <c r="A238" s="215" t="s">
        <v>3429</v>
      </c>
      <c r="B238" s="207">
        <v>616</v>
      </c>
      <c r="C238" s="215" t="s">
        <v>5550</v>
      </c>
      <c r="D238" s="215" t="s">
        <v>7024</v>
      </c>
      <c r="E238" s="215" t="s">
        <v>7025</v>
      </c>
      <c r="F238" s="215" t="s">
        <v>6974</v>
      </c>
      <c r="G238" s="215" t="s">
        <v>6975</v>
      </c>
      <c r="H238" s="215" t="s">
        <v>6504</v>
      </c>
      <c r="I238" s="300"/>
      <c r="J238" s="300"/>
      <c r="K238" s="300"/>
      <c r="L238" s="300"/>
      <c r="M238" s="300"/>
      <c r="N238" s="300"/>
      <c r="O238" s="300"/>
      <c r="P238" s="300"/>
      <c r="Q238" s="300"/>
      <c r="R238" s="300"/>
      <c r="S238" s="300"/>
      <c r="T238" s="300"/>
      <c r="U238" s="300"/>
      <c r="V238" s="300"/>
      <c r="W238" s="300"/>
      <c r="X238" s="300"/>
      <c r="Y238" s="300"/>
      <c r="Z238" s="300"/>
    </row>
    <row r="239" spans="1:26">
      <c r="A239" s="215" t="s">
        <v>3378</v>
      </c>
      <c r="B239" s="207">
        <v>617</v>
      </c>
      <c r="C239" s="215" t="s">
        <v>5501</v>
      </c>
      <c r="D239" s="215" t="s">
        <v>7026</v>
      </c>
      <c r="E239" s="215" t="s">
        <v>7027</v>
      </c>
      <c r="F239" s="215" t="s">
        <v>6974</v>
      </c>
      <c r="G239" s="215" t="s">
        <v>6975</v>
      </c>
      <c r="H239" s="215" t="s">
        <v>6500</v>
      </c>
      <c r="I239" s="300"/>
      <c r="J239" s="300"/>
      <c r="K239" s="300"/>
      <c r="L239" s="300"/>
      <c r="M239" s="300"/>
      <c r="N239" s="300"/>
      <c r="O239" s="300"/>
      <c r="P239" s="300"/>
      <c r="Q239" s="300"/>
      <c r="R239" s="300"/>
      <c r="S239" s="300"/>
      <c r="T239" s="300"/>
      <c r="U239" s="300"/>
      <c r="V239" s="300"/>
      <c r="W239" s="300"/>
      <c r="X239" s="300"/>
      <c r="Y239" s="300"/>
      <c r="Z239" s="300"/>
    </row>
    <row r="240" spans="1:26">
      <c r="A240" s="215" t="s">
        <v>4489</v>
      </c>
      <c r="B240" s="207">
        <v>618</v>
      </c>
      <c r="C240" s="215" t="s">
        <v>7028</v>
      </c>
      <c r="D240" s="215" t="s">
        <v>7029</v>
      </c>
      <c r="E240" s="215" t="s">
        <v>7030</v>
      </c>
      <c r="F240" s="215" t="s">
        <v>6974</v>
      </c>
      <c r="G240" s="215" t="s">
        <v>6975</v>
      </c>
      <c r="H240" s="215" t="s">
        <v>6548</v>
      </c>
      <c r="I240" s="300"/>
      <c r="J240" s="300"/>
      <c r="K240" s="300"/>
      <c r="L240" s="300"/>
      <c r="M240" s="300"/>
      <c r="N240" s="300"/>
      <c r="O240" s="300"/>
      <c r="P240" s="300"/>
      <c r="Q240" s="300"/>
      <c r="R240" s="300"/>
      <c r="S240" s="300"/>
      <c r="T240" s="300"/>
      <c r="U240" s="300"/>
      <c r="V240" s="300"/>
      <c r="W240" s="300"/>
      <c r="X240" s="300"/>
      <c r="Y240" s="300"/>
      <c r="Z240" s="300"/>
    </row>
    <row r="241" spans="1:26">
      <c r="A241" s="215" t="s">
        <v>4497</v>
      </c>
      <c r="B241" s="207">
        <v>619</v>
      </c>
      <c r="C241" s="215" t="s">
        <v>7031</v>
      </c>
      <c r="D241" s="215" t="s">
        <v>7032</v>
      </c>
      <c r="E241" s="215" t="s">
        <v>7032</v>
      </c>
      <c r="F241" s="215" t="s">
        <v>6974</v>
      </c>
      <c r="G241" s="215" t="s">
        <v>6975</v>
      </c>
      <c r="H241" s="215" t="s">
        <v>6497</v>
      </c>
      <c r="I241" s="300"/>
      <c r="J241" s="300"/>
      <c r="K241" s="300"/>
      <c r="L241" s="300"/>
      <c r="M241" s="300"/>
      <c r="N241" s="300"/>
      <c r="O241" s="300"/>
      <c r="P241" s="300"/>
      <c r="Q241" s="300"/>
      <c r="R241" s="300"/>
      <c r="S241" s="300"/>
      <c r="T241" s="300"/>
      <c r="U241" s="300"/>
      <c r="V241" s="300"/>
      <c r="W241" s="300"/>
      <c r="X241" s="300"/>
      <c r="Y241" s="300"/>
      <c r="Z241" s="300"/>
    </row>
    <row r="242" spans="1:26">
      <c r="A242" s="215" t="s">
        <v>3724</v>
      </c>
      <c r="B242" s="207">
        <v>620</v>
      </c>
      <c r="C242" s="215" t="s">
        <v>7033</v>
      </c>
      <c r="D242" s="215" t="s">
        <v>7034</v>
      </c>
      <c r="E242" s="215" t="s">
        <v>7035</v>
      </c>
      <c r="F242" s="215" t="s">
        <v>6974</v>
      </c>
      <c r="G242" s="215" t="s">
        <v>6975</v>
      </c>
      <c r="H242" s="215" t="s">
        <v>6521</v>
      </c>
      <c r="I242" s="300"/>
      <c r="J242" s="300"/>
      <c r="K242" s="300"/>
      <c r="L242" s="300"/>
      <c r="M242" s="300"/>
      <c r="N242" s="300"/>
      <c r="O242" s="300"/>
      <c r="P242" s="300"/>
      <c r="Q242" s="300"/>
      <c r="R242" s="300"/>
      <c r="S242" s="300"/>
      <c r="T242" s="300"/>
      <c r="U242" s="300"/>
      <c r="V242" s="300"/>
      <c r="W242" s="300"/>
      <c r="X242" s="300"/>
      <c r="Y242" s="300"/>
      <c r="Z242" s="300"/>
    </row>
    <row r="243" spans="1:26">
      <c r="A243" s="215"/>
      <c r="B243" s="207">
        <v>624</v>
      </c>
      <c r="C243" s="215" t="s">
        <v>6388</v>
      </c>
      <c r="D243" s="215" t="s">
        <v>7036</v>
      </c>
      <c r="E243" s="215" t="s">
        <v>7037</v>
      </c>
      <c r="F243" s="215" t="s">
        <v>6974</v>
      </c>
      <c r="G243" s="215" t="s">
        <v>6975</v>
      </c>
      <c r="H243" s="215" t="s">
        <v>6548</v>
      </c>
      <c r="I243" s="300"/>
      <c r="J243" s="300"/>
      <c r="K243" s="300"/>
      <c r="L243" s="300"/>
      <c r="M243" s="300"/>
      <c r="N243" s="300"/>
      <c r="O243" s="300"/>
      <c r="P243" s="300"/>
      <c r="Q243" s="300"/>
      <c r="R243" s="300"/>
      <c r="S243" s="300"/>
      <c r="T243" s="300"/>
      <c r="U243" s="300"/>
      <c r="V243" s="300"/>
      <c r="W243" s="300"/>
      <c r="X243" s="300"/>
      <c r="Y243" s="300"/>
      <c r="Z243" s="300"/>
    </row>
    <row r="244" spans="1:26">
      <c r="A244" s="215" t="s">
        <v>3668</v>
      </c>
      <c r="B244" s="207">
        <v>625</v>
      </c>
      <c r="C244" s="215" t="s">
        <v>7038</v>
      </c>
      <c r="D244" s="215" t="s">
        <v>7039</v>
      </c>
      <c r="E244" s="215" t="s">
        <v>7040</v>
      </c>
      <c r="F244" s="215" t="s">
        <v>6974</v>
      </c>
      <c r="G244" s="215" t="s">
        <v>6975</v>
      </c>
      <c r="H244" s="215" t="s">
        <v>6504</v>
      </c>
      <c r="I244" s="300"/>
      <c r="J244" s="300"/>
      <c r="K244" s="300"/>
      <c r="L244" s="300"/>
      <c r="M244" s="300"/>
      <c r="N244" s="300"/>
      <c r="O244" s="300"/>
      <c r="P244" s="300"/>
      <c r="Q244" s="300"/>
      <c r="R244" s="300"/>
      <c r="S244" s="300"/>
      <c r="T244" s="300"/>
      <c r="U244" s="300"/>
      <c r="V244" s="300"/>
      <c r="W244" s="300"/>
      <c r="X244" s="300"/>
      <c r="Y244" s="300"/>
      <c r="Z244" s="300"/>
    </row>
    <row r="245" spans="1:26">
      <c r="A245" s="215" t="s">
        <v>3720</v>
      </c>
      <c r="B245" s="207">
        <v>627</v>
      </c>
      <c r="C245" s="215" t="s">
        <v>5805</v>
      </c>
      <c r="D245" s="215" t="s">
        <v>7041</v>
      </c>
      <c r="E245" s="215" t="s">
        <v>7042</v>
      </c>
      <c r="F245" s="215" t="s">
        <v>6974</v>
      </c>
      <c r="G245" s="215" t="s">
        <v>6975</v>
      </c>
      <c r="H245" s="215" t="s">
        <v>6497</v>
      </c>
      <c r="I245" s="300"/>
      <c r="J245" s="300"/>
      <c r="K245" s="300"/>
      <c r="L245" s="300"/>
      <c r="M245" s="300"/>
      <c r="N245" s="300"/>
      <c r="O245" s="300"/>
      <c r="P245" s="300"/>
      <c r="Q245" s="300"/>
      <c r="R245" s="300"/>
      <c r="S245" s="300"/>
      <c r="T245" s="300"/>
      <c r="U245" s="300"/>
      <c r="V245" s="300"/>
      <c r="W245" s="300"/>
      <c r="X245" s="300"/>
      <c r="Y245" s="300"/>
      <c r="Z245" s="300"/>
    </row>
    <row r="246" spans="1:26">
      <c r="A246" s="215" t="s">
        <v>3586</v>
      </c>
      <c r="B246" s="207">
        <v>628</v>
      </c>
      <c r="C246" s="215" t="s">
        <v>7043</v>
      </c>
      <c r="D246" s="215" t="s">
        <v>7044</v>
      </c>
      <c r="E246" s="215" t="s">
        <v>7045</v>
      </c>
      <c r="F246" s="215" t="s">
        <v>6974</v>
      </c>
      <c r="G246" s="215" t="s">
        <v>6975</v>
      </c>
      <c r="H246" s="215" t="s">
        <v>6521</v>
      </c>
      <c r="I246" s="300"/>
      <c r="J246" s="300"/>
      <c r="K246" s="300"/>
      <c r="L246" s="300"/>
      <c r="M246" s="300"/>
      <c r="N246" s="300"/>
      <c r="O246" s="300"/>
      <c r="P246" s="300"/>
      <c r="Q246" s="300"/>
      <c r="R246" s="300"/>
      <c r="S246" s="300"/>
      <c r="T246" s="300"/>
      <c r="U246" s="300"/>
      <c r="V246" s="300"/>
      <c r="W246" s="300"/>
      <c r="X246" s="300"/>
      <c r="Y246" s="300"/>
      <c r="Z246" s="300"/>
    </row>
    <row r="247" spans="1:26">
      <c r="A247" s="215" t="s">
        <v>4101</v>
      </c>
      <c r="B247" s="207">
        <v>629</v>
      </c>
      <c r="C247" s="215" t="s">
        <v>6110</v>
      </c>
      <c r="D247" s="215" t="s">
        <v>7046</v>
      </c>
      <c r="E247" s="215" t="s">
        <v>7047</v>
      </c>
      <c r="F247" s="215" t="s">
        <v>6974</v>
      </c>
      <c r="G247" s="215" t="s">
        <v>6975</v>
      </c>
      <c r="H247" s="215" t="s">
        <v>6504</v>
      </c>
      <c r="I247" s="300"/>
      <c r="J247" s="300"/>
      <c r="K247" s="300"/>
      <c r="L247" s="300"/>
      <c r="M247" s="300"/>
      <c r="N247" s="300"/>
      <c r="O247" s="300"/>
      <c r="P247" s="300"/>
      <c r="Q247" s="300"/>
      <c r="R247" s="300"/>
      <c r="S247" s="300"/>
      <c r="T247" s="300"/>
      <c r="U247" s="300"/>
      <c r="V247" s="300"/>
      <c r="W247" s="300"/>
      <c r="X247" s="300"/>
      <c r="Y247" s="300"/>
      <c r="Z247" s="300"/>
    </row>
    <row r="248" spans="1:26">
      <c r="A248" s="215" t="s">
        <v>3640</v>
      </c>
      <c r="B248" s="207">
        <v>630</v>
      </c>
      <c r="C248" s="215" t="s">
        <v>7048</v>
      </c>
      <c r="D248" s="215" t="s">
        <v>7049</v>
      </c>
      <c r="E248" s="215" t="s">
        <v>7050</v>
      </c>
      <c r="F248" s="215" t="s">
        <v>6974</v>
      </c>
      <c r="G248" s="215" t="s">
        <v>6975</v>
      </c>
      <c r="H248" s="215" t="s">
        <v>6497</v>
      </c>
      <c r="I248" s="300"/>
      <c r="J248" s="300"/>
      <c r="K248" s="300"/>
      <c r="L248" s="300"/>
      <c r="M248" s="300"/>
      <c r="N248" s="300"/>
      <c r="O248" s="300"/>
      <c r="P248" s="300"/>
      <c r="Q248" s="300"/>
      <c r="R248" s="300"/>
      <c r="S248" s="300"/>
      <c r="T248" s="300"/>
      <c r="U248" s="300"/>
      <c r="V248" s="300"/>
      <c r="W248" s="300"/>
      <c r="X248" s="300"/>
      <c r="Y248" s="300"/>
      <c r="Z248" s="300"/>
    </row>
    <row r="249" spans="1:26">
      <c r="A249" s="215" t="s">
        <v>3854</v>
      </c>
      <c r="B249" s="207">
        <v>637</v>
      </c>
      <c r="C249" s="215" t="s">
        <v>5926</v>
      </c>
      <c r="D249" s="215" t="s">
        <v>7051</v>
      </c>
      <c r="E249" s="215" t="s">
        <v>7052</v>
      </c>
      <c r="F249" s="215" t="s">
        <v>6974</v>
      </c>
      <c r="G249" s="215" t="s">
        <v>6975</v>
      </c>
      <c r="H249" s="215" t="s">
        <v>6497</v>
      </c>
      <c r="I249" s="300"/>
      <c r="J249" s="300"/>
      <c r="K249" s="300"/>
      <c r="L249" s="300"/>
      <c r="M249" s="300"/>
      <c r="N249" s="300"/>
      <c r="O249" s="300"/>
      <c r="P249" s="300"/>
      <c r="Q249" s="300"/>
      <c r="R249" s="300"/>
      <c r="S249" s="300"/>
      <c r="T249" s="300"/>
      <c r="U249" s="300"/>
      <c r="V249" s="300"/>
      <c r="W249" s="300"/>
      <c r="X249" s="300"/>
      <c r="Y249" s="300"/>
      <c r="Z249" s="300"/>
    </row>
    <row r="250" spans="1:26">
      <c r="A250" s="215" t="s">
        <v>3860</v>
      </c>
      <c r="B250" s="207">
        <v>640</v>
      </c>
      <c r="C250" s="215" t="s">
        <v>5932</v>
      </c>
      <c r="D250" s="215" t="s">
        <v>7053</v>
      </c>
      <c r="E250" s="215" t="s">
        <v>7054</v>
      </c>
      <c r="F250" s="215" t="s">
        <v>6974</v>
      </c>
      <c r="G250" s="215" t="s">
        <v>6975</v>
      </c>
      <c r="H250" s="215" t="s">
        <v>6497</v>
      </c>
      <c r="I250" s="300"/>
      <c r="J250" s="300"/>
      <c r="K250" s="300"/>
      <c r="L250" s="300"/>
      <c r="M250" s="300"/>
      <c r="N250" s="300"/>
      <c r="O250" s="300"/>
      <c r="P250" s="300"/>
      <c r="Q250" s="300"/>
      <c r="R250" s="300"/>
      <c r="S250" s="300"/>
      <c r="T250" s="300"/>
      <c r="U250" s="300"/>
      <c r="V250" s="300"/>
      <c r="W250" s="300"/>
      <c r="X250" s="300"/>
      <c r="Y250" s="300"/>
      <c r="Z250" s="300"/>
    </row>
    <row r="251" spans="1:26">
      <c r="A251" s="215" t="s">
        <v>3451</v>
      </c>
      <c r="B251" s="207">
        <v>642</v>
      </c>
      <c r="C251" s="215" t="s">
        <v>5571</v>
      </c>
      <c r="D251" s="215" t="s">
        <v>7055</v>
      </c>
      <c r="E251" s="215" t="s">
        <v>7055</v>
      </c>
      <c r="F251" s="215" t="s">
        <v>6974</v>
      </c>
      <c r="G251" s="215" t="s">
        <v>6975</v>
      </c>
      <c r="H251" s="215" t="s">
        <v>6521</v>
      </c>
      <c r="I251" s="300"/>
      <c r="J251" s="300"/>
      <c r="K251" s="300"/>
      <c r="L251" s="300"/>
      <c r="M251" s="300"/>
      <c r="N251" s="300"/>
      <c r="O251" s="300"/>
      <c r="P251" s="300"/>
      <c r="Q251" s="300"/>
      <c r="R251" s="300"/>
      <c r="S251" s="300"/>
      <c r="T251" s="300"/>
      <c r="U251" s="300"/>
      <c r="V251" s="300"/>
      <c r="W251" s="300"/>
      <c r="X251" s="300"/>
      <c r="Y251" s="300"/>
      <c r="Z251" s="300"/>
    </row>
    <row r="252" spans="1:26">
      <c r="A252" s="215" t="s">
        <v>4555</v>
      </c>
      <c r="B252" s="207">
        <v>647</v>
      </c>
      <c r="C252" s="215" t="s">
        <v>7056</v>
      </c>
      <c r="D252" s="215" t="s">
        <v>7057</v>
      </c>
      <c r="E252" s="215" t="s">
        <v>7057</v>
      </c>
      <c r="F252" s="215" t="s">
        <v>6974</v>
      </c>
      <c r="G252" s="215" t="s">
        <v>6975</v>
      </c>
      <c r="H252" s="215" t="s">
        <v>6521</v>
      </c>
      <c r="I252" s="300"/>
      <c r="J252" s="300"/>
      <c r="K252" s="300"/>
      <c r="L252" s="300"/>
      <c r="M252" s="300"/>
      <c r="N252" s="300"/>
      <c r="O252" s="300"/>
      <c r="P252" s="300"/>
      <c r="Q252" s="300"/>
      <c r="R252" s="300"/>
      <c r="S252" s="300"/>
      <c r="T252" s="300"/>
      <c r="U252" s="300"/>
      <c r="V252" s="300"/>
      <c r="W252" s="300"/>
      <c r="X252" s="300"/>
      <c r="Y252" s="300"/>
      <c r="Z252" s="300"/>
    </row>
    <row r="253" spans="1:26">
      <c r="A253" s="215" t="s">
        <v>3583</v>
      </c>
      <c r="B253" s="207">
        <v>648</v>
      </c>
      <c r="C253" s="215" t="s">
        <v>7058</v>
      </c>
      <c r="D253" s="215" t="s">
        <v>7059</v>
      </c>
      <c r="E253" s="215" t="s">
        <v>7060</v>
      </c>
      <c r="F253" s="215" t="s">
        <v>6974</v>
      </c>
      <c r="G253" s="215" t="s">
        <v>6975</v>
      </c>
      <c r="H253" s="215" t="s">
        <v>6521</v>
      </c>
      <c r="I253" s="300"/>
      <c r="J253" s="300"/>
      <c r="K253" s="300"/>
      <c r="L253" s="300"/>
      <c r="M253" s="300"/>
      <c r="N253" s="300"/>
      <c r="O253" s="300"/>
      <c r="P253" s="300"/>
      <c r="Q253" s="300"/>
      <c r="R253" s="300"/>
      <c r="S253" s="300"/>
      <c r="T253" s="300"/>
      <c r="U253" s="300"/>
      <c r="V253" s="300"/>
      <c r="W253" s="300"/>
      <c r="X253" s="300"/>
      <c r="Y253" s="300"/>
      <c r="Z253" s="300"/>
    </row>
    <row r="254" spans="1:26">
      <c r="A254" s="215" t="s">
        <v>3972</v>
      </c>
      <c r="B254" s="207">
        <v>649</v>
      </c>
      <c r="C254" s="215" t="s">
        <v>6008</v>
      </c>
      <c r="D254" s="215" t="s">
        <v>7061</v>
      </c>
      <c r="E254" s="215" t="s">
        <v>7061</v>
      </c>
      <c r="F254" s="215" t="s">
        <v>6974</v>
      </c>
      <c r="G254" s="215" t="s">
        <v>6975</v>
      </c>
      <c r="H254" s="215" t="s">
        <v>6497</v>
      </c>
      <c r="I254" s="300"/>
      <c r="J254" s="300"/>
      <c r="K254" s="300"/>
      <c r="L254" s="300"/>
      <c r="M254" s="300"/>
      <c r="N254" s="300"/>
      <c r="O254" s="300"/>
      <c r="P254" s="300"/>
      <c r="Q254" s="300"/>
      <c r="R254" s="300"/>
      <c r="S254" s="300"/>
      <c r="T254" s="300"/>
      <c r="U254" s="300"/>
      <c r="V254" s="300"/>
      <c r="W254" s="300"/>
      <c r="X254" s="300"/>
      <c r="Y254" s="300"/>
      <c r="Z254" s="300"/>
    </row>
    <row r="255" spans="1:26">
      <c r="A255" s="215" t="s">
        <v>3642</v>
      </c>
      <c r="B255" s="207">
        <v>652</v>
      </c>
      <c r="C255" s="215" t="s">
        <v>7062</v>
      </c>
      <c r="D255" s="215" t="s">
        <v>7063</v>
      </c>
      <c r="E255" s="215" t="s">
        <v>7063</v>
      </c>
      <c r="F255" s="215" t="s">
        <v>6974</v>
      </c>
      <c r="G255" s="215" t="s">
        <v>6975</v>
      </c>
      <c r="H255" s="215" t="s">
        <v>6497</v>
      </c>
      <c r="I255" s="300"/>
      <c r="J255" s="300"/>
      <c r="K255" s="300"/>
      <c r="L255" s="300"/>
      <c r="M255" s="300"/>
      <c r="N255" s="300"/>
      <c r="O255" s="300"/>
      <c r="P255" s="300"/>
      <c r="Q255" s="300"/>
      <c r="R255" s="300"/>
      <c r="S255" s="300"/>
      <c r="T255" s="300"/>
      <c r="U255" s="300"/>
      <c r="V255" s="300"/>
      <c r="W255" s="300"/>
      <c r="X255" s="300"/>
      <c r="Y255" s="300"/>
      <c r="Z255" s="300"/>
    </row>
    <row r="256" spans="1:26">
      <c r="A256" s="215" t="s">
        <v>4163</v>
      </c>
      <c r="B256" s="207">
        <v>656</v>
      </c>
      <c r="C256" s="215" t="s">
        <v>7064</v>
      </c>
      <c r="D256" s="215" t="s">
        <v>7065</v>
      </c>
      <c r="E256" s="215" t="s">
        <v>7065</v>
      </c>
      <c r="F256" s="215" t="s">
        <v>6974</v>
      </c>
      <c r="G256" s="215" t="s">
        <v>6975</v>
      </c>
      <c r="H256" s="215" t="s">
        <v>6504</v>
      </c>
      <c r="I256" s="300"/>
      <c r="J256" s="300"/>
      <c r="K256" s="300"/>
      <c r="L256" s="300"/>
      <c r="M256" s="300"/>
      <c r="N256" s="300"/>
      <c r="O256" s="300"/>
      <c r="P256" s="300"/>
      <c r="Q256" s="300"/>
      <c r="R256" s="300"/>
      <c r="S256" s="300"/>
      <c r="T256" s="300"/>
      <c r="U256" s="300"/>
      <c r="V256" s="300"/>
      <c r="W256" s="300"/>
      <c r="X256" s="300"/>
      <c r="Y256" s="300"/>
      <c r="Z256" s="300"/>
    </row>
    <row r="257" spans="1:26">
      <c r="A257" s="215" t="s">
        <v>4298</v>
      </c>
      <c r="B257" s="207">
        <v>660</v>
      </c>
      <c r="C257" s="215" t="s">
        <v>6258</v>
      </c>
      <c r="D257" s="215" t="s">
        <v>7066</v>
      </c>
      <c r="E257" s="215" t="s">
        <v>7067</v>
      </c>
      <c r="F257" s="215" t="s">
        <v>6974</v>
      </c>
      <c r="G257" s="215" t="s">
        <v>6975</v>
      </c>
      <c r="H257" s="215" t="s">
        <v>6497</v>
      </c>
      <c r="I257" s="300"/>
      <c r="J257" s="300"/>
      <c r="K257" s="300"/>
      <c r="L257" s="300"/>
      <c r="M257" s="300"/>
      <c r="N257" s="300"/>
      <c r="O257" s="300"/>
      <c r="P257" s="300"/>
      <c r="Q257" s="300"/>
      <c r="R257" s="300"/>
      <c r="S257" s="300"/>
      <c r="T257" s="300"/>
      <c r="U257" s="300"/>
      <c r="V257" s="300"/>
      <c r="W257" s="300"/>
      <c r="X257" s="300"/>
      <c r="Y257" s="300"/>
      <c r="Z257" s="300"/>
    </row>
    <row r="258" spans="1:26">
      <c r="A258" s="215" t="s">
        <v>3881</v>
      </c>
      <c r="B258" s="207">
        <v>663</v>
      </c>
      <c r="C258" s="215" t="s">
        <v>4964</v>
      </c>
      <c r="D258" s="215" t="s">
        <v>7068</v>
      </c>
      <c r="E258" s="215" t="s">
        <v>7069</v>
      </c>
      <c r="F258" s="215" t="s">
        <v>6974</v>
      </c>
      <c r="G258" s="215" t="s">
        <v>6975</v>
      </c>
      <c r="H258" s="215" t="s">
        <v>6500</v>
      </c>
      <c r="I258" s="300"/>
      <c r="J258" s="300"/>
      <c r="K258" s="300"/>
      <c r="L258" s="300"/>
      <c r="M258" s="300"/>
      <c r="N258" s="300"/>
      <c r="O258" s="300"/>
      <c r="P258" s="300"/>
      <c r="Q258" s="300"/>
      <c r="R258" s="300"/>
      <c r="S258" s="300"/>
      <c r="T258" s="300"/>
      <c r="U258" s="300"/>
      <c r="V258" s="300"/>
      <c r="W258" s="300"/>
      <c r="X258" s="300"/>
      <c r="Y258" s="300"/>
      <c r="Z258" s="300"/>
    </row>
    <row r="259" spans="1:26">
      <c r="A259" s="215" t="s">
        <v>4469</v>
      </c>
      <c r="B259" s="207">
        <v>664</v>
      </c>
      <c r="C259" s="215" t="s">
        <v>6396</v>
      </c>
      <c r="D259" s="215" t="s">
        <v>7070</v>
      </c>
      <c r="E259" s="215" t="s">
        <v>7070</v>
      </c>
      <c r="F259" s="215" t="s">
        <v>6974</v>
      </c>
      <c r="G259" s="215" t="s">
        <v>6975</v>
      </c>
      <c r="H259" s="215" t="s">
        <v>6497</v>
      </c>
      <c r="I259" s="300"/>
      <c r="J259" s="300"/>
      <c r="K259" s="300"/>
      <c r="L259" s="300"/>
      <c r="M259" s="300"/>
      <c r="N259" s="300"/>
      <c r="O259" s="300"/>
      <c r="P259" s="300"/>
      <c r="Q259" s="300"/>
      <c r="R259" s="300"/>
      <c r="S259" s="300"/>
      <c r="T259" s="300"/>
      <c r="U259" s="300"/>
      <c r="V259" s="300"/>
      <c r="W259" s="300"/>
      <c r="X259" s="300"/>
      <c r="Y259" s="300"/>
      <c r="Z259" s="300"/>
    </row>
    <row r="260" spans="1:26">
      <c r="A260" s="215" t="s">
        <v>2696</v>
      </c>
      <c r="B260" s="207">
        <v>761</v>
      </c>
      <c r="C260" s="215" t="s">
        <v>7071</v>
      </c>
      <c r="D260" s="215" t="s">
        <v>7072</v>
      </c>
      <c r="E260" s="215" t="s">
        <v>7073</v>
      </c>
      <c r="F260" s="215" t="s">
        <v>6974</v>
      </c>
      <c r="G260" s="215" t="s">
        <v>6975</v>
      </c>
      <c r="H260" s="215" t="s">
        <v>6521</v>
      </c>
      <c r="I260" s="300"/>
      <c r="J260" s="300"/>
      <c r="K260" s="300"/>
      <c r="L260" s="300"/>
      <c r="M260" s="300"/>
      <c r="N260" s="300"/>
      <c r="O260" s="300"/>
      <c r="P260" s="300"/>
      <c r="Q260" s="300"/>
      <c r="R260" s="300"/>
      <c r="S260" s="300"/>
      <c r="T260" s="300"/>
      <c r="U260" s="300"/>
      <c r="V260" s="300"/>
      <c r="W260" s="300"/>
      <c r="X260" s="300"/>
      <c r="Y260" s="300"/>
      <c r="Z260" s="300"/>
    </row>
    <row r="261" spans="1:26">
      <c r="A261" s="215" t="s">
        <v>3429</v>
      </c>
      <c r="B261" s="207">
        <v>995</v>
      </c>
      <c r="C261" s="215" t="s">
        <v>7074</v>
      </c>
      <c r="D261" s="215" t="s">
        <v>7075</v>
      </c>
      <c r="E261" s="215" t="s">
        <v>7076</v>
      </c>
      <c r="F261" s="215" t="s">
        <v>6974</v>
      </c>
      <c r="G261" s="215" t="s">
        <v>6975</v>
      </c>
      <c r="H261" s="215" t="s">
        <v>6497</v>
      </c>
      <c r="I261" s="300"/>
      <c r="J261" s="300"/>
      <c r="K261" s="300"/>
      <c r="L261" s="300"/>
      <c r="M261" s="300"/>
      <c r="N261" s="300"/>
      <c r="O261" s="300"/>
      <c r="P261" s="300"/>
      <c r="Q261" s="300"/>
      <c r="R261" s="300"/>
      <c r="S261" s="300"/>
      <c r="T261" s="300"/>
      <c r="U261" s="300"/>
      <c r="V261" s="300"/>
      <c r="W261" s="300"/>
      <c r="X261" s="300"/>
      <c r="Y261" s="300"/>
      <c r="Z261" s="300"/>
    </row>
    <row r="262" spans="1:26">
      <c r="A262" s="215" t="s">
        <v>3495</v>
      </c>
      <c r="B262" s="207">
        <v>1235</v>
      </c>
      <c r="C262" s="215" t="s">
        <v>7077</v>
      </c>
      <c r="D262" s="215" t="s">
        <v>7078</v>
      </c>
      <c r="E262" s="215" t="s">
        <v>7079</v>
      </c>
      <c r="F262" s="215" t="s">
        <v>6974</v>
      </c>
      <c r="G262" s="215" t="s">
        <v>6975</v>
      </c>
      <c r="H262" s="215" t="s">
        <v>6521</v>
      </c>
      <c r="I262" s="300"/>
      <c r="J262" s="300"/>
      <c r="K262" s="300"/>
      <c r="L262" s="300"/>
      <c r="M262" s="300"/>
      <c r="N262" s="300"/>
      <c r="O262" s="300"/>
      <c r="P262" s="300"/>
      <c r="Q262" s="300"/>
      <c r="R262" s="300"/>
      <c r="S262" s="300"/>
      <c r="T262" s="300"/>
      <c r="U262" s="300"/>
      <c r="V262" s="300"/>
      <c r="W262" s="300"/>
      <c r="X262" s="300"/>
      <c r="Y262" s="300"/>
      <c r="Z262" s="300"/>
    </row>
    <row r="263" spans="1:26">
      <c r="A263" s="215" t="s">
        <v>3470</v>
      </c>
      <c r="B263" s="207">
        <v>1236</v>
      </c>
      <c r="C263" s="215" t="s">
        <v>7080</v>
      </c>
      <c r="D263" s="215" t="s">
        <v>7081</v>
      </c>
      <c r="E263" s="215" t="s">
        <v>7081</v>
      </c>
      <c r="F263" s="215" t="s">
        <v>6974</v>
      </c>
      <c r="G263" s="215" t="s">
        <v>6975</v>
      </c>
      <c r="H263" s="215" t="s">
        <v>6521</v>
      </c>
      <c r="I263" s="300"/>
      <c r="J263" s="300"/>
      <c r="K263" s="300"/>
      <c r="L263" s="300"/>
      <c r="M263" s="300"/>
      <c r="N263" s="300"/>
      <c r="O263" s="300"/>
      <c r="P263" s="300"/>
      <c r="Q263" s="300"/>
      <c r="R263" s="300"/>
      <c r="S263" s="300"/>
      <c r="T263" s="300"/>
      <c r="U263" s="300"/>
      <c r="V263" s="300"/>
      <c r="W263" s="300"/>
      <c r="X263" s="300"/>
      <c r="Y263" s="300"/>
      <c r="Z263" s="300"/>
    </row>
    <row r="264" spans="1:26">
      <c r="A264" s="215" t="s">
        <v>3327</v>
      </c>
      <c r="B264" s="207">
        <v>1237</v>
      </c>
      <c r="C264" s="215" t="s">
        <v>7082</v>
      </c>
      <c r="D264" s="215" t="s">
        <v>7083</v>
      </c>
      <c r="E264" s="215" t="s">
        <v>7083</v>
      </c>
      <c r="F264" s="215" t="s">
        <v>6974</v>
      </c>
      <c r="G264" s="215" t="s">
        <v>6975</v>
      </c>
      <c r="H264" s="215" t="s">
        <v>6521</v>
      </c>
      <c r="I264" s="300"/>
      <c r="J264" s="300"/>
      <c r="K264" s="300"/>
      <c r="L264" s="300"/>
      <c r="M264" s="300"/>
      <c r="N264" s="300"/>
      <c r="O264" s="300"/>
      <c r="P264" s="300"/>
      <c r="Q264" s="300"/>
      <c r="R264" s="300"/>
      <c r="S264" s="300"/>
      <c r="T264" s="300"/>
      <c r="U264" s="300"/>
      <c r="V264" s="300"/>
      <c r="W264" s="300"/>
      <c r="X264" s="300"/>
      <c r="Y264" s="300"/>
      <c r="Z264" s="300"/>
    </row>
    <row r="265" spans="1:26">
      <c r="A265" s="215" t="s">
        <v>4163</v>
      </c>
      <c r="B265" s="207">
        <v>1238</v>
      </c>
      <c r="C265" s="215" t="s">
        <v>6151</v>
      </c>
      <c r="D265" s="215" t="s">
        <v>7084</v>
      </c>
      <c r="E265" s="215" t="s">
        <v>7084</v>
      </c>
      <c r="F265" s="215" t="s">
        <v>6974</v>
      </c>
      <c r="G265" s="215" t="s">
        <v>6975</v>
      </c>
      <c r="H265" s="215" t="s">
        <v>6521</v>
      </c>
      <c r="I265" s="300"/>
      <c r="J265" s="300"/>
      <c r="K265" s="300"/>
      <c r="L265" s="300"/>
      <c r="M265" s="300"/>
      <c r="N265" s="300"/>
      <c r="O265" s="300"/>
      <c r="P265" s="300"/>
      <c r="Q265" s="300"/>
      <c r="R265" s="300"/>
      <c r="S265" s="300"/>
      <c r="T265" s="300"/>
      <c r="U265" s="300"/>
      <c r="V265" s="300"/>
      <c r="W265" s="300"/>
      <c r="X265" s="300"/>
      <c r="Y265" s="300"/>
      <c r="Z265" s="300"/>
    </row>
    <row r="266" spans="1:26">
      <c r="A266" s="215" t="s">
        <v>4344</v>
      </c>
      <c r="B266" s="207">
        <v>1239</v>
      </c>
      <c r="C266" s="215" t="s">
        <v>6296</v>
      </c>
      <c r="D266" s="215" t="s">
        <v>7085</v>
      </c>
      <c r="E266" s="215" t="s">
        <v>6296</v>
      </c>
      <c r="F266" s="215" t="s">
        <v>6974</v>
      </c>
      <c r="G266" s="215" t="s">
        <v>6975</v>
      </c>
      <c r="H266" s="215" t="s">
        <v>6521</v>
      </c>
      <c r="I266" s="300"/>
      <c r="J266" s="300"/>
      <c r="K266" s="300"/>
      <c r="L266" s="300"/>
      <c r="M266" s="300"/>
      <c r="N266" s="300"/>
      <c r="O266" s="300"/>
      <c r="P266" s="300"/>
      <c r="Q266" s="300"/>
      <c r="R266" s="300"/>
      <c r="S266" s="300"/>
      <c r="T266" s="300"/>
      <c r="U266" s="300"/>
      <c r="V266" s="300"/>
      <c r="W266" s="300"/>
      <c r="X266" s="300"/>
      <c r="Y266" s="300"/>
      <c r="Z266" s="300"/>
    </row>
    <row r="267" spans="1:26">
      <c r="A267" s="215" t="s">
        <v>4413</v>
      </c>
      <c r="B267" s="207">
        <v>1240</v>
      </c>
      <c r="C267" s="215" t="s">
        <v>7086</v>
      </c>
      <c r="D267" s="215" t="s">
        <v>7087</v>
      </c>
      <c r="E267" s="215" t="s">
        <v>7087</v>
      </c>
      <c r="F267" s="215" t="s">
        <v>6974</v>
      </c>
      <c r="G267" s="215" t="s">
        <v>6975</v>
      </c>
      <c r="H267" s="215" t="s">
        <v>6521</v>
      </c>
      <c r="I267" s="300"/>
      <c r="J267" s="300"/>
      <c r="K267" s="300"/>
      <c r="L267" s="300"/>
      <c r="M267" s="300"/>
      <c r="N267" s="300"/>
      <c r="O267" s="300"/>
      <c r="P267" s="300"/>
      <c r="Q267" s="300"/>
      <c r="R267" s="300"/>
      <c r="S267" s="300"/>
      <c r="T267" s="300"/>
      <c r="U267" s="300"/>
      <c r="V267" s="300"/>
      <c r="W267" s="300"/>
      <c r="X267" s="300"/>
      <c r="Y267" s="300"/>
      <c r="Z267" s="300"/>
    </row>
    <row r="268" spans="1:26">
      <c r="A268" s="215" t="s">
        <v>3470</v>
      </c>
      <c r="B268" s="207">
        <v>1451</v>
      </c>
      <c r="C268" s="215" t="s">
        <v>5583</v>
      </c>
      <c r="D268" s="215" t="s">
        <v>7088</v>
      </c>
      <c r="E268" s="215" t="s">
        <v>7088</v>
      </c>
      <c r="F268" s="215" t="s">
        <v>6974</v>
      </c>
      <c r="G268" s="215" t="s">
        <v>6975</v>
      </c>
      <c r="H268" s="215" t="s">
        <v>6521</v>
      </c>
      <c r="I268" s="300"/>
      <c r="J268" s="300"/>
      <c r="K268" s="300"/>
      <c r="L268" s="300"/>
      <c r="M268" s="300"/>
      <c r="N268" s="300"/>
      <c r="O268" s="300"/>
      <c r="P268" s="300"/>
      <c r="Q268" s="300"/>
      <c r="R268" s="300"/>
      <c r="S268" s="300"/>
      <c r="T268" s="300"/>
      <c r="U268" s="300"/>
      <c r="V268" s="300"/>
      <c r="W268" s="300"/>
      <c r="X268" s="300"/>
      <c r="Y268" s="300"/>
      <c r="Z268" s="300"/>
    </row>
    <row r="269" spans="1:26">
      <c r="A269" s="215" t="s">
        <v>3720</v>
      </c>
      <c r="B269" s="207">
        <v>1457</v>
      </c>
      <c r="C269" s="215" t="s">
        <v>5806</v>
      </c>
      <c r="D269" s="215" t="s">
        <v>7089</v>
      </c>
      <c r="E269" s="215" t="s">
        <v>7089</v>
      </c>
      <c r="F269" s="215" t="s">
        <v>6974</v>
      </c>
      <c r="G269" s="215" t="s">
        <v>6975</v>
      </c>
      <c r="H269" s="215" t="s">
        <v>6500</v>
      </c>
      <c r="I269" s="300"/>
      <c r="J269" s="300"/>
      <c r="K269" s="300"/>
      <c r="L269" s="300"/>
      <c r="M269" s="300"/>
      <c r="N269" s="300"/>
      <c r="O269" s="300"/>
      <c r="P269" s="300"/>
      <c r="Q269" s="300"/>
      <c r="R269" s="300"/>
      <c r="S269" s="300"/>
      <c r="T269" s="300"/>
      <c r="U269" s="300"/>
      <c r="V269" s="300"/>
      <c r="W269" s="300"/>
      <c r="X269" s="300"/>
      <c r="Y269" s="300"/>
      <c r="Z269" s="300"/>
    </row>
    <row r="270" spans="1:26">
      <c r="A270" s="215" t="s">
        <v>2686</v>
      </c>
      <c r="B270" s="207">
        <v>1507</v>
      </c>
      <c r="C270" s="215" t="s">
        <v>4857</v>
      </c>
      <c r="D270" s="215" t="s">
        <v>7090</v>
      </c>
      <c r="E270" s="215" t="s">
        <v>7090</v>
      </c>
      <c r="F270" s="215" t="s">
        <v>6974</v>
      </c>
      <c r="G270" s="215" t="s">
        <v>6975</v>
      </c>
      <c r="H270" s="215" t="s">
        <v>6497</v>
      </c>
      <c r="I270" s="300"/>
      <c r="J270" s="300"/>
      <c r="K270" s="300"/>
      <c r="L270" s="300"/>
      <c r="M270" s="300"/>
      <c r="N270" s="300"/>
      <c r="O270" s="300"/>
      <c r="P270" s="300"/>
      <c r="Q270" s="300"/>
      <c r="R270" s="300"/>
      <c r="S270" s="300"/>
      <c r="T270" s="300"/>
      <c r="U270" s="300"/>
      <c r="V270" s="300"/>
      <c r="W270" s="300"/>
      <c r="X270" s="300"/>
      <c r="Y270" s="300"/>
      <c r="Z270" s="300"/>
    </row>
    <row r="271" spans="1:26">
      <c r="A271" s="215" t="s">
        <v>3638</v>
      </c>
      <c r="B271" s="207">
        <v>1508</v>
      </c>
      <c r="C271" s="215" t="s">
        <v>5735</v>
      </c>
      <c r="D271" s="215" t="s">
        <v>7091</v>
      </c>
      <c r="E271" s="215" t="s">
        <v>7092</v>
      </c>
      <c r="F271" s="215" t="s">
        <v>6974</v>
      </c>
      <c r="G271" s="215" t="s">
        <v>6975</v>
      </c>
      <c r="H271" s="215" t="s">
        <v>6521</v>
      </c>
      <c r="I271" s="300"/>
      <c r="J271" s="300"/>
      <c r="K271" s="300"/>
      <c r="L271" s="300"/>
      <c r="M271" s="300"/>
      <c r="N271" s="300"/>
      <c r="O271" s="300"/>
      <c r="P271" s="300"/>
      <c r="Q271" s="300"/>
      <c r="R271" s="300"/>
      <c r="S271" s="300"/>
      <c r="T271" s="300"/>
      <c r="U271" s="300"/>
      <c r="V271" s="300"/>
      <c r="W271" s="300"/>
      <c r="X271" s="300"/>
      <c r="Y271" s="300"/>
      <c r="Z271" s="300"/>
    </row>
    <row r="272" spans="1:26">
      <c r="A272" s="215" t="s">
        <v>4509</v>
      </c>
      <c r="B272" s="207">
        <v>1509</v>
      </c>
      <c r="C272" s="215" t="s">
        <v>7093</v>
      </c>
      <c r="D272" s="215" t="s">
        <v>7094</v>
      </c>
      <c r="E272" s="215" t="s">
        <v>7095</v>
      </c>
      <c r="F272" s="215" t="s">
        <v>6974</v>
      </c>
      <c r="G272" s="215" t="s">
        <v>6975</v>
      </c>
      <c r="H272" s="215" t="s">
        <v>6497</v>
      </c>
      <c r="I272" s="300"/>
      <c r="J272" s="300"/>
      <c r="K272" s="300"/>
      <c r="L272" s="300"/>
      <c r="M272" s="300"/>
      <c r="N272" s="300"/>
      <c r="O272" s="300"/>
      <c r="P272" s="300"/>
      <c r="Q272" s="300"/>
      <c r="R272" s="300"/>
      <c r="S272" s="300"/>
      <c r="T272" s="300"/>
      <c r="U272" s="300"/>
      <c r="V272" s="300"/>
      <c r="W272" s="300"/>
      <c r="X272" s="300"/>
      <c r="Y272" s="300"/>
      <c r="Z272" s="300"/>
    </row>
    <row r="273" spans="1:26">
      <c r="A273" s="215" t="s">
        <v>3337</v>
      </c>
      <c r="B273" s="207">
        <v>1510</v>
      </c>
      <c r="C273" s="215" t="s">
        <v>5462</v>
      </c>
      <c r="D273" s="215" t="s">
        <v>7096</v>
      </c>
      <c r="E273" s="215" t="s">
        <v>7097</v>
      </c>
      <c r="F273" s="215" t="s">
        <v>6974</v>
      </c>
      <c r="G273" s="215" t="s">
        <v>6975</v>
      </c>
      <c r="H273" s="215" t="s">
        <v>6521</v>
      </c>
      <c r="I273" s="300"/>
      <c r="J273" s="300"/>
      <c r="K273" s="300"/>
      <c r="L273" s="300"/>
      <c r="M273" s="300"/>
      <c r="N273" s="300"/>
      <c r="O273" s="300"/>
      <c r="P273" s="300"/>
      <c r="Q273" s="300"/>
      <c r="R273" s="300"/>
      <c r="S273" s="300"/>
      <c r="T273" s="300"/>
      <c r="U273" s="300"/>
      <c r="V273" s="300"/>
      <c r="W273" s="300"/>
      <c r="X273" s="300"/>
      <c r="Y273" s="300"/>
      <c r="Z273" s="300"/>
    </row>
    <row r="274" spans="1:26">
      <c r="A274" s="215"/>
      <c r="B274" s="207">
        <v>1615</v>
      </c>
      <c r="C274" s="215" t="s">
        <v>7098</v>
      </c>
      <c r="D274" s="215" t="s">
        <v>7099</v>
      </c>
      <c r="E274" s="215" t="s">
        <v>7100</v>
      </c>
      <c r="F274" s="215" t="s">
        <v>6974</v>
      </c>
      <c r="G274" s="215" t="s">
        <v>6975</v>
      </c>
      <c r="H274" s="215" t="s">
        <v>6497</v>
      </c>
      <c r="I274" s="300"/>
      <c r="J274" s="300"/>
      <c r="K274" s="300"/>
      <c r="L274" s="300"/>
      <c r="M274" s="300"/>
      <c r="N274" s="300"/>
      <c r="O274" s="300"/>
      <c r="P274" s="300"/>
      <c r="Q274" s="300"/>
      <c r="R274" s="300"/>
      <c r="S274" s="300"/>
      <c r="T274" s="300"/>
      <c r="U274" s="300"/>
      <c r="V274" s="300"/>
      <c r="W274" s="300"/>
      <c r="X274" s="300"/>
      <c r="Y274" s="300"/>
      <c r="Z274" s="300"/>
    </row>
    <row r="275" spans="1:26">
      <c r="A275" s="215" t="s">
        <v>3301</v>
      </c>
      <c r="B275" s="207">
        <v>1616</v>
      </c>
      <c r="C275" s="215" t="s">
        <v>7101</v>
      </c>
      <c r="D275" s="215" t="s">
        <v>7102</v>
      </c>
      <c r="E275" s="215" t="s">
        <v>7103</v>
      </c>
      <c r="F275" s="215" t="s">
        <v>6974</v>
      </c>
      <c r="G275" s="215" t="s">
        <v>6975</v>
      </c>
      <c r="H275" s="215" t="s">
        <v>6504</v>
      </c>
      <c r="I275" s="300"/>
      <c r="J275" s="300"/>
      <c r="K275" s="300"/>
      <c r="L275" s="300"/>
      <c r="M275" s="300"/>
      <c r="N275" s="300"/>
      <c r="O275" s="300"/>
      <c r="P275" s="300"/>
      <c r="Q275" s="300"/>
      <c r="R275" s="300"/>
      <c r="S275" s="300"/>
      <c r="T275" s="300"/>
      <c r="U275" s="300"/>
      <c r="V275" s="300"/>
      <c r="W275" s="300"/>
      <c r="X275" s="300"/>
      <c r="Y275" s="300"/>
      <c r="Z275" s="300"/>
    </row>
    <row r="276" spans="1:26">
      <c r="A276" s="215" t="s">
        <v>2709</v>
      </c>
      <c r="B276" s="207">
        <v>1617</v>
      </c>
      <c r="C276" s="215" t="s">
        <v>4872</v>
      </c>
      <c r="D276" s="215" t="s">
        <v>7104</v>
      </c>
      <c r="E276" s="215" t="s">
        <v>7105</v>
      </c>
      <c r="F276" s="215" t="s">
        <v>6974</v>
      </c>
      <c r="G276" s="215" t="s">
        <v>6975</v>
      </c>
      <c r="H276" s="215" t="s">
        <v>6521</v>
      </c>
      <c r="I276" s="300"/>
      <c r="J276" s="300"/>
      <c r="K276" s="300"/>
      <c r="L276" s="300"/>
      <c r="M276" s="300"/>
      <c r="N276" s="300"/>
      <c r="O276" s="300"/>
      <c r="P276" s="300"/>
      <c r="Q276" s="300"/>
      <c r="R276" s="300"/>
      <c r="S276" s="300"/>
      <c r="T276" s="300"/>
      <c r="U276" s="300"/>
      <c r="V276" s="300"/>
      <c r="W276" s="300"/>
      <c r="X276" s="300"/>
      <c r="Y276" s="300"/>
      <c r="Z276" s="300"/>
    </row>
    <row r="277" spans="1:26">
      <c r="A277" s="215" t="s">
        <v>3468</v>
      </c>
      <c r="B277" s="207">
        <v>1618</v>
      </c>
      <c r="C277" s="215" t="s">
        <v>7106</v>
      </c>
      <c r="D277" s="215" t="s">
        <v>7107</v>
      </c>
      <c r="E277" s="215" t="s">
        <v>7108</v>
      </c>
      <c r="F277" s="215" t="s">
        <v>6974</v>
      </c>
      <c r="G277" s="215" t="s">
        <v>6975</v>
      </c>
      <c r="H277" s="215" t="s">
        <v>6497</v>
      </c>
      <c r="I277" s="300"/>
      <c r="J277" s="300"/>
      <c r="K277" s="300"/>
      <c r="L277" s="300"/>
      <c r="M277" s="300"/>
      <c r="N277" s="300"/>
      <c r="O277" s="300"/>
      <c r="P277" s="300"/>
      <c r="Q277" s="300"/>
      <c r="R277" s="300"/>
      <c r="S277" s="300"/>
      <c r="T277" s="300"/>
      <c r="U277" s="300"/>
      <c r="V277" s="300"/>
      <c r="W277" s="300"/>
      <c r="X277" s="300"/>
      <c r="Y277" s="300"/>
      <c r="Z277" s="300"/>
    </row>
    <row r="278" spans="1:26">
      <c r="A278" s="215"/>
      <c r="B278" s="207">
        <v>1619</v>
      </c>
      <c r="C278" s="215" t="s">
        <v>7109</v>
      </c>
      <c r="D278" s="215" t="s">
        <v>7110</v>
      </c>
      <c r="E278" s="215" t="s">
        <v>7111</v>
      </c>
      <c r="F278" s="215" t="s">
        <v>6974</v>
      </c>
      <c r="G278" s="215" t="s">
        <v>6975</v>
      </c>
      <c r="H278" s="215" t="s">
        <v>6497</v>
      </c>
      <c r="I278" s="300"/>
      <c r="J278" s="300"/>
      <c r="K278" s="300"/>
      <c r="L278" s="300"/>
      <c r="M278" s="300"/>
      <c r="N278" s="300"/>
      <c r="O278" s="300"/>
      <c r="P278" s="300"/>
      <c r="Q278" s="300"/>
      <c r="R278" s="300"/>
      <c r="S278" s="300"/>
      <c r="T278" s="300"/>
      <c r="U278" s="300"/>
      <c r="V278" s="300"/>
      <c r="W278" s="300"/>
      <c r="X278" s="300"/>
      <c r="Y278" s="300"/>
      <c r="Z278" s="300"/>
    </row>
    <row r="279" spans="1:26">
      <c r="A279" s="215" t="s">
        <v>7112</v>
      </c>
      <c r="B279" s="207">
        <v>1621</v>
      </c>
      <c r="C279" s="215" t="s">
        <v>7113</v>
      </c>
      <c r="D279" s="215" t="s">
        <v>7114</v>
      </c>
      <c r="E279" s="215" t="s">
        <v>7115</v>
      </c>
      <c r="F279" s="215" t="s">
        <v>6974</v>
      </c>
      <c r="G279" s="215" t="s">
        <v>6975</v>
      </c>
      <c r="H279" s="215" t="s">
        <v>6521</v>
      </c>
      <c r="I279" s="300"/>
      <c r="J279" s="300"/>
      <c r="K279" s="300"/>
      <c r="L279" s="300"/>
      <c r="M279" s="300"/>
      <c r="N279" s="300"/>
      <c r="O279" s="300"/>
      <c r="P279" s="300"/>
      <c r="Q279" s="300"/>
      <c r="R279" s="300"/>
      <c r="S279" s="300"/>
      <c r="T279" s="300"/>
      <c r="U279" s="300"/>
      <c r="V279" s="300"/>
      <c r="W279" s="300"/>
      <c r="X279" s="300"/>
      <c r="Y279" s="300"/>
      <c r="Z279" s="300"/>
    </row>
    <row r="280" spans="1:26">
      <c r="A280" s="215" t="s">
        <v>4144</v>
      </c>
      <c r="B280" s="207">
        <v>1622</v>
      </c>
      <c r="C280" s="215" t="s">
        <v>6135</v>
      </c>
      <c r="D280" s="215" t="s">
        <v>7116</v>
      </c>
      <c r="E280" s="215" t="s">
        <v>7116</v>
      </c>
      <c r="F280" s="215" t="s">
        <v>6974</v>
      </c>
      <c r="G280" s="215" t="s">
        <v>6975</v>
      </c>
      <c r="H280" s="215" t="s">
        <v>6521</v>
      </c>
      <c r="I280" s="300"/>
      <c r="J280" s="300"/>
      <c r="K280" s="300"/>
      <c r="L280" s="300"/>
      <c r="M280" s="300"/>
      <c r="N280" s="300"/>
      <c r="O280" s="300"/>
      <c r="P280" s="300"/>
      <c r="Q280" s="300"/>
      <c r="R280" s="300"/>
      <c r="S280" s="300"/>
      <c r="T280" s="300"/>
      <c r="U280" s="300"/>
      <c r="V280" s="300"/>
      <c r="W280" s="300"/>
      <c r="X280" s="300"/>
      <c r="Y280" s="300"/>
      <c r="Z280" s="300"/>
    </row>
    <row r="281" spans="1:26">
      <c r="A281" s="215" t="s">
        <v>4039</v>
      </c>
      <c r="B281" s="207">
        <v>1623</v>
      </c>
      <c r="C281" s="215" t="s">
        <v>6064</v>
      </c>
      <c r="D281" s="215" t="s">
        <v>7117</v>
      </c>
      <c r="E281" s="215" t="s">
        <v>7118</v>
      </c>
      <c r="F281" s="215" t="s">
        <v>6974</v>
      </c>
      <c r="G281" s="215" t="s">
        <v>6975</v>
      </c>
      <c r="H281" s="215" t="s">
        <v>6497</v>
      </c>
      <c r="I281" s="300"/>
      <c r="J281" s="300"/>
      <c r="K281" s="300"/>
      <c r="L281" s="300"/>
      <c r="M281" s="300"/>
      <c r="N281" s="300"/>
      <c r="O281" s="300"/>
      <c r="P281" s="300"/>
      <c r="Q281" s="300"/>
      <c r="R281" s="300"/>
      <c r="S281" s="300"/>
      <c r="T281" s="300"/>
      <c r="U281" s="300"/>
      <c r="V281" s="300"/>
      <c r="W281" s="300"/>
      <c r="X281" s="300"/>
      <c r="Y281" s="300"/>
      <c r="Z281" s="300"/>
    </row>
    <row r="282" spans="1:26">
      <c r="A282" s="215"/>
      <c r="B282" s="207">
        <v>1624</v>
      </c>
      <c r="C282" s="215" t="s">
        <v>7119</v>
      </c>
      <c r="D282" s="215" t="s">
        <v>7120</v>
      </c>
      <c r="E282" s="215" t="s">
        <v>7120</v>
      </c>
      <c r="F282" s="215" t="s">
        <v>6974</v>
      </c>
      <c r="G282" s="215" t="s">
        <v>6975</v>
      </c>
      <c r="H282" s="215" t="s">
        <v>6548</v>
      </c>
      <c r="I282" s="300"/>
      <c r="J282" s="300"/>
      <c r="K282" s="300"/>
      <c r="L282" s="300"/>
      <c r="M282" s="300"/>
      <c r="N282" s="300"/>
      <c r="O282" s="300"/>
      <c r="P282" s="300"/>
      <c r="Q282" s="300"/>
      <c r="R282" s="300"/>
      <c r="S282" s="300"/>
      <c r="T282" s="300"/>
      <c r="U282" s="300"/>
      <c r="V282" s="300"/>
      <c r="W282" s="300"/>
      <c r="X282" s="300"/>
      <c r="Y282" s="300"/>
      <c r="Z282" s="300"/>
    </row>
    <row r="283" spans="1:26">
      <c r="A283" s="215" t="s">
        <v>4296</v>
      </c>
      <c r="B283" s="207">
        <v>1625</v>
      </c>
      <c r="C283" s="215" t="s">
        <v>7121</v>
      </c>
      <c r="D283" s="215" t="s">
        <v>7122</v>
      </c>
      <c r="E283" s="215" t="s">
        <v>7122</v>
      </c>
      <c r="F283" s="215" t="s">
        <v>6974</v>
      </c>
      <c r="G283" s="215" t="s">
        <v>6975</v>
      </c>
      <c r="H283" s="215" t="s">
        <v>6500</v>
      </c>
      <c r="I283" s="300"/>
      <c r="J283" s="300"/>
      <c r="K283" s="300"/>
      <c r="L283" s="300"/>
      <c r="M283" s="300"/>
      <c r="N283" s="300"/>
      <c r="O283" s="300"/>
      <c r="P283" s="300"/>
      <c r="Q283" s="300"/>
      <c r="R283" s="300"/>
      <c r="S283" s="300"/>
      <c r="T283" s="300"/>
      <c r="U283" s="300"/>
      <c r="V283" s="300"/>
      <c r="W283" s="300"/>
      <c r="X283" s="300"/>
      <c r="Y283" s="300"/>
      <c r="Z283" s="300"/>
    </row>
    <row r="284" spans="1:26">
      <c r="A284" s="215" t="s">
        <v>3196</v>
      </c>
      <c r="B284" s="207">
        <v>1626</v>
      </c>
      <c r="C284" s="215" t="s">
        <v>5325</v>
      </c>
      <c r="D284" s="215" t="s">
        <v>7123</v>
      </c>
      <c r="E284" s="215" t="s">
        <v>7123</v>
      </c>
      <c r="F284" s="215" t="s">
        <v>6974</v>
      </c>
      <c r="G284" s="215" t="s">
        <v>6975</v>
      </c>
      <c r="H284" s="215" t="s">
        <v>6521</v>
      </c>
      <c r="I284" s="300"/>
      <c r="J284" s="300"/>
      <c r="K284" s="300"/>
      <c r="L284" s="300"/>
      <c r="M284" s="300"/>
      <c r="N284" s="300"/>
      <c r="O284" s="300"/>
      <c r="P284" s="300"/>
      <c r="Q284" s="300"/>
      <c r="R284" s="300"/>
      <c r="S284" s="300"/>
      <c r="T284" s="300"/>
      <c r="U284" s="300"/>
      <c r="V284" s="300"/>
      <c r="W284" s="300"/>
      <c r="X284" s="300"/>
      <c r="Y284" s="300"/>
      <c r="Z284" s="300"/>
    </row>
    <row r="285" spans="1:26">
      <c r="A285" s="215" t="s">
        <v>7124</v>
      </c>
      <c r="B285" s="207">
        <v>1627</v>
      </c>
      <c r="C285" s="215" t="s">
        <v>7125</v>
      </c>
      <c r="D285" s="215" t="s">
        <v>7126</v>
      </c>
      <c r="E285" s="215" t="s">
        <v>7127</v>
      </c>
      <c r="F285" s="215" t="s">
        <v>6974</v>
      </c>
      <c r="G285" s="215" t="s">
        <v>6975</v>
      </c>
      <c r="H285" s="215" t="s">
        <v>6521</v>
      </c>
      <c r="I285" s="300"/>
      <c r="J285" s="300"/>
      <c r="K285" s="300"/>
      <c r="L285" s="300"/>
      <c r="M285" s="300"/>
      <c r="N285" s="300"/>
      <c r="O285" s="300"/>
      <c r="P285" s="300"/>
      <c r="Q285" s="300"/>
      <c r="R285" s="300"/>
      <c r="S285" s="300"/>
      <c r="T285" s="300"/>
      <c r="U285" s="300"/>
      <c r="V285" s="300"/>
      <c r="W285" s="300"/>
      <c r="X285" s="300"/>
      <c r="Y285" s="300"/>
      <c r="Z285" s="300"/>
    </row>
    <row r="286" spans="1:26">
      <c r="A286" s="215" t="s">
        <v>3036</v>
      </c>
      <c r="B286" s="207">
        <v>1628</v>
      </c>
      <c r="C286" s="215" t="s">
        <v>7128</v>
      </c>
      <c r="D286" s="215" t="s">
        <v>7129</v>
      </c>
      <c r="E286" s="215" t="s">
        <v>7130</v>
      </c>
      <c r="F286" s="215" t="s">
        <v>6974</v>
      </c>
      <c r="G286" s="215" t="s">
        <v>6975</v>
      </c>
      <c r="H286" s="215" t="s">
        <v>6500</v>
      </c>
      <c r="I286" s="300"/>
      <c r="J286" s="300"/>
      <c r="K286" s="300"/>
      <c r="L286" s="300"/>
      <c r="M286" s="300"/>
      <c r="N286" s="300"/>
      <c r="O286" s="300"/>
      <c r="P286" s="300"/>
      <c r="Q286" s="300"/>
      <c r="R286" s="300"/>
      <c r="S286" s="300"/>
      <c r="T286" s="300"/>
      <c r="U286" s="300"/>
      <c r="V286" s="300"/>
      <c r="W286" s="300"/>
      <c r="X286" s="300"/>
      <c r="Y286" s="300"/>
      <c r="Z286" s="300"/>
    </row>
    <row r="287" spans="1:26">
      <c r="A287" s="215" t="s">
        <v>2704</v>
      </c>
      <c r="B287" s="207">
        <v>1629</v>
      </c>
      <c r="C287" s="215" t="s">
        <v>7131</v>
      </c>
      <c r="D287" s="215" t="s">
        <v>7132</v>
      </c>
      <c r="E287" s="215" t="s">
        <v>7133</v>
      </c>
      <c r="F287" s="215" t="s">
        <v>6974</v>
      </c>
      <c r="G287" s="215" t="s">
        <v>6975</v>
      </c>
      <c r="H287" s="215" t="s">
        <v>6548</v>
      </c>
      <c r="I287" s="300"/>
      <c r="J287" s="300"/>
      <c r="K287" s="300"/>
      <c r="L287" s="300"/>
      <c r="M287" s="300"/>
      <c r="N287" s="300"/>
      <c r="O287" s="300"/>
      <c r="P287" s="300"/>
      <c r="Q287" s="300"/>
      <c r="R287" s="300"/>
      <c r="S287" s="300"/>
      <c r="T287" s="300"/>
      <c r="U287" s="300"/>
      <c r="V287" s="300"/>
      <c r="W287" s="300"/>
      <c r="X287" s="300"/>
      <c r="Y287" s="300"/>
      <c r="Z287" s="300"/>
    </row>
    <row r="288" spans="1:26">
      <c r="A288" s="215" t="s">
        <v>3339</v>
      </c>
      <c r="B288" s="207">
        <v>1630</v>
      </c>
      <c r="C288" s="215" t="s">
        <v>5463</v>
      </c>
      <c r="D288" s="215" t="s">
        <v>7134</v>
      </c>
      <c r="E288" s="215" t="s">
        <v>7134</v>
      </c>
      <c r="F288" s="215" t="s">
        <v>6974</v>
      </c>
      <c r="G288" s="215" t="s">
        <v>6975</v>
      </c>
      <c r="H288" s="215" t="s">
        <v>6500</v>
      </c>
      <c r="I288" s="300"/>
      <c r="J288" s="300"/>
      <c r="K288" s="300"/>
      <c r="L288" s="300"/>
      <c r="M288" s="300"/>
      <c r="N288" s="300"/>
      <c r="O288" s="300"/>
      <c r="P288" s="300"/>
      <c r="Q288" s="300"/>
      <c r="R288" s="300"/>
      <c r="S288" s="300"/>
      <c r="T288" s="300"/>
      <c r="U288" s="300"/>
      <c r="V288" s="300"/>
      <c r="W288" s="300"/>
      <c r="X288" s="300"/>
      <c r="Y288" s="300"/>
      <c r="Z288" s="300"/>
    </row>
    <row r="289" spans="1:26">
      <c r="A289" s="215" t="s">
        <v>2924</v>
      </c>
      <c r="B289" s="207">
        <v>1631</v>
      </c>
      <c r="C289" s="215" t="s">
        <v>7135</v>
      </c>
      <c r="D289" s="215" t="s">
        <v>7136</v>
      </c>
      <c r="E289" s="215" t="s">
        <v>7137</v>
      </c>
      <c r="F289" s="215" t="s">
        <v>6974</v>
      </c>
      <c r="G289" s="215" t="s">
        <v>6975</v>
      </c>
      <c r="H289" s="215" t="s">
        <v>6521</v>
      </c>
      <c r="I289" s="300"/>
      <c r="J289" s="300"/>
      <c r="K289" s="300"/>
      <c r="L289" s="300"/>
      <c r="M289" s="300"/>
      <c r="N289" s="300"/>
      <c r="O289" s="300"/>
      <c r="P289" s="300"/>
      <c r="Q289" s="300"/>
      <c r="R289" s="300"/>
      <c r="S289" s="300"/>
      <c r="T289" s="300"/>
      <c r="U289" s="300"/>
      <c r="V289" s="300"/>
      <c r="W289" s="300"/>
      <c r="X289" s="300"/>
      <c r="Y289" s="300"/>
      <c r="Z289" s="300"/>
    </row>
    <row r="290" spans="1:26">
      <c r="A290" s="215" t="s">
        <v>4555</v>
      </c>
      <c r="B290" s="207">
        <v>1632</v>
      </c>
      <c r="C290" s="215" t="s">
        <v>6160</v>
      </c>
      <c r="D290" s="215" t="s">
        <v>7138</v>
      </c>
      <c r="E290" s="215" t="s">
        <v>7138</v>
      </c>
      <c r="F290" s="215" t="s">
        <v>6974</v>
      </c>
      <c r="G290" s="215" t="s">
        <v>6975</v>
      </c>
      <c r="H290" s="215" t="s">
        <v>6521</v>
      </c>
      <c r="I290" s="300"/>
      <c r="J290" s="300"/>
      <c r="K290" s="300"/>
      <c r="L290" s="300"/>
      <c r="M290" s="300"/>
      <c r="N290" s="300"/>
      <c r="O290" s="300"/>
      <c r="P290" s="300"/>
      <c r="Q290" s="300"/>
      <c r="R290" s="300"/>
      <c r="S290" s="300"/>
      <c r="T290" s="300"/>
      <c r="U290" s="300"/>
      <c r="V290" s="300"/>
      <c r="W290" s="300"/>
      <c r="X290" s="300"/>
      <c r="Y290" s="300"/>
      <c r="Z290" s="300"/>
    </row>
    <row r="291" spans="1:26">
      <c r="A291" s="215" t="s">
        <v>2663</v>
      </c>
      <c r="B291" s="207">
        <v>1658</v>
      </c>
      <c r="C291" s="215" t="s">
        <v>4835</v>
      </c>
      <c r="D291" s="215" t="s">
        <v>7139</v>
      </c>
      <c r="E291" s="215" t="s">
        <v>7139</v>
      </c>
      <c r="F291" s="215" t="s">
        <v>6974</v>
      </c>
      <c r="G291" s="215" t="s">
        <v>6975</v>
      </c>
      <c r="H291" s="215" t="s">
        <v>6548</v>
      </c>
      <c r="I291" s="300"/>
      <c r="J291" s="300"/>
      <c r="K291" s="300"/>
      <c r="L291" s="300"/>
      <c r="M291" s="300"/>
      <c r="N291" s="300"/>
      <c r="O291" s="300"/>
      <c r="P291" s="300"/>
      <c r="Q291" s="300"/>
      <c r="R291" s="300"/>
      <c r="S291" s="300"/>
      <c r="T291" s="300"/>
      <c r="U291" s="300"/>
      <c r="V291" s="300"/>
      <c r="W291" s="300"/>
      <c r="X291" s="300"/>
      <c r="Y291" s="300"/>
      <c r="Z291" s="300"/>
    </row>
    <row r="292" spans="1:26">
      <c r="A292" s="215" t="s">
        <v>2429</v>
      </c>
      <c r="B292" s="207">
        <v>1663</v>
      </c>
      <c r="C292" s="215" t="s">
        <v>4772</v>
      </c>
      <c r="D292" s="215" t="s">
        <v>7140</v>
      </c>
      <c r="E292" s="215" t="s">
        <v>7140</v>
      </c>
      <c r="F292" s="215" t="s">
        <v>6974</v>
      </c>
      <c r="G292" s="215" t="s">
        <v>6975</v>
      </c>
      <c r="H292" s="215" t="s">
        <v>6497</v>
      </c>
      <c r="I292" s="300"/>
      <c r="J292" s="300"/>
      <c r="K292" s="300"/>
      <c r="L292" s="300"/>
      <c r="M292" s="300"/>
      <c r="N292" s="300"/>
      <c r="O292" s="300"/>
      <c r="P292" s="300"/>
      <c r="Q292" s="300"/>
      <c r="R292" s="300"/>
      <c r="S292" s="300"/>
      <c r="T292" s="300"/>
      <c r="U292" s="300"/>
      <c r="V292" s="300"/>
      <c r="W292" s="300"/>
      <c r="X292" s="300"/>
      <c r="Y292" s="300"/>
      <c r="Z292" s="300"/>
    </row>
    <row r="293" spans="1:26">
      <c r="A293" s="215" t="s">
        <v>2432</v>
      </c>
      <c r="B293" s="207">
        <v>1665</v>
      </c>
      <c r="C293" s="215" t="s">
        <v>7141</v>
      </c>
      <c r="D293" s="215" t="s">
        <v>7142</v>
      </c>
      <c r="E293" s="215" t="s">
        <v>7143</v>
      </c>
      <c r="F293" s="215" t="s">
        <v>6974</v>
      </c>
      <c r="G293" s="215" t="s">
        <v>6975</v>
      </c>
      <c r="H293" s="215" t="s">
        <v>6521</v>
      </c>
      <c r="I293" s="300"/>
      <c r="J293" s="300"/>
      <c r="K293" s="300"/>
      <c r="L293" s="300"/>
      <c r="M293" s="300"/>
      <c r="N293" s="300"/>
      <c r="O293" s="300"/>
      <c r="P293" s="300"/>
      <c r="Q293" s="300"/>
      <c r="R293" s="300"/>
      <c r="S293" s="300"/>
      <c r="T293" s="300"/>
      <c r="U293" s="300"/>
      <c r="V293" s="300"/>
      <c r="W293" s="300"/>
      <c r="X293" s="300"/>
      <c r="Y293" s="300"/>
      <c r="Z293" s="300"/>
    </row>
    <row r="294" spans="1:26">
      <c r="A294" s="215" t="s">
        <v>3179</v>
      </c>
      <c r="B294" s="207">
        <v>1666</v>
      </c>
      <c r="C294" s="215" t="s">
        <v>7144</v>
      </c>
      <c r="D294" s="215" t="s">
        <v>7145</v>
      </c>
      <c r="E294" s="215" t="s">
        <v>7146</v>
      </c>
      <c r="F294" s="215" t="s">
        <v>6974</v>
      </c>
      <c r="G294" s="215" t="s">
        <v>6975</v>
      </c>
      <c r="H294" s="215" t="s">
        <v>6521</v>
      </c>
      <c r="I294" s="300"/>
      <c r="J294" s="300"/>
      <c r="K294" s="300"/>
      <c r="L294" s="300"/>
      <c r="M294" s="300"/>
      <c r="N294" s="300"/>
      <c r="O294" s="300"/>
      <c r="P294" s="300"/>
      <c r="Q294" s="300"/>
      <c r="R294" s="300"/>
      <c r="S294" s="300"/>
      <c r="T294" s="300"/>
      <c r="U294" s="300"/>
      <c r="V294" s="300"/>
      <c r="W294" s="300"/>
      <c r="X294" s="300"/>
      <c r="Y294" s="300"/>
      <c r="Z294" s="300"/>
    </row>
    <row r="295" spans="1:26">
      <c r="A295" s="215" t="s">
        <v>3197</v>
      </c>
      <c r="B295" s="207">
        <v>1667</v>
      </c>
      <c r="C295" s="215" t="s">
        <v>5326</v>
      </c>
      <c r="D295" s="215" t="s">
        <v>7147</v>
      </c>
      <c r="E295" s="215" t="s">
        <v>7148</v>
      </c>
      <c r="F295" s="215" t="s">
        <v>6974</v>
      </c>
      <c r="G295" s="215" t="s">
        <v>6975</v>
      </c>
      <c r="H295" s="215" t="s">
        <v>6521</v>
      </c>
      <c r="I295" s="300"/>
      <c r="J295" s="300"/>
      <c r="K295" s="300"/>
      <c r="L295" s="300"/>
      <c r="M295" s="300"/>
      <c r="N295" s="300"/>
      <c r="O295" s="300"/>
      <c r="P295" s="300"/>
      <c r="Q295" s="300"/>
      <c r="R295" s="300"/>
      <c r="S295" s="300"/>
      <c r="T295" s="300"/>
      <c r="U295" s="300"/>
      <c r="V295" s="300"/>
      <c r="W295" s="300"/>
      <c r="X295" s="300"/>
      <c r="Y295" s="300"/>
      <c r="Z295" s="300"/>
    </row>
    <row r="296" spans="1:26">
      <c r="A296" s="215" t="s">
        <v>3224</v>
      </c>
      <c r="B296" s="207">
        <v>1668</v>
      </c>
      <c r="C296" s="215" t="s">
        <v>5354</v>
      </c>
      <c r="D296" s="215" t="s">
        <v>7149</v>
      </c>
      <c r="E296" s="215" t="s">
        <v>7150</v>
      </c>
      <c r="F296" s="215" t="s">
        <v>6974</v>
      </c>
      <c r="G296" s="215" t="s">
        <v>6975</v>
      </c>
      <c r="H296" s="215" t="s">
        <v>6521</v>
      </c>
      <c r="I296" s="300"/>
      <c r="J296" s="300"/>
      <c r="K296" s="300"/>
      <c r="L296" s="300"/>
      <c r="M296" s="300"/>
      <c r="N296" s="300"/>
      <c r="O296" s="300"/>
      <c r="P296" s="300"/>
      <c r="Q296" s="300"/>
      <c r="R296" s="300"/>
      <c r="S296" s="300"/>
      <c r="T296" s="300"/>
      <c r="U296" s="300"/>
      <c r="V296" s="300"/>
      <c r="W296" s="300"/>
      <c r="X296" s="300"/>
      <c r="Y296" s="300"/>
      <c r="Z296" s="300"/>
    </row>
    <row r="297" spans="1:26">
      <c r="A297" s="215" t="s">
        <v>3338</v>
      </c>
      <c r="B297" s="207">
        <v>1669</v>
      </c>
      <c r="C297" s="215" t="s">
        <v>7151</v>
      </c>
      <c r="D297" s="215" t="s">
        <v>7152</v>
      </c>
      <c r="E297" s="215" t="s">
        <v>7153</v>
      </c>
      <c r="F297" s="215" t="s">
        <v>6974</v>
      </c>
      <c r="G297" s="215" t="s">
        <v>6975</v>
      </c>
      <c r="H297" s="215" t="s">
        <v>6521</v>
      </c>
      <c r="I297" s="300"/>
      <c r="J297" s="300"/>
      <c r="K297" s="300"/>
      <c r="L297" s="300"/>
      <c r="M297" s="300"/>
      <c r="N297" s="300"/>
      <c r="O297" s="300"/>
      <c r="P297" s="300"/>
      <c r="Q297" s="300"/>
      <c r="R297" s="300"/>
      <c r="S297" s="300"/>
      <c r="T297" s="300"/>
      <c r="U297" s="300"/>
      <c r="V297" s="300"/>
      <c r="W297" s="300"/>
      <c r="X297" s="300"/>
      <c r="Y297" s="300"/>
      <c r="Z297" s="300"/>
    </row>
    <row r="298" spans="1:26">
      <c r="A298" s="215" t="s">
        <v>3494</v>
      </c>
      <c r="B298" s="207">
        <v>1672</v>
      </c>
      <c r="C298" s="215" t="s">
        <v>5602</v>
      </c>
      <c r="D298" s="215" t="s">
        <v>7154</v>
      </c>
      <c r="E298" s="215" t="s">
        <v>7154</v>
      </c>
      <c r="F298" s="215" t="s">
        <v>6974</v>
      </c>
      <c r="G298" s="215" t="s">
        <v>6975</v>
      </c>
      <c r="H298" s="215" t="s">
        <v>6497</v>
      </c>
      <c r="I298" s="300"/>
      <c r="J298" s="300"/>
      <c r="K298" s="300"/>
      <c r="L298" s="300"/>
      <c r="M298" s="300"/>
      <c r="N298" s="300"/>
      <c r="O298" s="300"/>
      <c r="P298" s="300"/>
      <c r="Q298" s="300"/>
      <c r="R298" s="300"/>
      <c r="S298" s="300"/>
      <c r="T298" s="300"/>
      <c r="U298" s="300"/>
      <c r="V298" s="300"/>
      <c r="W298" s="300"/>
      <c r="X298" s="300"/>
      <c r="Y298" s="300"/>
      <c r="Z298" s="300"/>
    </row>
    <row r="299" spans="1:26">
      <c r="A299" s="215" t="s">
        <v>3715</v>
      </c>
      <c r="B299" s="207">
        <v>1675</v>
      </c>
      <c r="C299" s="215" t="s">
        <v>5803</v>
      </c>
      <c r="D299" s="215" t="s">
        <v>7155</v>
      </c>
      <c r="E299" s="215" t="s">
        <v>7156</v>
      </c>
      <c r="F299" s="215" t="s">
        <v>6974</v>
      </c>
      <c r="G299" s="215" t="s">
        <v>6975</v>
      </c>
      <c r="H299" s="215" t="s">
        <v>6521</v>
      </c>
      <c r="I299" s="300"/>
      <c r="J299" s="300"/>
      <c r="K299" s="300"/>
      <c r="L299" s="300"/>
      <c r="M299" s="300"/>
      <c r="N299" s="300"/>
      <c r="O299" s="300"/>
      <c r="P299" s="300"/>
      <c r="Q299" s="300"/>
      <c r="R299" s="300"/>
      <c r="S299" s="300"/>
      <c r="T299" s="300"/>
      <c r="U299" s="300"/>
      <c r="V299" s="300"/>
      <c r="W299" s="300"/>
      <c r="X299" s="300"/>
      <c r="Y299" s="300"/>
      <c r="Z299" s="300"/>
    </row>
    <row r="300" spans="1:26">
      <c r="A300" s="215" t="s">
        <v>4299</v>
      </c>
      <c r="B300" s="207">
        <v>1696</v>
      </c>
      <c r="C300" s="215" t="s">
        <v>6259</v>
      </c>
      <c r="D300" s="215" t="s">
        <v>7157</v>
      </c>
      <c r="E300" s="215" t="s">
        <v>7157</v>
      </c>
      <c r="F300" s="215" t="s">
        <v>6974</v>
      </c>
      <c r="G300" s="215" t="s">
        <v>6975</v>
      </c>
      <c r="H300" s="215" t="s">
        <v>6504</v>
      </c>
      <c r="I300" s="300"/>
      <c r="J300" s="300"/>
      <c r="K300" s="300"/>
      <c r="L300" s="300"/>
      <c r="M300" s="300"/>
      <c r="N300" s="300"/>
      <c r="O300" s="300"/>
      <c r="P300" s="300"/>
      <c r="Q300" s="300"/>
      <c r="R300" s="300"/>
      <c r="S300" s="300"/>
      <c r="T300" s="300"/>
      <c r="U300" s="300"/>
      <c r="V300" s="300"/>
      <c r="W300" s="300"/>
      <c r="X300" s="300"/>
      <c r="Y300" s="300"/>
      <c r="Z300" s="300"/>
    </row>
    <row r="301" spans="1:26">
      <c r="A301" s="215" t="s">
        <v>4305</v>
      </c>
      <c r="B301" s="207">
        <v>1697</v>
      </c>
      <c r="C301" s="215" t="s">
        <v>7158</v>
      </c>
      <c r="D301" s="215" t="s">
        <v>7159</v>
      </c>
      <c r="E301" s="215" t="s">
        <v>7160</v>
      </c>
      <c r="F301" s="215" t="s">
        <v>6974</v>
      </c>
      <c r="G301" s="215" t="s">
        <v>6975</v>
      </c>
      <c r="H301" s="215" t="s">
        <v>6521</v>
      </c>
      <c r="I301" s="300"/>
      <c r="J301" s="300"/>
      <c r="K301" s="300"/>
      <c r="L301" s="300"/>
      <c r="M301" s="300"/>
      <c r="N301" s="300"/>
      <c r="O301" s="300"/>
      <c r="P301" s="300"/>
      <c r="Q301" s="300"/>
      <c r="R301" s="300"/>
      <c r="S301" s="300"/>
      <c r="T301" s="300"/>
      <c r="U301" s="300"/>
      <c r="V301" s="300"/>
      <c r="W301" s="300"/>
      <c r="X301" s="300"/>
      <c r="Y301" s="300"/>
      <c r="Z301" s="300"/>
    </row>
    <row r="302" spans="1:26">
      <c r="A302" s="215" t="s">
        <v>4414</v>
      </c>
      <c r="B302" s="207">
        <v>1699</v>
      </c>
      <c r="C302" s="215" t="s">
        <v>7161</v>
      </c>
      <c r="D302" s="215" t="s">
        <v>7162</v>
      </c>
      <c r="E302" s="215" t="s">
        <v>7163</v>
      </c>
      <c r="F302" s="215" t="s">
        <v>6974</v>
      </c>
      <c r="G302" s="215" t="s">
        <v>6975</v>
      </c>
      <c r="H302" s="215" t="s">
        <v>6521</v>
      </c>
      <c r="I302" s="300"/>
      <c r="J302" s="300"/>
      <c r="K302" s="300"/>
      <c r="L302" s="300"/>
      <c r="M302" s="300"/>
      <c r="N302" s="300"/>
      <c r="O302" s="300"/>
      <c r="P302" s="300"/>
      <c r="Q302" s="300"/>
      <c r="R302" s="300"/>
      <c r="S302" s="300"/>
      <c r="T302" s="300"/>
      <c r="U302" s="300"/>
      <c r="V302" s="300"/>
      <c r="W302" s="300"/>
      <c r="X302" s="300"/>
      <c r="Y302" s="300"/>
      <c r="Z302" s="300"/>
    </row>
    <row r="303" spans="1:26">
      <c r="A303" s="215" t="s">
        <v>4415</v>
      </c>
      <c r="B303" s="207">
        <v>1700</v>
      </c>
      <c r="C303" s="215" t="s">
        <v>7164</v>
      </c>
      <c r="D303" s="215" t="s">
        <v>7165</v>
      </c>
      <c r="E303" s="215" t="s">
        <v>7166</v>
      </c>
      <c r="F303" s="215" t="s">
        <v>6974</v>
      </c>
      <c r="G303" s="215" t="s">
        <v>6975</v>
      </c>
      <c r="H303" s="215" t="s">
        <v>6521</v>
      </c>
      <c r="I303" s="300"/>
      <c r="J303" s="300"/>
      <c r="K303" s="300"/>
      <c r="L303" s="300"/>
      <c r="M303" s="300"/>
      <c r="N303" s="300"/>
      <c r="O303" s="300"/>
      <c r="P303" s="300"/>
      <c r="Q303" s="300"/>
      <c r="R303" s="300"/>
      <c r="S303" s="300"/>
      <c r="T303" s="300"/>
      <c r="U303" s="300"/>
      <c r="V303" s="300"/>
      <c r="W303" s="300"/>
      <c r="X303" s="300"/>
      <c r="Y303" s="300"/>
      <c r="Z303" s="300"/>
    </row>
    <row r="304" spans="1:26">
      <c r="A304" s="215" t="s">
        <v>4347</v>
      </c>
      <c r="B304" s="207">
        <v>1702</v>
      </c>
      <c r="C304" s="215" t="s">
        <v>7167</v>
      </c>
      <c r="D304" s="215" t="s">
        <v>7168</v>
      </c>
      <c r="E304" s="215" t="s">
        <v>7169</v>
      </c>
      <c r="F304" s="215" t="s">
        <v>6974</v>
      </c>
      <c r="G304" s="215" t="s">
        <v>6975</v>
      </c>
      <c r="H304" s="215" t="s">
        <v>6521</v>
      </c>
      <c r="I304" s="300"/>
      <c r="J304" s="300"/>
      <c r="K304" s="300"/>
      <c r="L304" s="300"/>
      <c r="M304" s="300"/>
      <c r="N304" s="300"/>
      <c r="O304" s="300"/>
      <c r="P304" s="300"/>
      <c r="Q304" s="300"/>
      <c r="R304" s="300"/>
      <c r="S304" s="300"/>
      <c r="T304" s="300"/>
      <c r="U304" s="300"/>
      <c r="V304" s="300"/>
      <c r="W304" s="300"/>
      <c r="X304" s="300"/>
      <c r="Y304" s="300"/>
      <c r="Z304" s="300"/>
    </row>
    <row r="305" spans="1:26">
      <c r="A305" s="215" t="s">
        <v>4471</v>
      </c>
      <c r="B305" s="207">
        <v>1704</v>
      </c>
      <c r="C305" s="215" t="s">
        <v>7170</v>
      </c>
      <c r="D305" s="215" t="s">
        <v>7171</v>
      </c>
      <c r="E305" s="215" t="s">
        <v>7171</v>
      </c>
      <c r="F305" s="215" t="s">
        <v>6974</v>
      </c>
      <c r="G305" s="215" t="s">
        <v>6975</v>
      </c>
      <c r="H305" s="215" t="s">
        <v>6497</v>
      </c>
      <c r="I305" s="300"/>
      <c r="J305" s="300"/>
      <c r="K305" s="300"/>
      <c r="L305" s="300"/>
      <c r="M305" s="300"/>
      <c r="N305" s="300"/>
      <c r="O305" s="300"/>
      <c r="P305" s="300"/>
      <c r="Q305" s="300"/>
      <c r="R305" s="300"/>
      <c r="S305" s="300"/>
      <c r="T305" s="300"/>
      <c r="U305" s="300"/>
      <c r="V305" s="300"/>
      <c r="W305" s="300"/>
      <c r="X305" s="300"/>
      <c r="Y305" s="300"/>
      <c r="Z305" s="300"/>
    </row>
    <row r="306" spans="1:26">
      <c r="A306" s="215" t="s">
        <v>3967</v>
      </c>
      <c r="B306" s="207">
        <v>1705</v>
      </c>
      <c r="C306" s="215" t="s">
        <v>7172</v>
      </c>
      <c r="D306" s="215" t="s">
        <v>7173</v>
      </c>
      <c r="E306" s="215" t="s">
        <v>7174</v>
      </c>
      <c r="F306" s="215" t="s">
        <v>6974</v>
      </c>
      <c r="G306" s="215" t="s">
        <v>6975</v>
      </c>
      <c r="H306" s="215" t="s">
        <v>6521</v>
      </c>
      <c r="I306" s="300"/>
      <c r="J306" s="300"/>
      <c r="K306" s="300"/>
      <c r="L306" s="300"/>
      <c r="M306" s="300"/>
      <c r="N306" s="300"/>
      <c r="O306" s="300"/>
      <c r="P306" s="300"/>
      <c r="Q306" s="300"/>
      <c r="R306" s="300"/>
      <c r="S306" s="300"/>
      <c r="T306" s="300"/>
      <c r="U306" s="300"/>
      <c r="V306" s="300"/>
      <c r="W306" s="300"/>
      <c r="X306" s="300"/>
      <c r="Y306" s="300"/>
      <c r="Z306" s="300"/>
    </row>
    <row r="307" spans="1:26">
      <c r="A307" s="215" t="s">
        <v>4373</v>
      </c>
      <c r="B307" s="207">
        <v>1706</v>
      </c>
      <c r="C307" s="215" t="s">
        <v>7175</v>
      </c>
      <c r="D307" s="215" t="s">
        <v>7176</v>
      </c>
      <c r="E307" s="215" t="s">
        <v>7177</v>
      </c>
      <c r="F307" s="215" t="s">
        <v>6974</v>
      </c>
      <c r="G307" s="215" t="s">
        <v>6975</v>
      </c>
      <c r="H307" s="215" t="s">
        <v>6521</v>
      </c>
      <c r="I307" s="300"/>
      <c r="J307" s="300"/>
      <c r="K307" s="300"/>
      <c r="L307" s="300"/>
      <c r="M307" s="300"/>
      <c r="N307" s="300"/>
      <c r="O307" s="300"/>
      <c r="P307" s="300"/>
      <c r="Q307" s="300"/>
      <c r="R307" s="300"/>
      <c r="S307" s="300"/>
      <c r="T307" s="300"/>
      <c r="U307" s="300"/>
      <c r="V307" s="300"/>
      <c r="W307" s="300"/>
      <c r="X307" s="300"/>
      <c r="Y307" s="300"/>
      <c r="Z307" s="300"/>
    </row>
    <row r="308" spans="1:26">
      <c r="A308" s="215" t="s">
        <v>3874</v>
      </c>
      <c r="B308" s="207">
        <v>1707</v>
      </c>
      <c r="C308" s="215" t="s">
        <v>5940</v>
      </c>
      <c r="D308" s="215" t="s">
        <v>7178</v>
      </c>
      <c r="E308" s="215" t="s">
        <v>7178</v>
      </c>
      <c r="F308" s="215" t="s">
        <v>6974</v>
      </c>
      <c r="G308" s="215" t="s">
        <v>6975</v>
      </c>
      <c r="H308" s="215" t="s">
        <v>6521</v>
      </c>
      <c r="I308" s="300"/>
      <c r="J308" s="300"/>
      <c r="K308" s="300"/>
      <c r="L308" s="300"/>
      <c r="M308" s="300"/>
      <c r="N308" s="300"/>
      <c r="O308" s="300"/>
      <c r="P308" s="300"/>
      <c r="Q308" s="300"/>
      <c r="R308" s="300"/>
      <c r="S308" s="300"/>
      <c r="T308" s="300"/>
      <c r="U308" s="300"/>
      <c r="V308" s="300"/>
      <c r="W308" s="300"/>
      <c r="X308" s="300"/>
      <c r="Y308" s="300"/>
      <c r="Z308" s="300"/>
    </row>
    <row r="309" spans="1:26">
      <c r="A309" s="215" t="s">
        <v>2740</v>
      </c>
      <c r="B309" s="207">
        <v>1708</v>
      </c>
      <c r="C309" s="215" t="s">
        <v>7179</v>
      </c>
      <c r="D309" s="215" t="s">
        <v>7180</v>
      </c>
      <c r="E309" s="215" t="s">
        <v>7181</v>
      </c>
      <c r="F309" s="215" t="s">
        <v>6974</v>
      </c>
      <c r="G309" s="215" t="s">
        <v>6975</v>
      </c>
      <c r="H309" s="215" t="s">
        <v>6497</v>
      </c>
      <c r="I309" s="300"/>
      <c r="J309" s="300"/>
      <c r="K309" s="300"/>
      <c r="L309" s="300"/>
      <c r="M309" s="300"/>
      <c r="N309" s="300"/>
      <c r="O309" s="300"/>
      <c r="P309" s="300"/>
      <c r="Q309" s="300"/>
      <c r="R309" s="300"/>
      <c r="S309" s="300"/>
      <c r="T309" s="300"/>
      <c r="U309" s="300"/>
      <c r="V309" s="300"/>
      <c r="W309" s="300"/>
      <c r="X309" s="300"/>
      <c r="Y309" s="300"/>
      <c r="Z309" s="300"/>
    </row>
    <row r="310" spans="1:26">
      <c r="A310" s="215" t="s">
        <v>7182</v>
      </c>
      <c r="B310" s="207">
        <v>1710</v>
      </c>
      <c r="C310" s="215" t="s">
        <v>7183</v>
      </c>
      <c r="D310" s="215" t="s">
        <v>7184</v>
      </c>
      <c r="E310" s="215" t="s">
        <v>7185</v>
      </c>
      <c r="F310" s="215" t="s">
        <v>6974</v>
      </c>
      <c r="G310" s="215" t="s">
        <v>6975</v>
      </c>
      <c r="H310" s="215" t="s">
        <v>6500</v>
      </c>
      <c r="I310" s="300"/>
      <c r="J310" s="300"/>
      <c r="K310" s="300"/>
      <c r="L310" s="300"/>
      <c r="M310" s="300"/>
      <c r="N310" s="300"/>
      <c r="O310" s="300"/>
      <c r="P310" s="300"/>
      <c r="Q310" s="300"/>
      <c r="R310" s="300"/>
      <c r="S310" s="300"/>
      <c r="T310" s="300"/>
      <c r="U310" s="300"/>
      <c r="V310" s="300"/>
      <c r="W310" s="300"/>
      <c r="X310" s="300"/>
      <c r="Y310" s="300"/>
      <c r="Z310" s="300"/>
    </row>
    <row r="311" spans="1:26">
      <c r="A311" s="215" t="s">
        <v>2909</v>
      </c>
      <c r="B311" s="207">
        <v>1711</v>
      </c>
      <c r="C311" s="215" t="s">
        <v>7186</v>
      </c>
      <c r="D311" s="215" t="s">
        <v>7187</v>
      </c>
      <c r="E311" s="215" t="s">
        <v>7188</v>
      </c>
      <c r="F311" s="215" t="s">
        <v>6974</v>
      </c>
      <c r="G311" s="215" t="s">
        <v>6975</v>
      </c>
      <c r="H311" s="215" t="s">
        <v>6521</v>
      </c>
      <c r="I311" s="300"/>
      <c r="J311" s="300"/>
      <c r="K311" s="300"/>
      <c r="L311" s="300"/>
      <c r="M311" s="300"/>
      <c r="N311" s="300"/>
      <c r="O311" s="300"/>
      <c r="P311" s="300"/>
      <c r="Q311" s="300"/>
      <c r="R311" s="300"/>
      <c r="S311" s="300"/>
      <c r="T311" s="300"/>
      <c r="U311" s="300"/>
      <c r="V311" s="300"/>
      <c r="W311" s="300"/>
      <c r="X311" s="300"/>
      <c r="Y311" s="300"/>
      <c r="Z311" s="300"/>
    </row>
    <row r="312" spans="1:26">
      <c r="A312" s="215" t="s">
        <v>3193</v>
      </c>
      <c r="B312" s="207">
        <v>1755</v>
      </c>
      <c r="C312" s="215" t="s">
        <v>5324</v>
      </c>
      <c r="D312" s="215" t="s">
        <v>7189</v>
      </c>
      <c r="E312" s="215" t="s">
        <v>7189</v>
      </c>
      <c r="F312" s="215" t="s">
        <v>6974</v>
      </c>
      <c r="G312" s="215" t="s">
        <v>6975</v>
      </c>
      <c r="H312" s="215" t="s">
        <v>6521</v>
      </c>
      <c r="I312" s="300"/>
      <c r="J312" s="300"/>
      <c r="K312" s="300"/>
      <c r="L312" s="300"/>
      <c r="M312" s="300"/>
      <c r="N312" s="300"/>
      <c r="O312" s="300"/>
      <c r="P312" s="300"/>
      <c r="Q312" s="300"/>
      <c r="R312" s="300"/>
      <c r="S312" s="300"/>
      <c r="T312" s="300"/>
      <c r="U312" s="300"/>
      <c r="V312" s="300"/>
      <c r="W312" s="300"/>
      <c r="X312" s="300"/>
      <c r="Y312" s="300"/>
      <c r="Z312" s="300"/>
    </row>
    <row r="313" spans="1:26">
      <c r="A313" s="215" t="s">
        <v>3998</v>
      </c>
      <c r="B313" s="207">
        <v>1756</v>
      </c>
      <c r="C313" s="215" t="s">
        <v>7190</v>
      </c>
      <c r="D313" s="215" t="s">
        <v>7191</v>
      </c>
      <c r="E313" s="215" t="s">
        <v>7191</v>
      </c>
      <c r="F313" s="215" t="s">
        <v>6974</v>
      </c>
      <c r="G313" s="215" t="s">
        <v>6975</v>
      </c>
      <c r="H313" s="215" t="s">
        <v>6521</v>
      </c>
      <c r="I313" s="300"/>
      <c r="J313" s="300"/>
      <c r="K313" s="300"/>
      <c r="L313" s="300"/>
      <c r="M313" s="300"/>
      <c r="N313" s="300"/>
      <c r="O313" s="300"/>
      <c r="P313" s="300"/>
      <c r="Q313" s="300"/>
      <c r="R313" s="300"/>
      <c r="S313" s="300"/>
      <c r="T313" s="300"/>
      <c r="U313" s="300"/>
      <c r="V313" s="300"/>
      <c r="W313" s="300"/>
      <c r="X313" s="300"/>
      <c r="Y313" s="300"/>
      <c r="Z313" s="300"/>
    </row>
    <row r="314" spans="1:26">
      <c r="A314" s="215" t="s">
        <v>3998</v>
      </c>
      <c r="B314" s="207">
        <v>1757</v>
      </c>
      <c r="C314" s="215" t="s">
        <v>7192</v>
      </c>
      <c r="D314" s="215" t="s">
        <v>7193</v>
      </c>
      <c r="E314" s="215" t="s">
        <v>7194</v>
      </c>
      <c r="F314" s="215" t="s">
        <v>6974</v>
      </c>
      <c r="G314" s="215" t="s">
        <v>6975</v>
      </c>
      <c r="H314" s="215" t="s">
        <v>6521</v>
      </c>
      <c r="I314" s="300"/>
      <c r="J314" s="300"/>
      <c r="K314" s="300"/>
      <c r="L314" s="300"/>
      <c r="M314" s="300"/>
      <c r="N314" s="300"/>
      <c r="O314" s="300"/>
      <c r="P314" s="300"/>
      <c r="Q314" s="300"/>
      <c r="R314" s="300"/>
      <c r="S314" s="300"/>
      <c r="T314" s="300"/>
      <c r="U314" s="300"/>
      <c r="V314" s="300"/>
      <c r="W314" s="300"/>
      <c r="X314" s="300"/>
      <c r="Y314" s="300"/>
      <c r="Z314" s="300"/>
    </row>
    <row r="315" spans="1:26">
      <c r="A315" s="215" t="s">
        <v>3422</v>
      </c>
      <c r="B315" s="207">
        <v>1758</v>
      </c>
      <c r="C315" s="215" t="s">
        <v>5499</v>
      </c>
      <c r="D315" s="215" t="s">
        <v>7195</v>
      </c>
      <c r="E315" s="215" t="s">
        <v>7196</v>
      </c>
      <c r="F315" s="215" t="s">
        <v>6974</v>
      </c>
      <c r="G315" s="215" t="s">
        <v>6975</v>
      </c>
      <c r="H315" s="215" t="s">
        <v>6521</v>
      </c>
      <c r="I315" s="300"/>
      <c r="J315" s="300"/>
      <c r="K315" s="300"/>
      <c r="L315" s="300"/>
      <c r="M315" s="300"/>
      <c r="N315" s="300"/>
      <c r="O315" s="300"/>
      <c r="P315" s="300"/>
      <c r="Q315" s="300"/>
      <c r="R315" s="300"/>
      <c r="S315" s="300"/>
      <c r="T315" s="300"/>
      <c r="U315" s="300"/>
      <c r="V315" s="300"/>
      <c r="W315" s="300"/>
      <c r="X315" s="300"/>
      <c r="Y315" s="300"/>
      <c r="Z315" s="300"/>
    </row>
    <row r="316" spans="1:26">
      <c r="A316" s="215" t="s">
        <v>4490</v>
      </c>
      <c r="B316" s="207">
        <v>1759</v>
      </c>
      <c r="C316" s="215" t="s">
        <v>7197</v>
      </c>
      <c r="D316" s="215" t="s">
        <v>7198</v>
      </c>
      <c r="E316" s="215" t="s">
        <v>7198</v>
      </c>
      <c r="F316" s="215" t="s">
        <v>6974</v>
      </c>
      <c r="G316" s="215" t="s">
        <v>6975</v>
      </c>
      <c r="H316" s="215" t="s">
        <v>6521</v>
      </c>
      <c r="I316" s="300"/>
      <c r="J316" s="300"/>
      <c r="K316" s="300"/>
      <c r="L316" s="300"/>
      <c r="M316" s="300"/>
      <c r="N316" s="300"/>
      <c r="O316" s="300"/>
      <c r="P316" s="300"/>
      <c r="Q316" s="300"/>
      <c r="R316" s="300"/>
      <c r="S316" s="300"/>
      <c r="T316" s="300"/>
      <c r="U316" s="300"/>
      <c r="V316" s="300"/>
      <c r="W316" s="300"/>
      <c r="X316" s="300"/>
      <c r="Y316" s="300"/>
      <c r="Z316" s="300"/>
    </row>
    <row r="317" spans="1:26">
      <c r="A317" s="215" t="s">
        <v>2746</v>
      </c>
      <c r="B317" s="207">
        <v>1760</v>
      </c>
      <c r="C317" s="215" t="s">
        <v>4900</v>
      </c>
      <c r="D317" s="215" t="s">
        <v>7199</v>
      </c>
      <c r="E317" s="215" t="s">
        <v>7199</v>
      </c>
      <c r="F317" s="215" t="s">
        <v>6974</v>
      </c>
      <c r="G317" s="215" t="s">
        <v>6975</v>
      </c>
      <c r="H317" s="215" t="s">
        <v>6521</v>
      </c>
      <c r="I317" s="300"/>
      <c r="J317" s="300"/>
      <c r="K317" s="300"/>
      <c r="L317" s="300"/>
      <c r="M317" s="300"/>
      <c r="N317" s="300"/>
      <c r="O317" s="300"/>
      <c r="P317" s="300"/>
      <c r="Q317" s="300"/>
      <c r="R317" s="300"/>
      <c r="S317" s="300"/>
      <c r="T317" s="300"/>
      <c r="U317" s="300"/>
      <c r="V317" s="300"/>
      <c r="W317" s="300"/>
      <c r="X317" s="300"/>
      <c r="Y317" s="300"/>
      <c r="Z317" s="300"/>
    </row>
    <row r="318" spans="1:26">
      <c r="A318" s="215" t="s">
        <v>7200</v>
      </c>
      <c r="B318" s="207">
        <v>1761</v>
      </c>
      <c r="C318" s="215" t="s">
        <v>7201</v>
      </c>
      <c r="D318" s="215" t="s">
        <v>7202</v>
      </c>
      <c r="E318" s="215" t="s">
        <v>7203</v>
      </c>
      <c r="F318" s="215" t="s">
        <v>6974</v>
      </c>
      <c r="G318" s="215" t="s">
        <v>6975</v>
      </c>
      <c r="H318" s="215" t="s">
        <v>6521</v>
      </c>
      <c r="I318" s="300"/>
      <c r="J318" s="300"/>
      <c r="K318" s="300"/>
      <c r="L318" s="300"/>
      <c r="M318" s="300"/>
      <c r="N318" s="300"/>
      <c r="O318" s="300"/>
      <c r="P318" s="300"/>
      <c r="Q318" s="300"/>
      <c r="R318" s="300"/>
      <c r="S318" s="300"/>
      <c r="T318" s="300"/>
      <c r="U318" s="300"/>
      <c r="V318" s="300"/>
      <c r="W318" s="300"/>
      <c r="X318" s="300"/>
      <c r="Y318" s="300"/>
      <c r="Z318" s="300"/>
    </row>
    <row r="319" spans="1:26">
      <c r="A319" s="215" t="s">
        <v>2716</v>
      </c>
      <c r="B319" s="207">
        <v>1762</v>
      </c>
      <c r="C319" s="215" t="s">
        <v>7204</v>
      </c>
      <c r="D319" s="215" t="s">
        <v>7205</v>
      </c>
      <c r="E319" s="215" t="s">
        <v>7206</v>
      </c>
      <c r="F319" s="215" t="s">
        <v>6974</v>
      </c>
      <c r="G319" s="215" t="s">
        <v>6975</v>
      </c>
      <c r="H319" s="215" t="s">
        <v>6521</v>
      </c>
      <c r="I319" s="300"/>
      <c r="J319" s="300"/>
      <c r="K319" s="300"/>
      <c r="L319" s="300"/>
      <c r="M319" s="300"/>
      <c r="N319" s="300"/>
      <c r="O319" s="300"/>
      <c r="P319" s="300"/>
      <c r="Q319" s="300"/>
      <c r="R319" s="300"/>
      <c r="S319" s="300"/>
      <c r="T319" s="300"/>
      <c r="U319" s="300"/>
      <c r="V319" s="300"/>
      <c r="W319" s="300"/>
      <c r="X319" s="300"/>
      <c r="Y319" s="300"/>
      <c r="Z319" s="300"/>
    </row>
    <row r="320" spans="1:26">
      <c r="A320" s="215" t="s">
        <v>3582</v>
      </c>
      <c r="B320" s="207">
        <v>1763</v>
      </c>
      <c r="C320" s="215" t="s">
        <v>5685</v>
      </c>
      <c r="D320" s="215" t="s">
        <v>7207</v>
      </c>
      <c r="E320" s="215" t="s">
        <v>7208</v>
      </c>
      <c r="F320" s="215" t="s">
        <v>6974</v>
      </c>
      <c r="G320" s="215" t="s">
        <v>6975</v>
      </c>
      <c r="H320" s="215" t="s">
        <v>6521</v>
      </c>
      <c r="I320" s="300"/>
      <c r="J320" s="300"/>
      <c r="K320" s="300"/>
      <c r="L320" s="300"/>
      <c r="M320" s="300"/>
      <c r="N320" s="300"/>
      <c r="O320" s="300"/>
      <c r="P320" s="300"/>
      <c r="Q320" s="300"/>
      <c r="R320" s="300"/>
      <c r="S320" s="300"/>
      <c r="T320" s="300"/>
      <c r="U320" s="300"/>
      <c r="V320" s="300"/>
      <c r="W320" s="300"/>
      <c r="X320" s="300"/>
      <c r="Y320" s="300"/>
      <c r="Z320" s="300"/>
    </row>
    <row r="321" spans="1:26">
      <c r="A321" s="215" t="s">
        <v>3060</v>
      </c>
      <c r="B321" s="207">
        <v>1764</v>
      </c>
      <c r="C321" s="215" t="s">
        <v>5197</v>
      </c>
      <c r="D321" s="215" t="s">
        <v>7209</v>
      </c>
      <c r="E321" s="215" t="s">
        <v>7209</v>
      </c>
      <c r="F321" s="215" t="s">
        <v>6974</v>
      </c>
      <c r="G321" s="215" t="s">
        <v>6975</v>
      </c>
      <c r="H321" s="215" t="s">
        <v>6521</v>
      </c>
      <c r="I321" s="300"/>
      <c r="J321" s="300"/>
      <c r="K321" s="300"/>
      <c r="L321" s="300"/>
      <c r="M321" s="300"/>
      <c r="N321" s="300"/>
      <c r="O321" s="300"/>
      <c r="P321" s="300"/>
      <c r="Q321" s="300"/>
      <c r="R321" s="300"/>
      <c r="S321" s="300"/>
      <c r="T321" s="300"/>
      <c r="U321" s="300"/>
      <c r="V321" s="300"/>
      <c r="W321" s="300"/>
      <c r="X321" s="300"/>
      <c r="Y321" s="300"/>
      <c r="Z321" s="300"/>
    </row>
    <row r="322" spans="1:26">
      <c r="A322" s="215" t="s">
        <v>3291</v>
      </c>
      <c r="B322" s="207">
        <v>1766</v>
      </c>
      <c r="C322" s="215" t="s">
        <v>7210</v>
      </c>
      <c r="D322" s="215" t="s">
        <v>7211</v>
      </c>
      <c r="E322" s="215" t="s">
        <v>7212</v>
      </c>
      <c r="F322" s="215" t="s">
        <v>6974</v>
      </c>
      <c r="G322" s="215" t="s">
        <v>6975</v>
      </c>
      <c r="H322" s="215" t="s">
        <v>6521</v>
      </c>
      <c r="I322" s="300"/>
      <c r="J322" s="300"/>
      <c r="K322" s="300"/>
      <c r="L322" s="300"/>
      <c r="M322" s="300"/>
      <c r="N322" s="300"/>
      <c r="O322" s="300"/>
      <c r="P322" s="300"/>
      <c r="Q322" s="300"/>
      <c r="R322" s="300"/>
      <c r="S322" s="300"/>
      <c r="T322" s="300"/>
      <c r="U322" s="300"/>
      <c r="V322" s="300"/>
      <c r="W322" s="300"/>
      <c r="X322" s="300"/>
      <c r="Y322" s="300"/>
      <c r="Z322" s="300"/>
    </row>
    <row r="323" spans="1:26">
      <c r="A323" s="215" t="s">
        <v>7213</v>
      </c>
      <c r="B323" s="207">
        <v>1769</v>
      </c>
      <c r="C323" s="215" t="s">
        <v>7214</v>
      </c>
      <c r="D323" s="215" t="s">
        <v>7215</v>
      </c>
      <c r="E323" s="215" t="s">
        <v>7216</v>
      </c>
      <c r="F323" s="215" t="s">
        <v>6974</v>
      </c>
      <c r="G323" s="215" t="s">
        <v>6975</v>
      </c>
      <c r="H323" s="215" t="s">
        <v>6521</v>
      </c>
      <c r="I323" s="300"/>
      <c r="J323" s="300"/>
      <c r="K323" s="300"/>
      <c r="L323" s="300"/>
      <c r="M323" s="300"/>
      <c r="N323" s="300"/>
      <c r="O323" s="300"/>
      <c r="P323" s="300"/>
      <c r="Q323" s="300"/>
      <c r="R323" s="300"/>
      <c r="S323" s="300"/>
      <c r="T323" s="300"/>
      <c r="U323" s="300"/>
      <c r="V323" s="300"/>
      <c r="W323" s="300"/>
      <c r="X323" s="300"/>
      <c r="Y323" s="300"/>
      <c r="Z323" s="300"/>
    </row>
    <row r="324" spans="1:26">
      <c r="A324" s="215" t="s">
        <v>3481</v>
      </c>
      <c r="B324" s="207">
        <v>1770</v>
      </c>
      <c r="C324" s="215" t="s">
        <v>5591</v>
      </c>
      <c r="D324" s="215" t="s">
        <v>7217</v>
      </c>
      <c r="E324" s="215" t="s">
        <v>7218</v>
      </c>
      <c r="F324" s="215" t="s">
        <v>6974</v>
      </c>
      <c r="G324" s="215" t="s">
        <v>6975</v>
      </c>
      <c r="H324" s="215" t="s">
        <v>6521</v>
      </c>
      <c r="I324" s="300"/>
      <c r="J324" s="300"/>
      <c r="K324" s="300"/>
      <c r="L324" s="300"/>
      <c r="M324" s="300"/>
      <c r="N324" s="300"/>
      <c r="O324" s="300"/>
      <c r="P324" s="300"/>
      <c r="Q324" s="300"/>
      <c r="R324" s="300"/>
      <c r="S324" s="300"/>
      <c r="T324" s="300"/>
      <c r="U324" s="300"/>
      <c r="V324" s="300"/>
      <c r="W324" s="300"/>
      <c r="X324" s="300"/>
      <c r="Y324" s="300"/>
      <c r="Z324" s="300"/>
    </row>
    <row r="325" spans="1:26">
      <c r="A325" s="215" t="s">
        <v>3326</v>
      </c>
      <c r="B325" s="207">
        <v>1771</v>
      </c>
      <c r="C325" s="215" t="s">
        <v>7219</v>
      </c>
      <c r="D325" s="215" t="s">
        <v>7220</v>
      </c>
      <c r="E325" s="215" t="s">
        <v>7221</v>
      </c>
      <c r="F325" s="215" t="s">
        <v>6974</v>
      </c>
      <c r="G325" s="215" t="s">
        <v>6975</v>
      </c>
      <c r="H325" s="215" t="s">
        <v>6521</v>
      </c>
      <c r="I325" s="300"/>
      <c r="J325" s="300"/>
      <c r="K325" s="300"/>
      <c r="L325" s="300"/>
      <c r="M325" s="300"/>
      <c r="N325" s="300"/>
      <c r="O325" s="300"/>
      <c r="P325" s="300"/>
      <c r="Q325" s="300"/>
      <c r="R325" s="300"/>
      <c r="S325" s="300"/>
      <c r="T325" s="300"/>
      <c r="U325" s="300"/>
      <c r="V325" s="300"/>
      <c r="W325" s="300"/>
      <c r="X325" s="300"/>
      <c r="Y325" s="300"/>
      <c r="Z325" s="300"/>
    </row>
    <row r="326" spans="1:26">
      <c r="A326" s="215" t="s">
        <v>3291</v>
      </c>
      <c r="B326" s="207">
        <v>1772</v>
      </c>
      <c r="C326" s="215" t="s">
        <v>5421</v>
      </c>
      <c r="D326" s="215" t="s">
        <v>7222</v>
      </c>
      <c r="E326" s="215" t="s">
        <v>7223</v>
      </c>
      <c r="F326" s="215" t="s">
        <v>6974</v>
      </c>
      <c r="G326" s="215" t="s">
        <v>6975</v>
      </c>
      <c r="H326" s="215" t="s">
        <v>6521</v>
      </c>
      <c r="I326" s="300"/>
      <c r="J326" s="300"/>
      <c r="K326" s="300"/>
      <c r="L326" s="300"/>
      <c r="M326" s="300"/>
      <c r="N326" s="300"/>
      <c r="O326" s="300"/>
      <c r="P326" s="300"/>
      <c r="Q326" s="300"/>
      <c r="R326" s="300"/>
      <c r="S326" s="300"/>
      <c r="T326" s="300"/>
      <c r="U326" s="300"/>
      <c r="V326" s="300"/>
      <c r="W326" s="300"/>
      <c r="X326" s="300"/>
      <c r="Y326" s="300"/>
      <c r="Z326" s="300"/>
    </row>
    <row r="327" spans="1:26">
      <c r="A327" s="215" t="s">
        <v>7224</v>
      </c>
      <c r="B327" s="207">
        <v>1774</v>
      </c>
      <c r="C327" s="215" t="s">
        <v>7225</v>
      </c>
      <c r="D327" s="215" t="s">
        <v>7226</v>
      </c>
      <c r="E327" s="215" t="s">
        <v>7227</v>
      </c>
      <c r="F327" s="215" t="s">
        <v>6974</v>
      </c>
      <c r="G327" s="215" t="s">
        <v>6975</v>
      </c>
      <c r="H327" s="215" t="s">
        <v>6521</v>
      </c>
      <c r="I327" s="300"/>
      <c r="J327" s="300"/>
      <c r="K327" s="300"/>
      <c r="L327" s="300"/>
      <c r="M327" s="300"/>
      <c r="N327" s="300"/>
      <c r="O327" s="300"/>
      <c r="P327" s="300"/>
      <c r="Q327" s="300"/>
      <c r="R327" s="300"/>
      <c r="S327" s="300"/>
      <c r="T327" s="300"/>
      <c r="U327" s="300"/>
      <c r="V327" s="300"/>
      <c r="W327" s="300"/>
      <c r="X327" s="300"/>
      <c r="Y327" s="300"/>
      <c r="Z327" s="300"/>
    </row>
    <row r="328" spans="1:26">
      <c r="A328" s="215"/>
      <c r="B328" s="207">
        <v>1776</v>
      </c>
      <c r="C328" s="215" t="s">
        <v>7228</v>
      </c>
      <c r="D328" s="215" t="s">
        <v>7229</v>
      </c>
      <c r="E328" s="215" t="s">
        <v>7229</v>
      </c>
      <c r="F328" s="215" t="s">
        <v>6974</v>
      </c>
      <c r="G328" s="215" t="s">
        <v>6975</v>
      </c>
      <c r="H328" s="215" t="s">
        <v>6497</v>
      </c>
      <c r="I328" s="300"/>
      <c r="J328" s="300"/>
      <c r="K328" s="300"/>
      <c r="L328" s="300"/>
      <c r="M328" s="300"/>
      <c r="N328" s="300"/>
      <c r="O328" s="300"/>
      <c r="P328" s="300"/>
      <c r="Q328" s="300"/>
      <c r="R328" s="300"/>
      <c r="S328" s="300"/>
      <c r="T328" s="300"/>
      <c r="U328" s="300"/>
      <c r="V328" s="300"/>
      <c r="W328" s="300"/>
      <c r="X328" s="300"/>
      <c r="Y328" s="300"/>
      <c r="Z328" s="300"/>
    </row>
    <row r="329" spans="1:26">
      <c r="A329" s="215" t="s">
        <v>2810</v>
      </c>
      <c r="B329" s="207">
        <v>1781</v>
      </c>
      <c r="C329" s="215" t="s">
        <v>7230</v>
      </c>
      <c r="D329" s="215" t="s">
        <v>7231</v>
      </c>
      <c r="E329" s="215" t="s">
        <v>7232</v>
      </c>
      <c r="F329" s="215" t="s">
        <v>6974</v>
      </c>
      <c r="G329" s="215" t="s">
        <v>6975</v>
      </c>
      <c r="H329" s="215" t="s">
        <v>6521</v>
      </c>
      <c r="I329" s="300"/>
      <c r="J329" s="300"/>
      <c r="K329" s="300"/>
      <c r="L329" s="300"/>
      <c r="M329" s="300"/>
      <c r="N329" s="300"/>
      <c r="O329" s="300"/>
      <c r="P329" s="300"/>
      <c r="Q329" s="300"/>
      <c r="R329" s="300"/>
      <c r="S329" s="300"/>
      <c r="T329" s="300"/>
      <c r="U329" s="300"/>
      <c r="V329" s="300"/>
      <c r="W329" s="300"/>
      <c r="X329" s="300"/>
      <c r="Y329" s="300"/>
      <c r="Z329" s="300"/>
    </row>
    <row r="330" spans="1:26">
      <c r="A330" s="215" t="s">
        <v>3845</v>
      </c>
      <c r="B330" s="207">
        <v>1782</v>
      </c>
      <c r="C330" s="215" t="s">
        <v>7233</v>
      </c>
      <c r="D330" s="215" t="s">
        <v>7234</v>
      </c>
      <c r="E330" s="215" t="s">
        <v>7235</v>
      </c>
      <c r="F330" s="215" t="s">
        <v>6974</v>
      </c>
      <c r="G330" s="215" t="s">
        <v>6975</v>
      </c>
      <c r="H330" s="215" t="s">
        <v>6497</v>
      </c>
      <c r="I330" s="300"/>
      <c r="J330" s="300"/>
      <c r="K330" s="300"/>
      <c r="L330" s="300"/>
      <c r="M330" s="300"/>
      <c r="N330" s="300"/>
      <c r="O330" s="300"/>
      <c r="P330" s="300"/>
      <c r="Q330" s="300"/>
      <c r="R330" s="300"/>
      <c r="S330" s="300"/>
      <c r="T330" s="300"/>
      <c r="U330" s="300"/>
      <c r="V330" s="300"/>
      <c r="W330" s="300"/>
      <c r="X330" s="300"/>
      <c r="Y330" s="300"/>
      <c r="Z330" s="300"/>
    </row>
    <row r="331" spans="1:26">
      <c r="A331" s="215" t="s">
        <v>7236</v>
      </c>
      <c r="B331" s="207">
        <v>1785</v>
      </c>
      <c r="C331" s="215" t="s">
        <v>7237</v>
      </c>
      <c r="D331" s="215" t="s">
        <v>7238</v>
      </c>
      <c r="E331" s="215" t="s">
        <v>7239</v>
      </c>
      <c r="F331" s="215" t="s">
        <v>6974</v>
      </c>
      <c r="G331" s="215" t="s">
        <v>6975</v>
      </c>
      <c r="H331" s="215" t="s">
        <v>6521</v>
      </c>
      <c r="I331" s="300"/>
      <c r="J331" s="300"/>
      <c r="K331" s="300"/>
      <c r="L331" s="300"/>
      <c r="M331" s="300"/>
      <c r="N331" s="300"/>
      <c r="O331" s="300"/>
      <c r="P331" s="300"/>
      <c r="Q331" s="300"/>
      <c r="R331" s="300"/>
      <c r="S331" s="300"/>
      <c r="T331" s="300"/>
      <c r="U331" s="300"/>
      <c r="V331" s="300"/>
      <c r="W331" s="300"/>
      <c r="X331" s="300"/>
      <c r="Y331" s="300"/>
      <c r="Z331" s="300"/>
    </row>
    <row r="332" spans="1:26">
      <c r="A332" s="215" t="s">
        <v>2977</v>
      </c>
      <c r="B332" s="207">
        <v>1789</v>
      </c>
      <c r="C332" s="215" t="s">
        <v>7240</v>
      </c>
      <c r="D332" s="215" t="s">
        <v>7241</v>
      </c>
      <c r="E332" s="215" t="s">
        <v>7242</v>
      </c>
      <c r="F332" s="215" t="s">
        <v>6974</v>
      </c>
      <c r="G332" s="215" t="s">
        <v>6975</v>
      </c>
      <c r="H332" s="215" t="s">
        <v>6497</v>
      </c>
      <c r="I332" s="300"/>
      <c r="J332" s="300"/>
      <c r="K332" s="300"/>
      <c r="L332" s="300"/>
      <c r="M332" s="300"/>
      <c r="N332" s="300"/>
      <c r="O332" s="300"/>
      <c r="P332" s="300"/>
      <c r="Q332" s="300"/>
      <c r="R332" s="300"/>
      <c r="S332" s="300"/>
      <c r="T332" s="300"/>
      <c r="U332" s="300"/>
      <c r="V332" s="300"/>
      <c r="W332" s="300"/>
      <c r="X332" s="300"/>
      <c r="Y332" s="300"/>
      <c r="Z332" s="300"/>
    </row>
    <row r="333" spans="1:26">
      <c r="A333" s="215" t="s">
        <v>4486</v>
      </c>
      <c r="B333" s="207">
        <v>1793</v>
      </c>
      <c r="C333" s="215" t="s">
        <v>7243</v>
      </c>
      <c r="D333" s="215" t="s">
        <v>7244</v>
      </c>
      <c r="E333" s="215" t="s">
        <v>7245</v>
      </c>
      <c r="F333" s="215" t="s">
        <v>6974</v>
      </c>
      <c r="G333" s="215" t="s">
        <v>6975</v>
      </c>
      <c r="H333" s="215" t="s">
        <v>6521</v>
      </c>
      <c r="I333" s="300"/>
      <c r="J333" s="300"/>
      <c r="K333" s="300"/>
      <c r="L333" s="300"/>
      <c r="M333" s="300"/>
      <c r="N333" s="300"/>
      <c r="O333" s="300"/>
      <c r="P333" s="300"/>
      <c r="Q333" s="300"/>
      <c r="R333" s="300"/>
      <c r="S333" s="300"/>
      <c r="T333" s="300"/>
      <c r="U333" s="300"/>
      <c r="V333" s="300"/>
      <c r="W333" s="300"/>
      <c r="X333" s="300"/>
      <c r="Y333" s="300"/>
      <c r="Z333" s="300"/>
    </row>
    <row r="334" spans="1:26">
      <c r="A334" s="215" t="s">
        <v>3171</v>
      </c>
      <c r="B334" s="207">
        <v>1794</v>
      </c>
      <c r="C334" s="215" t="s">
        <v>5307</v>
      </c>
      <c r="D334" s="215" t="s">
        <v>7246</v>
      </c>
      <c r="E334" s="215" t="s">
        <v>7246</v>
      </c>
      <c r="F334" s="215" t="s">
        <v>6974</v>
      </c>
      <c r="G334" s="215" t="s">
        <v>6975</v>
      </c>
      <c r="H334" s="215" t="s">
        <v>6497</v>
      </c>
      <c r="I334" s="300"/>
      <c r="J334" s="300"/>
      <c r="K334" s="300"/>
      <c r="L334" s="300"/>
      <c r="M334" s="300"/>
      <c r="N334" s="300"/>
      <c r="O334" s="300"/>
      <c r="P334" s="300"/>
      <c r="Q334" s="300"/>
      <c r="R334" s="300"/>
      <c r="S334" s="300"/>
      <c r="T334" s="300"/>
      <c r="U334" s="300"/>
      <c r="V334" s="300"/>
      <c r="W334" s="300"/>
      <c r="X334" s="300"/>
      <c r="Y334" s="300"/>
      <c r="Z334" s="300"/>
    </row>
    <row r="335" spans="1:26">
      <c r="A335" s="215" t="s">
        <v>3014</v>
      </c>
      <c r="B335" s="207">
        <v>1796</v>
      </c>
      <c r="C335" s="215" t="s">
        <v>7247</v>
      </c>
      <c r="D335" s="215" t="s">
        <v>7248</v>
      </c>
      <c r="E335" s="215" t="s">
        <v>7249</v>
      </c>
      <c r="F335" s="215" t="s">
        <v>6974</v>
      </c>
      <c r="G335" s="215" t="s">
        <v>6975</v>
      </c>
      <c r="H335" s="215" t="s">
        <v>6500</v>
      </c>
      <c r="I335" s="300"/>
      <c r="J335" s="300"/>
      <c r="K335" s="300"/>
      <c r="L335" s="300"/>
      <c r="M335" s="300"/>
      <c r="N335" s="300"/>
      <c r="O335" s="300"/>
      <c r="P335" s="300"/>
      <c r="Q335" s="300"/>
      <c r="R335" s="300"/>
      <c r="S335" s="300"/>
      <c r="T335" s="300"/>
      <c r="U335" s="300"/>
      <c r="V335" s="300"/>
      <c r="W335" s="300"/>
      <c r="X335" s="300"/>
      <c r="Y335" s="300"/>
      <c r="Z335" s="300"/>
    </row>
    <row r="336" spans="1:26">
      <c r="A336" s="215" t="s">
        <v>3016</v>
      </c>
      <c r="B336" s="207">
        <v>1798</v>
      </c>
      <c r="C336" s="215" t="s">
        <v>7250</v>
      </c>
      <c r="D336" s="215" t="s">
        <v>7251</v>
      </c>
      <c r="E336" s="215" t="s">
        <v>7252</v>
      </c>
      <c r="F336" s="215" t="s">
        <v>6974</v>
      </c>
      <c r="G336" s="215" t="s">
        <v>6975</v>
      </c>
      <c r="H336" s="215" t="s">
        <v>6521</v>
      </c>
      <c r="I336" s="300"/>
      <c r="J336" s="300"/>
      <c r="K336" s="300"/>
      <c r="L336" s="300"/>
      <c r="M336" s="300"/>
      <c r="N336" s="300"/>
      <c r="O336" s="300"/>
      <c r="P336" s="300"/>
      <c r="Q336" s="300"/>
      <c r="R336" s="300"/>
      <c r="S336" s="300"/>
      <c r="T336" s="300"/>
      <c r="U336" s="300"/>
      <c r="V336" s="300"/>
      <c r="W336" s="300"/>
      <c r="X336" s="300"/>
      <c r="Y336" s="300"/>
      <c r="Z336" s="300"/>
    </row>
    <row r="337" spans="1:26">
      <c r="A337" s="215" t="s">
        <v>2833</v>
      </c>
      <c r="B337" s="207">
        <v>1805</v>
      </c>
      <c r="C337" s="215" t="s">
        <v>5263</v>
      </c>
      <c r="D337" s="215" t="s">
        <v>7253</v>
      </c>
      <c r="E337" s="215" t="s">
        <v>7254</v>
      </c>
      <c r="F337" s="215" t="s">
        <v>6974</v>
      </c>
      <c r="G337" s="215" t="s">
        <v>6975</v>
      </c>
      <c r="H337" s="215" t="s">
        <v>6500</v>
      </c>
      <c r="I337" s="300"/>
      <c r="J337" s="300"/>
      <c r="K337" s="300"/>
      <c r="L337" s="300"/>
      <c r="M337" s="300"/>
      <c r="N337" s="300"/>
      <c r="O337" s="300"/>
      <c r="P337" s="300"/>
      <c r="Q337" s="300"/>
      <c r="R337" s="300"/>
      <c r="S337" s="300"/>
      <c r="T337" s="300"/>
      <c r="U337" s="300"/>
      <c r="V337" s="300"/>
      <c r="W337" s="300"/>
      <c r="X337" s="300"/>
      <c r="Y337" s="300"/>
      <c r="Z337" s="300"/>
    </row>
    <row r="338" spans="1:26">
      <c r="A338" s="215" t="s">
        <v>4487</v>
      </c>
      <c r="B338" s="207">
        <v>1806</v>
      </c>
      <c r="C338" s="215" t="s">
        <v>7255</v>
      </c>
      <c r="D338" s="215" t="s">
        <v>7256</v>
      </c>
      <c r="E338" s="215" t="s">
        <v>7257</v>
      </c>
      <c r="F338" s="215" t="s">
        <v>6974</v>
      </c>
      <c r="G338" s="215" t="s">
        <v>6975</v>
      </c>
      <c r="H338" s="215" t="s">
        <v>6504</v>
      </c>
      <c r="I338" s="300"/>
      <c r="J338" s="300"/>
      <c r="K338" s="300"/>
      <c r="L338" s="300"/>
      <c r="M338" s="300"/>
      <c r="N338" s="300"/>
      <c r="O338" s="300"/>
      <c r="P338" s="300"/>
      <c r="Q338" s="300"/>
      <c r="R338" s="300"/>
      <c r="S338" s="300"/>
      <c r="T338" s="300"/>
      <c r="U338" s="300"/>
      <c r="V338" s="300"/>
      <c r="W338" s="300"/>
      <c r="X338" s="300"/>
      <c r="Y338" s="300"/>
      <c r="Z338" s="300"/>
    </row>
    <row r="339" spans="1:26">
      <c r="A339" s="215" t="s">
        <v>3436</v>
      </c>
      <c r="B339" s="207">
        <v>1807</v>
      </c>
      <c r="C339" s="215" t="s">
        <v>7258</v>
      </c>
      <c r="D339" s="215" t="s">
        <v>7259</v>
      </c>
      <c r="E339" s="215" t="s">
        <v>7260</v>
      </c>
      <c r="F339" s="215" t="s">
        <v>6974</v>
      </c>
      <c r="G339" s="215" t="s">
        <v>6975</v>
      </c>
      <c r="H339" s="215" t="s">
        <v>6521</v>
      </c>
      <c r="I339" s="300"/>
      <c r="J339" s="300"/>
      <c r="K339" s="300"/>
      <c r="L339" s="300"/>
      <c r="M339" s="300"/>
      <c r="N339" s="300"/>
      <c r="O339" s="300"/>
      <c r="P339" s="300"/>
      <c r="Q339" s="300"/>
      <c r="R339" s="300"/>
      <c r="S339" s="300"/>
      <c r="T339" s="300"/>
      <c r="U339" s="300"/>
      <c r="V339" s="300"/>
      <c r="W339" s="300"/>
      <c r="X339" s="300"/>
      <c r="Y339" s="300"/>
      <c r="Z339" s="300"/>
    </row>
    <row r="340" spans="1:26">
      <c r="A340" s="215" t="s">
        <v>3717</v>
      </c>
      <c r="B340" s="207">
        <v>1808</v>
      </c>
      <c r="C340" s="215" t="s">
        <v>7261</v>
      </c>
      <c r="D340" s="215" t="s">
        <v>7262</v>
      </c>
      <c r="E340" s="215" t="s">
        <v>7263</v>
      </c>
      <c r="F340" s="215" t="s">
        <v>6974</v>
      </c>
      <c r="G340" s="215" t="s">
        <v>6975</v>
      </c>
      <c r="H340" s="215" t="s">
        <v>6521</v>
      </c>
      <c r="I340" s="300"/>
      <c r="J340" s="300"/>
      <c r="K340" s="300"/>
      <c r="L340" s="300"/>
      <c r="M340" s="300"/>
      <c r="N340" s="300"/>
      <c r="O340" s="300"/>
      <c r="P340" s="300"/>
      <c r="Q340" s="300"/>
      <c r="R340" s="300"/>
      <c r="S340" s="300"/>
      <c r="T340" s="300"/>
      <c r="U340" s="300"/>
      <c r="V340" s="300"/>
      <c r="W340" s="300"/>
      <c r="X340" s="300"/>
      <c r="Y340" s="300"/>
      <c r="Z340" s="300"/>
    </row>
    <row r="341" spans="1:26">
      <c r="A341" s="215" t="s">
        <v>3722</v>
      </c>
      <c r="B341" s="207">
        <v>1809</v>
      </c>
      <c r="C341" s="215" t="s">
        <v>7264</v>
      </c>
      <c r="D341" s="215" t="s">
        <v>7265</v>
      </c>
      <c r="E341" s="215" t="s">
        <v>7266</v>
      </c>
      <c r="F341" s="215" t="s">
        <v>6974</v>
      </c>
      <c r="G341" s="215" t="s">
        <v>6975</v>
      </c>
      <c r="H341" s="215" t="s">
        <v>6521</v>
      </c>
      <c r="I341" s="300"/>
      <c r="J341" s="300"/>
      <c r="K341" s="300"/>
      <c r="L341" s="300"/>
      <c r="M341" s="300"/>
      <c r="N341" s="300"/>
      <c r="O341" s="300"/>
      <c r="P341" s="300"/>
      <c r="Q341" s="300"/>
      <c r="R341" s="300"/>
      <c r="S341" s="300"/>
      <c r="T341" s="300"/>
      <c r="U341" s="300"/>
      <c r="V341" s="300"/>
      <c r="W341" s="300"/>
      <c r="X341" s="300"/>
      <c r="Y341" s="300"/>
      <c r="Z341" s="300"/>
    </row>
    <row r="342" spans="1:26">
      <c r="A342" s="215" t="s">
        <v>3667</v>
      </c>
      <c r="B342" s="207">
        <v>1810</v>
      </c>
      <c r="C342" s="215" t="s">
        <v>5757</v>
      </c>
      <c r="D342" s="215" t="s">
        <v>7267</v>
      </c>
      <c r="E342" s="215" t="s">
        <v>7267</v>
      </c>
      <c r="F342" s="215" t="s">
        <v>6974</v>
      </c>
      <c r="G342" s="215" t="s">
        <v>6975</v>
      </c>
      <c r="H342" s="215" t="s">
        <v>6521</v>
      </c>
      <c r="I342" s="300"/>
      <c r="J342" s="300"/>
      <c r="K342" s="300"/>
      <c r="L342" s="300"/>
      <c r="M342" s="300"/>
      <c r="N342" s="300"/>
      <c r="O342" s="300"/>
      <c r="P342" s="300"/>
      <c r="Q342" s="300"/>
      <c r="R342" s="300"/>
      <c r="S342" s="300"/>
      <c r="T342" s="300"/>
      <c r="U342" s="300"/>
      <c r="V342" s="300"/>
      <c r="W342" s="300"/>
      <c r="X342" s="300"/>
      <c r="Y342" s="300"/>
      <c r="Z342" s="300"/>
    </row>
    <row r="343" spans="1:26">
      <c r="A343" s="215" t="s">
        <v>4365</v>
      </c>
      <c r="B343" s="207">
        <v>1811</v>
      </c>
      <c r="C343" s="215" t="s">
        <v>6315</v>
      </c>
      <c r="D343" s="215" t="s">
        <v>7268</v>
      </c>
      <c r="E343" s="215" t="s">
        <v>7268</v>
      </c>
      <c r="F343" s="215" t="s">
        <v>6974</v>
      </c>
      <c r="G343" s="215" t="s">
        <v>6975</v>
      </c>
      <c r="H343" s="215" t="s">
        <v>6548</v>
      </c>
      <c r="I343" s="300"/>
      <c r="J343" s="300"/>
      <c r="K343" s="300"/>
      <c r="L343" s="300"/>
      <c r="M343" s="300"/>
      <c r="N343" s="300"/>
      <c r="O343" s="300"/>
      <c r="P343" s="300"/>
      <c r="Q343" s="300"/>
      <c r="R343" s="300"/>
      <c r="S343" s="300"/>
      <c r="T343" s="300"/>
      <c r="U343" s="300"/>
      <c r="V343" s="300"/>
      <c r="W343" s="300"/>
      <c r="X343" s="300"/>
      <c r="Y343" s="300"/>
      <c r="Z343" s="300"/>
    </row>
    <row r="344" spans="1:26">
      <c r="A344" s="215" t="s">
        <v>3594</v>
      </c>
      <c r="B344" s="207">
        <v>1812</v>
      </c>
      <c r="C344" s="215" t="s">
        <v>7269</v>
      </c>
      <c r="D344" s="215" t="s">
        <v>7270</v>
      </c>
      <c r="E344" s="215" t="s">
        <v>7271</v>
      </c>
      <c r="F344" s="215" t="s">
        <v>6974</v>
      </c>
      <c r="G344" s="215" t="s">
        <v>6975</v>
      </c>
      <c r="H344" s="215" t="s">
        <v>6521</v>
      </c>
      <c r="I344" s="300"/>
      <c r="J344" s="300"/>
      <c r="K344" s="300"/>
      <c r="L344" s="300"/>
      <c r="M344" s="300"/>
      <c r="N344" s="300"/>
      <c r="O344" s="300"/>
      <c r="P344" s="300"/>
      <c r="Q344" s="300"/>
      <c r="R344" s="300"/>
      <c r="S344" s="300"/>
      <c r="T344" s="300"/>
      <c r="U344" s="300"/>
      <c r="V344" s="300"/>
      <c r="W344" s="300"/>
      <c r="X344" s="300"/>
      <c r="Y344" s="300"/>
      <c r="Z344" s="300"/>
    </row>
    <row r="345" spans="1:26">
      <c r="A345" s="215" t="s">
        <v>2828</v>
      </c>
      <c r="B345" s="207">
        <v>1813</v>
      </c>
      <c r="C345" s="215" t="s">
        <v>7272</v>
      </c>
      <c r="D345" s="215" t="s">
        <v>7273</v>
      </c>
      <c r="E345" s="215" t="s">
        <v>7274</v>
      </c>
      <c r="F345" s="215" t="s">
        <v>6974</v>
      </c>
      <c r="G345" s="215" t="s">
        <v>6975</v>
      </c>
      <c r="H345" s="215" t="s">
        <v>6497</v>
      </c>
      <c r="I345" s="300"/>
      <c r="J345" s="300"/>
      <c r="K345" s="300"/>
      <c r="L345" s="300"/>
      <c r="M345" s="300"/>
      <c r="N345" s="300"/>
      <c r="O345" s="300"/>
      <c r="P345" s="300"/>
      <c r="Q345" s="300"/>
      <c r="R345" s="300"/>
      <c r="S345" s="300"/>
      <c r="T345" s="300"/>
      <c r="U345" s="300"/>
      <c r="V345" s="300"/>
      <c r="W345" s="300"/>
      <c r="X345" s="300"/>
      <c r="Y345" s="300"/>
      <c r="Z345" s="300"/>
    </row>
    <row r="346" spans="1:26">
      <c r="A346" s="215" t="s">
        <v>3875</v>
      </c>
      <c r="B346" s="207">
        <v>1814</v>
      </c>
      <c r="C346" s="215" t="s">
        <v>7275</v>
      </c>
      <c r="D346" s="215" t="s">
        <v>7276</v>
      </c>
      <c r="E346" s="215" t="s">
        <v>7277</v>
      </c>
      <c r="F346" s="215" t="s">
        <v>6974</v>
      </c>
      <c r="G346" s="215" t="s">
        <v>6975</v>
      </c>
      <c r="H346" s="215" t="s">
        <v>6500</v>
      </c>
      <c r="I346" s="300"/>
      <c r="J346" s="300"/>
      <c r="K346" s="300"/>
      <c r="L346" s="300"/>
      <c r="M346" s="300"/>
      <c r="N346" s="300"/>
      <c r="O346" s="300"/>
      <c r="P346" s="300"/>
      <c r="Q346" s="300"/>
      <c r="R346" s="300"/>
      <c r="S346" s="300"/>
      <c r="T346" s="300"/>
      <c r="U346" s="300"/>
      <c r="V346" s="300"/>
      <c r="W346" s="300"/>
      <c r="X346" s="300"/>
      <c r="Y346" s="300"/>
      <c r="Z346" s="300"/>
    </row>
    <row r="347" spans="1:26">
      <c r="A347" s="215" t="s">
        <v>4314</v>
      </c>
      <c r="B347" s="207">
        <v>1815</v>
      </c>
      <c r="C347" s="215" t="s">
        <v>6271</v>
      </c>
      <c r="D347" s="215" t="s">
        <v>7278</v>
      </c>
      <c r="E347" s="215" t="s">
        <v>7278</v>
      </c>
      <c r="F347" s="215" t="s">
        <v>6974</v>
      </c>
      <c r="G347" s="215" t="s">
        <v>6975</v>
      </c>
      <c r="H347" s="215" t="s">
        <v>6548</v>
      </c>
      <c r="I347" s="300"/>
      <c r="J347" s="300"/>
      <c r="K347" s="300"/>
      <c r="L347" s="300"/>
      <c r="M347" s="300"/>
      <c r="N347" s="300"/>
      <c r="O347" s="300"/>
      <c r="P347" s="300"/>
      <c r="Q347" s="300"/>
      <c r="R347" s="300"/>
      <c r="S347" s="300"/>
      <c r="T347" s="300"/>
      <c r="U347" s="300"/>
      <c r="V347" s="300"/>
      <c r="W347" s="300"/>
      <c r="X347" s="300"/>
      <c r="Y347" s="300"/>
      <c r="Z347" s="300"/>
    </row>
    <row r="348" spans="1:26">
      <c r="A348" s="215" t="s">
        <v>4464</v>
      </c>
      <c r="B348" s="207">
        <v>1816</v>
      </c>
      <c r="C348" s="215" t="s">
        <v>7279</v>
      </c>
      <c r="D348" s="215" t="s">
        <v>7280</v>
      </c>
      <c r="E348" s="215" t="s">
        <v>7281</v>
      </c>
      <c r="F348" s="215" t="s">
        <v>6974</v>
      </c>
      <c r="G348" s="215" t="s">
        <v>6975</v>
      </c>
      <c r="H348" s="215" t="s">
        <v>6521</v>
      </c>
      <c r="I348" s="300"/>
      <c r="J348" s="300"/>
      <c r="K348" s="300"/>
      <c r="L348" s="300"/>
      <c r="M348" s="300"/>
      <c r="N348" s="300"/>
      <c r="O348" s="300"/>
      <c r="P348" s="300"/>
      <c r="Q348" s="300"/>
      <c r="R348" s="300"/>
      <c r="S348" s="300"/>
      <c r="T348" s="300"/>
      <c r="U348" s="300"/>
      <c r="V348" s="300"/>
      <c r="W348" s="300"/>
      <c r="X348" s="300"/>
      <c r="Y348" s="300"/>
      <c r="Z348" s="300"/>
    </row>
    <row r="349" spans="1:26">
      <c r="A349" s="215" t="s">
        <v>7282</v>
      </c>
      <c r="B349" s="207">
        <v>1817</v>
      </c>
      <c r="C349" s="215" t="s">
        <v>7283</v>
      </c>
      <c r="D349" s="215" t="s">
        <v>7284</v>
      </c>
      <c r="E349" s="215" t="s">
        <v>7285</v>
      </c>
      <c r="F349" s="215" t="s">
        <v>6974</v>
      </c>
      <c r="G349" s="215" t="s">
        <v>6975</v>
      </c>
      <c r="H349" s="215" t="s">
        <v>6548</v>
      </c>
      <c r="I349" s="300"/>
      <c r="J349" s="300"/>
      <c r="K349" s="300"/>
      <c r="L349" s="300"/>
      <c r="M349" s="300"/>
      <c r="N349" s="300"/>
      <c r="O349" s="300"/>
      <c r="P349" s="300"/>
      <c r="Q349" s="300"/>
      <c r="R349" s="300"/>
      <c r="S349" s="300"/>
      <c r="T349" s="300"/>
      <c r="U349" s="300"/>
      <c r="V349" s="300"/>
      <c r="W349" s="300"/>
      <c r="X349" s="300"/>
      <c r="Y349" s="300"/>
      <c r="Z349" s="300"/>
    </row>
    <row r="350" spans="1:26">
      <c r="A350" s="215" t="s">
        <v>4534</v>
      </c>
      <c r="B350" s="207">
        <v>1818</v>
      </c>
      <c r="C350" s="215" t="s">
        <v>7286</v>
      </c>
      <c r="D350" s="215" t="s">
        <v>7287</v>
      </c>
      <c r="E350" s="215" t="s">
        <v>7288</v>
      </c>
      <c r="F350" s="215" t="s">
        <v>6974</v>
      </c>
      <c r="G350" s="215" t="s">
        <v>6975</v>
      </c>
      <c r="H350" s="215" t="s">
        <v>6504</v>
      </c>
      <c r="I350" s="300"/>
      <c r="J350" s="300"/>
      <c r="K350" s="300"/>
      <c r="L350" s="300"/>
      <c r="M350" s="300"/>
      <c r="N350" s="300"/>
      <c r="O350" s="300"/>
      <c r="P350" s="300"/>
      <c r="Q350" s="300"/>
      <c r="R350" s="300"/>
      <c r="S350" s="300"/>
      <c r="T350" s="300"/>
      <c r="U350" s="300"/>
      <c r="V350" s="300"/>
      <c r="W350" s="300"/>
      <c r="X350" s="300"/>
      <c r="Y350" s="300"/>
      <c r="Z350" s="300"/>
    </row>
    <row r="351" spans="1:26">
      <c r="A351" s="215" t="s">
        <v>4017</v>
      </c>
      <c r="B351" s="207">
        <v>1819</v>
      </c>
      <c r="C351" s="215" t="s">
        <v>6042</v>
      </c>
      <c r="D351" s="215" t="s">
        <v>7289</v>
      </c>
      <c r="E351" s="215" t="s">
        <v>7289</v>
      </c>
      <c r="F351" s="215" t="s">
        <v>6974</v>
      </c>
      <c r="G351" s="215" t="s">
        <v>6975</v>
      </c>
      <c r="H351" s="215" t="s">
        <v>6504</v>
      </c>
      <c r="I351" s="300"/>
      <c r="J351" s="300"/>
      <c r="K351" s="300"/>
      <c r="L351" s="300"/>
      <c r="M351" s="300"/>
      <c r="N351" s="300"/>
      <c r="O351" s="300"/>
      <c r="P351" s="300"/>
      <c r="Q351" s="300"/>
      <c r="R351" s="300"/>
      <c r="S351" s="300"/>
      <c r="T351" s="300"/>
      <c r="U351" s="300"/>
      <c r="V351" s="300"/>
      <c r="W351" s="300"/>
      <c r="X351" s="300"/>
      <c r="Y351" s="300"/>
      <c r="Z351" s="300"/>
    </row>
    <row r="352" spans="1:26">
      <c r="A352" s="215" t="s">
        <v>4370</v>
      </c>
      <c r="B352" s="207">
        <v>1820</v>
      </c>
      <c r="C352" s="215" t="s">
        <v>7290</v>
      </c>
      <c r="D352" s="215" t="s">
        <v>7291</v>
      </c>
      <c r="E352" s="215" t="s">
        <v>7292</v>
      </c>
      <c r="F352" s="215" t="s">
        <v>6974</v>
      </c>
      <c r="G352" s="215" t="s">
        <v>6975</v>
      </c>
      <c r="H352" s="215" t="s">
        <v>6521</v>
      </c>
      <c r="I352" s="300"/>
      <c r="J352" s="300"/>
      <c r="K352" s="300"/>
      <c r="L352" s="300"/>
      <c r="M352" s="300"/>
      <c r="N352" s="300"/>
      <c r="O352" s="300"/>
      <c r="P352" s="300"/>
      <c r="Q352" s="300"/>
      <c r="R352" s="300"/>
      <c r="S352" s="300"/>
      <c r="T352" s="300"/>
      <c r="U352" s="300"/>
      <c r="V352" s="300"/>
      <c r="W352" s="300"/>
      <c r="X352" s="300"/>
      <c r="Y352" s="300"/>
      <c r="Z352" s="300"/>
    </row>
    <row r="353" spans="1:26">
      <c r="A353" s="215" t="s">
        <v>3713</v>
      </c>
      <c r="B353" s="207">
        <v>1838</v>
      </c>
      <c r="C353" s="215" t="s">
        <v>5800</v>
      </c>
      <c r="D353" s="215" t="s">
        <v>7293</v>
      </c>
      <c r="E353" s="215" t="s">
        <v>7294</v>
      </c>
      <c r="F353" s="215" t="s">
        <v>6974</v>
      </c>
      <c r="G353" s="215" t="s">
        <v>6975</v>
      </c>
      <c r="H353" s="215" t="s">
        <v>6548</v>
      </c>
      <c r="I353" s="300"/>
      <c r="J353" s="300"/>
      <c r="K353" s="300"/>
      <c r="L353" s="300"/>
      <c r="M353" s="300"/>
      <c r="N353" s="300"/>
      <c r="O353" s="300"/>
      <c r="P353" s="300"/>
      <c r="Q353" s="300"/>
      <c r="R353" s="300"/>
      <c r="S353" s="300"/>
      <c r="T353" s="300"/>
      <c r="U353" s="300"/>
      <c r="V353" s="300"/>
      <c r="W353" s="300"/>
      <c r="X353" s="300"/>
      <c r="Y353" s="300"/>
      <c r="Z353" s="300"/>
    </row>
    <row r="354" spans="1:26">
      <c r="A354" s="215" t="s">
        <v>3585</v>
      </c>
      <c r="B354" s="207">
        <v>1839</v>
      </c>
      <c r="C354" s="215" t="s">
        <v>5687</v>
      </c>
      <c r="D354" s="215" t="s">
        <v>7295</v>
      </c>
      <c r="E354" s="215" t="s">
        <v>7296</v>
      </c>
      <c r="F354" s="215" t="s">
        <v>6974</v>
      </c>
      <c r="G354" s="215" t="s">
        <v>6975</v>
      </c>
      <c r="H354" s="215" t="s">
        <v>6500</v>
      </c>
      <c r="I354" s="300"/>
      <c r="J354" s="300"/>
      <c r="K354" s="300"/>
      <c r="L354" s="300"/>
      <c r="M354" s="300"/>
      <c r="N354" s="300"/>
      <c r="O354" s="300"/>
      <c r="P354" s="300"/>
      <c r="Q354" s="300"/>
      <c r="R354" s="300"/>
      <c r="S354" s="300"/>
      <c r="T354" s="300"/>
      <c r="U354" s="300"/>
      <c r="V354" s="300"/>
      <c r="W354" s="300"/>
      <c r="X354" s="300"/>
      <c r="Y354" s="300"/>
      <c r="Z354" s="300"/>
    </row>
    <row r="355" spans="1:26">
      <c r="A355" s="215" t="s">
        <v>3877</v>
      </c>
      <c r="B355" s="207">
        <v>1840</v>
      </c>
      <c r="C355" s="215" t="s">
        <v>7297</v>
      </c>
      <c r="D355" s="215" t="s">
        <v>7298</v>
      </c>
      <c r="E355" s="215" t="s">
        <v>7299</v>
      </c>
      <c r="F355" s="215" t="s">
        <v>6974</v>
      </c>
      <c r="G355" s="215" t="s">
        <v>6975</v>
      </c>
      <c r="H355" s="215" t="s">
        <v>6497</v>
      </c>
      <c r="I355" s="300"/>
      <c r="J355" s="300"/>
      <c r="K355" s="300"/>
      <c r="L355" s="300"/>
      <c r="M355" s="300"/>
      <c r="N355" s="300"/>
      <c r="O355" s="300"/>
      <c r="P355" s="300"/>
      <c r="Q355" s="300"/>
      <c r="R355" s="300"/>
      <c r="S355" s="300"/>
      <c r="T355" s="300"/>
      <c r="U355" s="300"/>
      <c r="V355" s="300"/>
      <c r="W355" s="300"/>
      <c r="X355" s="300"/>
      <c r="Y355" s="300"/>
      <c r="Z355" s="300"/>
    </row>
    <row r="356" spans="1:26">
      <c r="A356" s="215" t="s">
        <v>3876</v>
      </c>
      <c r="B356" s="207">
        <v>1842</v>
      </c>
      <c r="C356" s="215" t="s">
        <v>5941</v>
      </c>
      <c r="D356" s="215" t="s">
        <v>7300</v>
      </c>
      <c r="E356" s="215" t="s">
        <v>7300</v>
      </c>
      <c r="F356" s="215" t="s">
        <v>6974</v>
      </c>
      <c r="G356" s="215" t="s">
        <v>6975</v>
      </c>
      <c r="H356" s="215" t="s">
        <v>6504</v>
      </c>
      <c r="I356" s="300"/>
      <c r="J356" s="300"/>
      <c r="K356" s="300"/>
      <c r="L356" s="300"/>
      <c r="M356" s="300"/>
      <c r="N356" s="300"/>
      <c r="O356" s="300"/>
      <c r="P356" s="300"/>
      <c r="Q356" s="300"/>
      <c r="R356" s="300"/>
      <c r="S356" s="300"/>
      <c r="T356" s="300"/>
      <c r="U356" s="300"/>
      <c r="V356" s="300"/>
      <c r="W356" s="300"/>
      <c r="X356" s="300"/>
      <c r="Y356" s="300"/>
      <c r="Z356" s="300"/>
    </row>
    <row r="357" spans="1:26">
      <c r="A357" s="215" t="s">
        <v>3713</v>
      </c>
      <c r="B357" s="207">
        <v>1843</v>
      </c>
      <c r="C357" s="215" t="s">
        <v>5801</v>
      </c>
      <c r="D357" s="215" t="s">
        <v>7301</v>
      </c>
      <c r="E357" s="215" t="s">
        <v>7302</v>
      </c>
      <c r="F357" s="215" t="s">
        <v>6974</v>
      </c>
      <c r="G357" s="215" t="s">
        <v>6975</v>
      </c>
      <c r="H357" s="215" t="s">
        <v>6521</v>
      </c>
      <c r="I357" s="300"/>
      <c r="J357" s="300"/>
      <c r="K357" s="300"/>
      <c r="L357" s="300"/>
      <c r="M357" s="300"/>
      <c r="N357" s="300"/>
      <c r="O357" s="300"/>
      <c r="P357" s="300"/>
      <c r="Q357" s="300"/>
      <c r="R357" s="300"/>
      <c r="S357" s="300"/>
      <c r="T357" s="300"/>
      <c r="U357" s="300"/>
      <c r="V357" s="300"/>
      <c r="W357" s="300"/>
      <c r="X357" s="300"/>
      <c r="Y357" s="300"/>
      <c r="Z357" s="300"/>
    </row>
    <row r="358" spans="1:26">
      <c r="A358" s="215" t="s">
        <v>3925</v>
      </c>
      <c r="B358" s="207">
        <v>1845</v>
      </c>
      <c r="C358" s="215" t="s">
        <v>7303</v>
      </c>
      <c r="D358" s="215" t="s">
        <v>7304</v>
      </c>
      <c r="E358" s="215" t="s">
        <v>7305</v>
      </c>
      <c r="F358" s="215" t="s">
        <v>6974</v>
      </c>
      <c r="G358" s="215" t="s">
        <v>6975</v>
      </c>
      <c r="H358" s="215" t="s">
        <v>6504</v>
      </c>
      <c r="I358" s="300"/>
      <c r="J358" s="300"/>
      <c r="K358" s="300"/>
      <c r="L358" s="300"/>
      <c r="M358" s="300"/>
      <c r="N358" s="300"/>
      <c r="O358" s="300"/>
      <c r="P358" s="300"/>
      <c r="Q358" s="300"/>
      <c r="R358" s="300"/>
      <c r="S358" s="300"/>
      <c r="T358" s="300"/>
      <c r="U358" s="300"/>
      <c r="V358" s="300"/>
      <c r="W358" s="300"/>
      <c r="X358" s="300"/>
      <c r="Y358" s="300"/>
      <c r="Z358" s="300"/>
    </row>
    <row r="359" spans="1:26">
      <c r="A359" s="215" t="s">
        <v>4186</v>
      </c>
      <c r="B359" s="207">
        <v>1847</v>
      </c>
      <c r="C359" s="215" t="s">
        <v>7306</v>
      </c>
      <c r="D359" s="215" t="s">
        <v>7307</v>
      </c>
      <c r="E359" s="215" t="s">
        <v>7308</v>
      </c>
      <c r="F359" s="215" t="s">
        <v>6974</v>
      </c>
      <c r="G359" s="215" t="s">
        <v>6975</v>
      </c>
      <c r="H359" s="215" t="s">
        <v>6497</v>
      </c>
      <c r="I359" s="300"/>
      <c r="J359" s="300"/>
      <c r="K359" s="300"/>
      <c r="L359" s="300"/>
      <c r="M359" s="300"/>
      <c r="N359" s="300"/>
      <c r="O359" s="300"/>
      <c r="P359" s="300"/>
      <c r="Q359" s="300"/>
      <c r="R359" s="300"/>
      <c r="S359" s="300"/>
      <c r="T359" s="300"/>
      <c r="U359" s="300"/>
      <c r="V359" s="300"/>
      <c r="W359" s="300"/>
      <c r="X359" s="300"/>
      <c r="Y359" s="300"/>
      <c r="Z359" s="300"/>
    </row>
    <row r="360" spans="1:26">
      <c r="A360" s="215" t="s">
        <v>3877</v>
      </c>
      <c r="B360" s="207">
        <v>1849</v>
      </c>
      <c r="C360" s="215" t="s">
        <v>5943</v>
      </c>
      <c r="D360" s="215" t="s">
        <v>7309</v>
      </c>
      <c r="E360" s="215" t="s">
        <v>7310</v>
      </c>
      <c r="F360" s="215" t="s">
        <v>6974</v>
      </c>
      <c r="G360" s="215" t="s">
        <v>6975</v>
      </c>
      <c r="H360" s="215" t="s">
        <v>6504</v>
      </c>
      <c r="I360" s="300"/>
      <c r="J360" s="300"/>
      <c r="K360" s="300"/>
      <c r="L360" s="300"/>
      <c r="M360" s="300"/>
      <c r="N360" s="300"/>
      <c r="O360" s="300"/>
      <c r="P360" s="300"/>
      <c r="Q360" s="300"/>
      <c r="R360" s="300"/>
      <c r="S360" s="300"/>
      <c r="T360" s="300"/>
      <c r="U360" s="300"/>
      <c r="V360" s="300"/>
      <c r="W360" s="300"/>
      <c r="X360" s="300"/>
      <c r="Y360" s="300"/>
      <c r="Z360" s="300"/>
    </row>
    <row r="361" spans="1:26">
      <c r="A361" s="215" t="s">
        <v>4334</v>
      </c>
      <c r="B361" s="207">
        <v>1852</v>
      </c>
      <c r="C361" s="215" t="s">
        <v>7311</v>
      </c>
      <c r="D361" s="215" t="s">
        <v>7312</v>
      </c>
      <c r="E361" s="215" t="s">
        <v>7313</v>
      </c>
      <c r="F361" s="215" t="s">
        <v>6974</v>
      </c>
      <c r="G361" s="215" t="s">
        <v>6975</v>
      </c>
      <c r="H361" s="215" t="s">
        <v>6521</v>
      </c>
      <c r="I361" s="300"/>
      <c r="J361" s="300"/>
      <c r="K361" s="300"/>
      <c r="L361" s="300"/>
      <c r="M361" s="300"/>
      <c r="N361" s="300"/>
      <c r="O361" s="300"/>
      <c r="P361" s="300"/>
      <c r="Q361" s="300"/>
      <c r="R361" s="300"/>
      <c r="S361" s="300"/>
      <c r="T361" s="300"/>
      <c r="U361" s="300"/>
      <c r="V361" s="300"/>
      <c r="W361" s="300"/>
      <c r="X361" s="300"/>
      <c r="Y361" s="300"/>
      <c r="Z361" s="300"/>
    </row>
    <row r="362" spans="1:26">
      <c r="A362" s="215" t="s">
        <v>4330</v>
      </c>
      <c r="B362" s="207">
        <v>1854</v>
      </c>
      <c r="C362" s="215" t="s">
        <v>7314</v>
      </c>
      <c r="D362" s="215" t="s">
        <v>7315</v>
      </c>
      <c r="E362" s="215" t="s">
        <v>7316</v>
      </c>
      <c r="F362" s="215" t="s">
        <v>6974</v>
      </c>
      <c r="G362" s="215" t="s">
        <v>6975</v>
      </c>
      <c r="H362" s="215" t="s">
        <v>6521</v>
      </c>
      <c r="I362" s="300"/>
      <c r="J362" s="300"/>
      <c r="K362" s="300"/>
      <c r="L362" s="300"/>
      <c r="M362" s="300"/>
      <c r="N362" s="300"/>
      <c r="O362" s="300"/>
      <c r="P362" s="300"/>
      <c r="Q362" s="300"/>
      <c r="R362" s="300"/>
      <c r="S362" s="300"/>
      <c r="T362" s="300"/>
      <c r="U362" s="300"/>
      <c r="V362" s="300"/>
      <c r="W362" s="300"/>
      <c r="X362" s="300"/>
      <c r="Y362" s="300"/>
      <c r="Z362" s="300"/>
    </row>
    <row r="363" spans="1:26">
      <c r="A363" s="215" t="s">
        <v>2726</v>
      </c>
      <c r="B363" s="207">
        <v>1855</v>
      </c>
      <c r="C363" s="215" t="s">
        <v>7317</v>
      </c>
      <c r="D363" s="215" t="s">
        <v>7318</v>
      </c>
      <c r="E363" s="215" t="s">
        <v>7319</v>
      </c>
      <c r="F363" s="215" t="s">
        <v>6974</v>
      </c>
      <c r="G363" s="215" t="s">
        <v>6975</v>
      </c>
      <c r="H363" s="215" t="s">
        <v>6521</v>
      </c>
      <c r="I363" s="300"/>
      <c r="J363" s="300"/>
      <c r="K363" s="300"/>
      <c r="L363" s="300"/>
      <c r="M363" s="300"/>
      <c r="N363" s="300"/>
      <c r="O363" s="300"/>
      <c r="P363" s="300"/>
      <c r="Q363" s="300"/>
      <c r="R363" s="300"/>
      <c r="S363" s="300"/>
      <c r="T363" s="300"/>
      <c r="U363" s="300"/>
      <c r="V363" s="300"/>
      <c r="W363" s="300"/>
      <c r="X363" s="300"/>
      <c r="Y363" s="300"/>
      <c r="Z363" s="300"/>
    </row>
    <row r="364" spans="1:26">
      <c r="A364" s="215" t="s">
        <v>3191</v>
      </c>
      <c r="B364" s="207">
        <v>1856</v>
      </c>
      <c r="C364" s="215" t="s">
        <v>7320</v>
      </c>
      <c r="D364" s="215" t="s">
        <v>7321</v>
      </c>
      <c r="E364" s="215" t="s">
        <v>7322</v>
      </c>
      <c r="F364" s="215" t="s">
        <v>6974</v>
      </c>
      <c r="G364" s="215" t="s">
        <v>6975</v>
      </c>
      <c r="H364" s="215" t="s">
        <v>6521</v>
      </c>
      <c r="I364" s="300"/>
      <c r="J364" s="300"/>
      <c r="K364" s="300"/>
      <c r="L364" s="300"/>
      <c r="M364" s="300"/>
      <c r="N364" s="300"/>
      <c r="O364" s="300"/>
      <c r="P364" s="300"/>
      <c r="Q364" s="300"/>
      <c r="R364" s="300"/>
      <c r="S364" s="300"/>
      <c r="T364" s="300"/>
      <c r="U364" s="300"/>
      <c r="V364" s="300"/>
      <c r="W364" s="300"/>
      <c r="X364" s="300"/>
      <c r="Y364" s="300"/>
      <c r="Z364" s="300"/>
    </row>
    <row r="365" spans="1:26">
      <c r="A365" s="215" t="s">
        <v>3125</v>
      </c>
      <c r="B365" s="207">
        <v>1857</v>
      </c>
      <c r="C365" s="215" t="s">
        <v>7323</v>
      </c>
      <c r="D365" s="215" t="s">
        <v>7324</v>
      </c>
      <c r="E365" s="215" t="s">
        <v>7325</v>
      </c>
      <c r="F365" s="215" t="s">
        <v>6974</v>
      </c>
      <c r="G365" s="215" t="s">
        <v>6975</v>
      </c>
      <c r="H365" s="215" t="s">
        <v>6497</v>
      </c>
      <c r="I365" s="300"/>
      <c r="J365" s="300"/>
      <c r="K365" s="300"/>
      <c r="L365" s="300"/>
      <c r="M365" s="300"/>
      <c r="N365" s="300"/>
      <c r="O365" s="300"/>
      <c r="P365" s="300"/>
      <c r="Q365" s="300"/>
      <c r="R365" s="300"/>
      <c r="S365" s="300"/>
      <c r="T365" s="300"/>
      <c r="U365" s="300"/>
      <c r="V365" s="300"/>
      <c r="W365" s="300"/>
      <c r="X365" s="300"/>
      <c r="Y365" s="300"/>
      <c r="Z365" s="300"/>
    </row>
    <row r="366" spans="1:26">
      <c r="A366" s="215" t="s">
        <v>4500</v>
      </c>
      <c r="B366" s="207">
        <v>1858</v>
      </c>
      <c r="C366" s="215" t="s">
        <v>7326</v>
      </c>
      <c r="D366" s="215" t="s">
        <v>7327</v>
      </c>
      <c r="E366" s="215" t="s">
        <v>7328</v>
      </c>
      <c r="F366" s="215" t="s">
        <v>6974</v>
      </c>
      <c r="G366" s="215" t="s">
        <v>6975</v>
      </c>
      <c r="H366" s="215" t="s">
        <v>6521</v>
      </c>
      <c r="I366" s="300"/>
      <c r="J366" s="300"/>
      <c r="K366" s="300"/>
      <c r="L366" s="300"/>
      <c r="M366" s="300"/>
      <c r="N366" s="300"/>
      <c r="O366" s="300"/>
      <c r="P366" s="300"/>
      <c r="Q366" s="300"/>
      <c r="R366" s="300"/>
      <c r="S366" s="300"/>
      <c r="T366" s="300"/>
      <c r="U366" s="300"/>
      <c r="V366" s="300"/>
      <c r="W366" s="300"/>
      <c r="X366" s="300"/>
      <c r="Y366" s="300"/>
      <c r="Z366" s="300"/>
    </row>
    <row r="367" spans="1:26">
      <c r="A367" s="215" t="s">
        <v>4171</v>
      </c>
      <c r="B367" s="207">
        <v>1859</v>
      </c>
      <c r="C367" s="215" t="s">
        <v>6161</v>
      </c>
      <c r="D367" s="215" t="s">
        <v>7329</v>
      </c>
      <c r="E367" s="215" t="s">
        <v>7329</v>
      </c>
      <c r="F367" s="215" t="s">
        <v>6974</v>
      </c>
      <c r="G367" s="215" t="s">
        <v>6975</v>
      </c>
      <c r="H367" s="215" t="s">
        <v>6521</v>
      </c>
      <c r="I367" s="300"/>
      <c r="J367" s="300"/>
      <c r="K367" s="300"/>
      <c r="L367" s="300"/>
      <c r="M367" s="300"/>
      <c r="N367" s="300"/>
      <c r="O367" s="300"/>
      <c r="P367" s="300"/>
      <c r="Q367" s="300"/>
      <c r="R367" s="300"/>
      <c r="S367" s="300"/>
      <c r="T367" s="300"/>
      <c r="U367" s="300"/>
      <c r="V367" s="300"/>
      <c r="W367" s="300"/>
      <c r="X367" s="300"/>
      <c r="Y367" s="300"/>
      <c r="Z367" s="300"/>
    </row>
    <row r="368" spans="1:26">
      <c r="A368" s="215" t="s">
        <v>3279</v>
      </c>
      <c r="B368" s="207">
        <v>1867</v>
      </c>
      <c r="C368" s="215" t="s">
        <v>5407</v>
      </c>
      <c r="D368" s="215" t="s">
        <v>7330</v>
      </c>
      <c r="E368" s="215" t="s">
        <v>7331</v>
      </c>
      <c r="F368" s="215" t="s">
        <v>6974</v>
      </c>
      <c r="G368" s="215" t="s">
        <v>6975</v>
      </c>
      <c r="H368" s="215" t="s">
        <v>6497</v>
      </c>
      <c r="I368" s="300"/>
      <c r="J368" s="300"/>
      <c r="K368" s="300"/>
      <c r="L368" s="300"/>
      <c r="M368" s="300"/>
      <c r="N368" s="300"/>
      <c r="O368" s="300"/>
      <c r="P368" s="300"/>
      <c r="Q368" s="300"/>
      <c r="R368" s="300"/>
      <c r="S368" s="300"/>
      <c r="T368" s="300"/>
      <c r="U368" s="300"/>
      <c r="V368" s="300"/>
      <c r="W368" s="300"/>
      <c r="X368" s="300"/>
      <c r="Y368" s="300"/>
      <c r="Z368" s="300"/>
    </row>
    <row r="369" spans="1:26">
      <c r="A369" s="215" t="s">
        <v>3279</v>
      </c>
      <c r="B369" s="207">
        <v>1868</v>
      </c>
      <c r="C369" s="215" t="s">
        <v>5408</v>
      </c>
      <c r="D369" s="215" t="s">
        <v>7332</v>
      </c>
      <c r="E369" s="215" t="s">
        <v>7332</v>
      </c>
      <c r="F369" s="215" t="s">
        <v>6974</v>
      </c>
      <c r="G369" s="215" t="s">
        <v>6975</v>
      </c>
      <c r="H369" s="215" t="s">
        <v>6521</v>
      </c>
      <c r="I369" s="300"/>
      <c r="J369" s="300"/>
      <c r="K369" s="300"/>
      <c r="L369" s="300"/>
      <c r="M369" s="300"/>
      <c r="N369" s="300"/>
      <c r="O369" s="300"/>
      <c r="P369" s="300"/>
      <c r="Q369" s="300"/>
      <c r="R369" s="300"/>
      <c r="S369" s="300"/>
      <c r="T369" s="300"/>
      <c r="U369" s="300"/>
      <c r="V369" s="300"/>
      <c r="W369" s="300"/>
      <c r="X369" s="300"/>
      <c r="Y369" s="300"/>
      <c r="Z369" s="300"/>
    </row>
    <row r="370" spans="1:26">
      <c r="A370" s="215" t="s">
        <v>3439</v>
      </c>
      <c r="B370" s="207">
        <v>1869</v>
      </c>
      <c r="C370" s="215" t="s">
        <v>5560</v>
      </c>
      <c r="D370" s="215" t="s">
        <v>7333</v>
      </c>
      <c r="E370" s="215" t="s">
        <v>7333</v>
      </c>
      <c r="F370" s="215" t="s">
        <v>6974</v>
      </c>
      <c r="G370" s="215" t="s">
        <v>6975</v>
      </c>
      <c r="H370" s="215" t="s">
        <v>6521</v>
      </c>
      <c r="I370" s="300"/>
      <c r="J370" s="300"/>
      <c r="K370" s="300"/>
      <c r="L370" s="300"/>
      <c r="M370" s="300"/>
      <c r="N370" s="300"/>
      <c r="O370" s="300"/>
      <c r="P370" s="300"/>
      <c r="Q370" s="300"/>
      <c r="R370" s="300"/>
      <c r="S370" s="300"/>
      <c r="T370" s="300"/>
      <c r="U370" s="300"/>
      <c r="V370" s="300"/>
      <c r="W370" s="300"/>
      <c r="X370" s="300"/>
      <c r="Y370" s="300"/>
      <c r="Z370" s="300"/>
    </row>
    <row r="371" spans="1:26">
      <c r="A371" s="215" t="s">
        <v>4468</v>
      </c>
      <c r="B371" s="207">
        <v>1870</v>
      </c>
      <c r="C371" s="215" t="s">
        <v>7334</v>
      </c>
      <c r="D371" s="215" t="s">
        <v>7335</v>
      </c>
      <c r="E371" s="215" t="s">
        <v>7336</v>
      </c>
      <c r="F371" s="215" t="s">
        <v>6974</v>
      </c>
      <c r="G371" s="215" t="s">
        <v>6975</v>
      </c>
      <c r="H371" s="215" t="s">
        <v>6504</v>
      </c>
      <c r="I371" s="300"/>
      <c r="J371" s="300"/>
      <c r="K371" s="300"/>
      <c r="L371" s="300"/>
      <c r="M371" s="300"/>
      <c r="N371" s="300"/>
      <c r="O371" s="300"/>
      <c r="P371" s="300"/>
      <c r="Q371" s="300"/>
      <c r="R371" s="300"/>
      <c r="S371" s="300"/>
      <c r="T371" s="300"/>
      <c r="U371" s="300"/>
      <c r="V371" s="300"/>
      <c r="W371" s="300"/>
      <c r="X371" s="300"/>
      <c r="Y371" s="300"/>
      <c r="Z371" s="300"/>
    </row>
    <row r="372" spans="1:26">
      <c r="A372" s="215" t="s">
        <v>4187</v>
      </c>
      <c r="B372" s="207">
        <v>1872</v>
      </c>
      <c r="C372" s="215" t="s">
        <v>6173</v>
      </c>
      <c r="D372" s="215" t="s">
        <v>7337</v>
      </c>
      <c r="E372" s="215" t="s">
        <v>7337</v>
      </c>
      <c r="F372" s="215" t="s">
        <v>6974</v>
      </c>
      <c r="G372" s="215" t="s">
        <v>6975</v>
      </c>
      <c r="H372" s="215" t="s">
        <v>6521</v>
      </c>
      <c r="I372" s="300"/>
      <c r="J372" s="300"/>
      <c r="K372" s="300"/>
      <c r="L372" s="300"/>
      <c r="M372" s="300"/>
      <c r="N372" s="300"/>
      <c r="O372" s="300"/>
      <c r="P372" s="300"/>
      <c r="Q372" s="300"/>
      <c r="R372" s="300"/>
      <c r="S372" s="300"/>
      <c r="T372" s="300"/>
      <c r="U372" s="300"/>
      <c r="V372" s="300"/>
      <c r="W372" s="300"/>
      <c r="X372" s="300"/>
      <c r="Y372" s="300"/>
      <c r="Z372" s="300"/>
    </row>
    <row r="373" spans="1:26">
      <c r="A373" s="215" t="s">
        <v>4484</v>
      </c>
      <c r="B373" s="207">
        <v>1874</v>
      </c>
      <c r="C373" s="215" t="s">
        <v>6409</v>
      </c>
      <c r="D373" s="215" t="s">
        <v>7338</v>
      </c>
      <c r="E373" s="215" t="s">
        <v>7338</v>
      </c>
      <c r="F373" s="215" t="s">
        <v>6974</v>
      </c>
      <c r="G373" s="215" t="s">
        <v>6975</v>
      </c>
      <c r="H373" s="215" t="s">
        <v>6497</v>
      </c>
      <c r="I373" s="300"/>
      <c r="J373" s="300"/>
      <c r="K373" s="300"/>
      <c r="L373" s="300"/>
      <c r="M373" s="300"/>
      <c r="N373" s="300"/>
      <c r="O373" s="300"/>
      <c r="P373" s="300"/>
      <c r="Q373" s="300"/>
      <c r="R373" s="300"/>
      <c r="S373" s="300"/>
      <c r="T373" s="300"/>
      <c r="U373" s="300"/>
      <c r="V373" s="300"/>
      <c r="W373" s="300"/>
      <c r="X373" s="300"/>
      <c r="Y373" s="300"/>
      <c r="Z373" s="300"/>
    </row>
    <row r="374" spans="1:26">
      <c r="A374" s="215" t="s">
        <v>7339</v>
      </c>
      <c r="B374" s="207">
        <v>1878</v>
      </c>
      <c r="C374" s="215" t="s">
        <v>7340</v>
      </c>
      <c r="D374" s="215" t="s">
        <v>7341</v>
      </c>
      <c r="E374" s="215" t="s">
        <v>7342</v>
      </c>
      <c r="F374" s="215" t="s">
        <v>6974</v>
      </c>
      <c r="G374" s="215" t="s">
        <v>6975</v>
      </c>
      <c r="H374" s="215" t="s">
        <v>6521</v>
      </c>
      <c r="I374" s="300"/>
      <c r="J374" s="300"/>
      <c r="K374" s="300"/>
      <c r="L374" s="300"/>
      <c r="M374" s="300"/>
      <c r="N374" s="300"/>
      <c r="O374" s="300"/>
      <c r="P374" s="300"/>
      <c r="Q374" s="300"/>
      <c r="R374" s="300"/>
      <c r="S374" s="300"/>
      <c r="T374" s="300"/>
      <c r="U374" s="300"/>
      <c r="V374" s="300"/>
      <c r="W374" s="300"/>
      <c r="X374" s="300"/>
      <c r="Y374" s="300"/>
      <c r="Z374" s="300"/>
    </row>
    <row r="375" spans="1:26">
      <c r="A375" s="215" t="s">
        <v>3185</v>
      </c>
      <c r="B375" s="207">
        <v>1879</v>
      </c>
      <c r="C375" s="215" t="s">
        <v>7343</v>
      </c>
      <c r="D375" s="215" t="s">
        <v>7344</v>
      </c>
      <c r="E375" s="215" t="s">
        <v>7345</v>
      </c>
      <c r="F375" s="215" t="s">
        <v>6974</v>
      </c>
      <c r="G375" s="215" t="s">
        <v>6975</v>
      </c>
      <c r="H375" s="215" t="s">
        <v>6521</v>
      </c>
      <c r="I375" s="300"/>
      <c r="J375" s="300"/>
      <c r="K375" s="300"/>
      <c r="L375" s="300"/>
      <c r="M375" s="300"/>
      <c r="N375" s="300"/>
      <c r="O375" s="300"/>
      <c r="P375" s="300"/>
      <c r="Q375" s="300"/>
      <c r="R375" s="300"/>
      <c r="S375" s="300"/>
      <c r="T375" s="300"/>
      <c r="U375" s="300"/>
      <c r="V375" s="300"/>
      <c r="W375" s="300"/>
      <c r="X375" s="300"/>
      <c r="Y375" s="300"/>
      <c r="Z375" s="300"/>
    </row>
    <row r="376" spans="1:26">
      <c r="A376" s="215" t="s">
        <v>3444</v>
      </c>
      <c r="B376" s="207">
        <v>1880</v>
      </c>
      <c r="C376" s="215" t="s">
        <v>5565</v>
      </c>
      <c r="D376" s="215" t="s">
        <v>7346</v>
      </c>
      <c r="E376" s="215" t="s">
        <v>7347</v>
      </c>
      <c r="F376" s="215" t="s">
        <v>6974</v>
      </c>
      <c r="G376" s="215" t="s">
        <v>6975</v>
      </c>
      <c r="H376" s="215" t="s">
        <v>6497</v>
      </c>
      <c r="I376" s="300"/>
      <c r="J376" s="300"/>
      <c r="K376" s="300"/>
      <c r="L376" s="300"/>
      <c r="M376" s="300"/>
      <c r="N376" s="300"/>
      <c r="O376" s="300"/>
      <c r="P376" s="300"/>
      <c r="Q376" s="300"/>
      <c r="R376" s="300"/>
      <c r="S376" s="300"/>
      <c r="T376" s="300"/>
      <c r="U376" s="300"/>
      <c r="V376" s="300"/>
      <c r="W376" s="300"/>
      <c r="X376" s="300"/>
      <c r="Y376" s="300"/>
      <c r="Z376" s="300"/>
    </row>
    <row r="377" spans="1:26">
      <c r="A377" s="215" t="s">
        <v>4475</v>
      </c>
      <c r="B377" s="207">
        <v>1881</v>
      </c>
      <c r="C377" s="215" t="s">
        <v>6401</v>
      </c>
      <c r="D377" s="215" t="s">
        <v>7348</v>
      </c>
      <c r="E377" s="215" t="s">
        <v>7349</v>
      </c>
      <c r="F377" s="215" t="s">
        <v>6974</v>
      </c>
      <c r="G377" s="215" t="s">
        <v>6975</v>
      </c>
      <c r="H377" s="215" t="s">
        <v>6548</v>
      </c>
      <c r="I377" s="300"/>
      <c r="J377" s="300"/>
      <c r="K377" s="300"/>
      <c r="L377" s="300"/>
      <c r="M377" s="300"/>
      <c r="N377" s="300"/>
      <c r="O377" s="300"/>
      <c r="P377" s="300"/>
      <c r="Q377" s="300"/>
      <c r="R377" s="300"/>
      <c r="S377" s="300"/>
      <c r="T377" s="300"/>
      <c r="U377" s="300"/>
      <c r="V377" s="300"/>
      <c r="W377" s="300"/>
      <c r="X377" s="300"/>
      <c r="Y377" s="300"/>
      <c r="Z377" s="300"/>
    </row>
    <row r="378" spans="1:26">
      <c r="A378" s="215" t="s">
        <v>4499</v>
      </c>
      <c r="B378" s="207">
        <v>1912</v>
      </c>
      <c r="C378" s="215" t="s">
        <v>7350</v>
      </c>
      <c r="D378" s="215" t="s">
        <v>7351</v>
      </c>
      <c r="E378" s="215" t="s">
        <v>7352</v>
      </c>
      <c r="F378" s="215" t="s">
        <v>6974</v>
      </c>
      <c r="G378" s="215" t="s">
        <v>6975</v>
      </c>
      <c r="H378" s="215" t="s">
        <v>6521</v>
      </c>
      <c r="I378" s="300"/>
      <c r="J378" s="300"/>
      <c r="K378" s="300"/>
      <c r="L378" s="300"/>
      <c r="M378" s="300"/>
      <c r="N378" s="300"/>
      <c r="O378" s="300"/>
      <c r="P378" s="300"/>
      <c r="Q378" s="300"/>
      <c r="R378" s="300"/>
      <c r="S378" s="300"/>
      <c r="T378" s="300"/>
      <c r="U378" s="300"/>
      <c r="V378" s="300"/>
      <c r="W378" s="300"/>
      <c r="X378" s="300"/>
      <c r="Y378" s="300"/>
      <c r="Z378" s="300"/>
    </row>
    <row r="379" spans="1:26">
      <c r="A379" s="215" t="s">
        <v>4071</v>
      </c>
      <c r="B379" s="207">
        <v>1915</v>
      </c>
      <c r="C379" s="215" t="s">
        <v>7353</v>
      </c>
      <c r="D379" s="215" t="s">
        <v>7354</v>
      </c>
      <c r="E379" s="215" t="s">
        <v>7355</v>
      </c>
      <c r="F379" s="215" t="s">
        <v>6974</v>
      </c>
      <c r="G379" s="215" t="s">
        <v>6975</v>
      </c>
      <c r="H379" s="215" t="s">
        <v>6521</v>
      </c>
      <c r="I379" s="300"/>
      <c r="J379" s="300"/>
      <c r="K379" s="300"/>
      <c r="L379" s="300"/>
      <c r="M379" s="300"/>
      <c r="N379" s="300"/>
      <c r="O379" s="300"/>
      <c r="P379" s="300"/>
      <c r="Q379" s="300"/>
      <c r="R379" s="300"/>
      <c r="S379" s="300"/>
      <c r="T379" s="300"/>
      <c r="U379" s="300"/>
      <c r="V379" s="300"/>
      <c r="W379" s="300"/>
      <c r="X379" s="300"/>
      <c r="Y379" s="300"/>
      <c r="Z379" s="300"/>
    </row>
    <row r="380" spans="1:26">
      <c r="A380" s="215" t="s">
        <v>3885</v>
      </c>
      <c r="B380" s="207">
        <v>1916</v>
      </c>
      <c r="C380" s="215" t="s">
        <v>7356</v>
      </c>
      <c r="D380" s="215" t="s">
        <v>7357</v>
      </c>
      <c r="E380" s="215" t="s">
        <v>7358</v>
      </c>
      <c r="F380" s="215" t="s">
        <v>6974</v>
      </c>
      <c r="G380" s="215" t="s">
        <v>6975</v>
      </c>
      <c r="H380" s="215" t="s">
        <v>6521</v>
      </c>
      <c r="I380" s="300"/>
      <c r="J380" s="300"/>
      <c r="K380" s="300"/>
      <c r="L380" s="300"/>
      <c r="M380" s="300"/>
      <c r="N380" s="300"/>
      <c r="O380" s="300"/>
      <c r="P380" s="300"/>
      <c r="Q380" s="300"/>
      <c r="R380" s="300"/>
      <c r="S380" s="300"/>
      <c r="T380" s="300"/>
      <c r="U380" s="300"/>
      <c r="V380" s="300"/>
      <c r="W380" s="300"/>
      <c r="X380" s="300"/>
      <c r="Y380" s="300"/>
      <c r="Z380" s="300"/>
    </row>
    <row r="381" spans="1:26">
      <c r="A381" s="215" t="s">
        <v>4493</v>
      </c>
      <c r="B381" s="207">
        <v>1917</v>
      </c>
      <c r="C381" s="215" t="s">
        <v>7359</v>
      </c>
      <c r="D381" s="215" t="s">
        <v>7360</v>
      </c>
      <c r="E381" s="215" t="s">
        <v>7361</v>
      </c>
      <c r="F381" s="215" t="s">
        <v>6974</v>
      </c>
      <c r="G381" s="215" t="s">
        <v>6975</v>
      </c>
      <c r="H381" s="215" t="s">
        <v>6521</v>
      </c>
      <c r="I381" s="300"/>
      <c r="J381" s="300"/>
      <c r="K381" s="300"/>
      <c r="L381" s="300"/>
      <c r="M381" s="300"/>
      <c r="N381" s="300"/>
      <c r="O381" s="300"/>
      <c r="P381" s="300"/>
      <c r="Q381" s="300"/>
      <c r="R381" s="300"/>
      <c r="S381" s="300"/>
      <c r="T381" s="300"/>
      <c r="U381" s="300"/>
      <c r="V381" s="300"/>
      <c r="W381" s="300"/>
      <c r="X381" s="300"/>
      <c r="Y381" s="300"/>
      <c r="Z381" s="300"/>
    </row>
    <row r="382" spans="1:26">
      <c r="A382" s="215" t="s">
        <v>2676</v>
      </c>
      <c r="B382" s="207">
        <v>1918</v>
      </c>
      <c r="C382" s="215" t="s">
        <v>7362</v>
      </c>
      <c r="D382" s="215" t="s">
        <v>7363</v>
      </c>
      <c r="E382" s="215" t="s">
        <v>7364</v>
      </c>
      <c r="F382" s="215" t="s">
        <v>6974</v>
      </c>
      <c r="G382" s="215" t="s">
        <v>6975</v>
      </c>
      <c r="H382" s="215" t="s">
        <v>6521</v>
      </c>
      <c r="I382" s="300"/>
      <c r="J382" s="300"/>
      <c r="K382" s="300"/>
      <c r="L382" s="300"/>
      <c r="M382" s="300"/>
      <c r="N382" s="300"/>
      <c r="O382" s="300"/>
      <c r="P382" s="300"/>
      <c r="Q382" s="300"/>
      <c r="R382" s="300"/>
      <c r="S382" s="300"/>
      <c r="T382" s="300"/>
      <c r="U382" s="300"/>
      <c r="V382" s="300"/>
      <c r="W382" s="300"/>
      <c r="X382" s="300"/>
      <c r="Y382" s="300"/>
      <c r="Z382" s="300"/>
    </row>
    <row r="383" spans="1:26">
      <c r="A383" s="215" t="s">
        <v>4410</v>
      </c>
      <c r="B383" s="207">
        <v>1920</v>
      </c>
      <c r="C383" s="215" t="s">
        <v>7365</v>
      </c>
      <c r="D383" s="215" t="s">
        <v>7366</v>
      </c>
      <c r="E383" s="215" t="s">
        <v>7367</v>
      </c>
      <c r="F383" s="215" t="s">
        <v>6974</v>
      </c>
      <c r="G383" s="215" t="s">
        <v>6975</v>
      </c>
      <c r="H383" s="215" t="s">
        <v>6500</v>
      </c>
      <c r="I383" s="300"/>
      <c r="J383" s="300"/>
      <c r="K383" s="300"/>
      <c r="L383" s="300"/>
      <c r="M383" s="300"/>
      <c r="N383" s="300"/>
      <c r="O383" s="300"/>
      <c r="P383" s="300"/>
      <c r="Q383" s="300"/>
      <c r="R383" s="300"/>
      <c r="S383" s="300"/>
      <c r="T383" s="300"/>
      <c r="U383" s="300"/>
      <c r="V383" s="300"/>
      <c r="W383" s="300"/>
      <c r="X383" s="300"/>
      <c r="Y383" s="300"/>
      <c r="Z383" s="300"/>
    </row>
    <row r="384" spans="1:26">
      <c r="A384" s="215" t="s">
        <v>3596</v>
      </c>
      <c r="B384" s="207">
        <v>1921</v>
      </c>
      <c r="C384" s="215" t="s">
        <v>7368</v>
      </c>
      <c r="D384" s="215" t="s">
        <v>7369</v>
      </c>
      <c r="E384" s="215" t="s">
        <v>7370</v>
      </c>
      <c r="F384" s="215" t="s">
        <v>6974</v>
      </c>
      <c r="G384" s="215" t="s">
        <v>6975</v>
      </c>
      <c r="H384" s="215" t="s">
        <v>6521</v>
      </c>
      <c r="I384" s="300"/>
      <c r="J384" s="300"/>
      <c r="K384" s="300"/>
      <c r="L384" s="300"/>
      <c r="M384" s="300"/>
      <c r="N384" s="300"/>
      <c r="O384" s="300"/>
      <c r="P384" s="300"/>
      <c r="Q384" s="300"/>
      <c r="R384" s="300"/>
      <c r="S384" s="300"/>
      <c r="T384" s="300"/>
      <c r="U384" s="300"/>
      <c r="V384" s="300"/>
      <c r="W384" s="300"/>
      <c r="X384" s="300"/>
      <c r="Y384" s="300"/>
      <c r="Z384" s="300"/>
    </row>
    <row r="385" spans="1:26">
      <c r="A385" s="215" t="s">
        <v>2645</v>
      </c>
      <c r="B385" s="207">
        <v>1923</v>
      </c>
      <c r="C385" s="215" t="s">
        <v>7371</v>
      </c>
      <c r="D385" s="215" t="s">
        <v>7372</v>
      </c>
      <c r="E385" s="215" t="s">
        <v>7373</v>
      </c>
      <c r="F385" s="215" t="s">
        <v>6974</v>
      </c>
      <c r="G385" s="215" t="s">
        <v>6975</v>
      </c>
      <c r="H385" s="215" t="s">
        <v>6521</v>
      </c>
      <c r="I385" s="300"/>
      <c r="J385" s="300"/>
      <c r="K385" s="300"/>
      <c r="L385" s="300"/>
      <c r="M385" s="300"/>
      <c r="N385" s="300"/>
      <c r="O385" s="300"/>
      <c r="P385" s="300"/>
      <c r="Q385" s="300"/>
      <c r="R385" s="300"/>
      <c r="S385" s="300"/>
      <c r="T385" s="300"/>
      <c r="U385" s="300"/>
      <c r="V385" s="300"/>
      <c r="W385" s="300"/>
      <c r="X385" s="300"/>
      <c r="Y385" s="300"/>
      <c r="Z385" s="300"/>
    </row>
    <row r="386" spans="1:26">
      <c r="A386" s="215" t="s">
        <v>4423</v>
      </c>
      <c r="B386" s="207">
        <v>1932</v>
      </c>
      <c r="C386" s="215" t="s">
        <v>7374</v>
      </c>
      <c r="D386" s="215" t="s">
        <v>7375</v>
      </c>
      <c r="E386" s="215" t="s">
        <v>7376</v>
      </c>
      <c r="F386" s="215" t="s">
        <v>6974</v>
      </c>
      <c r="G386" s="215" t="s">
        <v>6975</v>
      </c>
      <c r="H386" s="215" t="s">
        <v>6521</v>
      </c>
      <c r="I386" s="300"/>
      <c r="J386" s="300"/>
      <c r="K386" s="300"/>
      <c r="L386" s="300"/>
      <c r="M386" s="300"/>
      <c r="N386" s="300"/>
      <c r="O386" s="300"/>
      <c r="P386" s="300"/>
      <c r="Q386" s="300"/>
      <c r="R386" s="300"/>
      <c r="S386" s="300"/>
      <c r="T386" s="300"/>
      <c r="U386" s="300"/>
      <c r="V386" s="300"/>
      <c r="W386" s="300"/>
      <c r="X386" s="300"/>
      <c r="Y386" s="300"/>
      <c r="Z386" s="300"/>
    </row>
    <row r="387" spans="1:26">
      <c r="A387" s="215" t="s">
        <v>7377</v>
      </c>
      <c r="B387" s="207">
        <v>1933</v>
      </c>
      <c r="C387" s="215" t="s">
        <v>7378</v>
      </c>
      <c r="D387" s="215" t="s">
        <v>7379</v>
      </c>
      <c r="E387" s="215" t="s">
        <v>7380</v>
      </c>
      <c r="F387" s="215" t="s">
        <v>6974</v>
      </c>
      <c r="G387" s="215" t="s">
        <v>6975</v>
      </c>
      <c r="H387" s="215" t="s">
        <v>6521</v>
      </c>
      <c r="I387" s="300"/>
      <c r="J387" s="300"/>
      <c r="K387" s="300"/>
      <c r="L387" s="300"/>
      <c r="M387" s="300"/>
      <c r="N387" s="300"/>
      <c r="O387" s="300"/>
      <c r="P387" s="300"/>
      <c r="Q387" s="300"/>
      <c r="R387" s="300"/>
      <c r="S387" s="300"/>
      <c r="T387" s="300"/>
      <c r="U387" s="300"/>
      <c r="V387" s="300"/>
      <c r="W387" s="300"/>
      <c r="X387" s="300"/>
      <c r="Y387" s="300"/>
      <c r="Z387" s="300"/>
    </row>
    <row r="388" spans="1:26">
      <c r="A388" s="215" t="s">
        <v>4139</v>
      </c>
      <c r="B388" s="207">
        <v>1934</v>
      </c>
      <c r="C388" s="215" t="s">
        <v>7381</v>
      </c>
      <c r="D388" s="215" t="s">
        <v>7382</v>
      </c>
      <c r="E388" s="215" t="s">
        <v>7383</v>
      </c>
      <c r="F388" s="215" t="s">
        <v>6974</v>
      </c>
      <c r="G388" s="215" t="s">
        <v>6975</v>
      </c>
      <c r="H388" s="215" t="s">
        <v>6521</v>
      </c>
      <c r="I388" s="300"/>
      <c r="J388" s="300"/>
      <c r="K388" s="300"/>
      <c r="L388" s="300"/>
      <c r="M388" s="300"/>
      <c r="N388" s="300"/>
      <c r="O388" s="300"/>
      <c r="P388" s="300"/>
      <c r="Q388" s="300"/>
      <c r="R388" s="300"/>
      <c r="S388" s="300"/>
      <c r="T388" s="300"/>
      <c r="U388" s="300"/>
      <c r="V388" s="300"/>
      <c r="W388" s="300"/>
      <c r="X388" s="300"/>
      <c r="Y388" s="300"/>
      <c r="Z388" s="300"/>
    </row>
    <row r="389" spans="1:26">
      <c r="A389" s="215" t="s">
        <v>2693</v>
      </c>
      <c r="B389" s="207">
        <v>1936</v>
      </c>
      <c r="C389" s="215" t="s">
        <v>4861</v>
      </c>
      <c r="D389" s="215" t="s">
        <v>7384</v>
      </c>
      <c r="E389" s="215" t="s">
        <v>7384</v>
      </c>
      <c r="F389" s="215" t="s">
        <v>6974</v>
      </c>
      <c r="G389" s="215" t="s">
        <v>6975</v>
      </c>
      <c r="H389" s="215" t="s">
        <v>6500</v>
      </c>
      <c r="I389" s="300"/>
      <c r="J389" s="300"/>
      <c r="K389" s="300"/>
      <c r="L389" s="300"/>
      <c r="M389" s="300"/>
      <c r="N389" s="300"/>
      <c r="O389" s="300"/>
      <c r="P389" s="300"/>
      <c r="Q389" s="300"/>
      <c r="R389" s="300"/>
      <c r="S389" s="300"/>
      <c r="T389" s="300"/>
      <c r="U389" s="300"/>
      <c r="V389" s="300"/>
      <c r="W389" s="300"/>
      <c r="X389" s="300"/>
      <c r="Y389" s="300"/>
      <c r="Z389" s="300"/>
    </row>
    <row r="390" spans="1:26">
      <c r="A390" s="215" t="s">
        <v>3197</v>
      </c>
      <c r="B390" s="207">
        <v>1937</v>
      </c>
      <c r="C390" s="215" t="s">
        <v>7385</v>
      </c>
      <c r="D390" s="215" t="s">
        <v>7386</v>
      </c>
      <c r="E390" s="215" t="s">
        <v>7387</v>
      </c>
      <c r="F390" s="215" t="s">
        <v>6974</v>
      </c>
      <c r="G390" s="215" t="s">
        <v>6975</v>
      </c>
      <c r="H390" s="215" t="s">
        <v>6521</v>
      </c>
      <c r="I390" s="300"/>
      <c r="J390" s="300"/>
      <c r="K390" s="300"/>
      <c r="L390" s="300"/>
      <c r="M390" s="300"/>
      <c r="N390" s="300"/>
      <c r="O390" s="300"/>
      <c r="P390" s="300"/>
      <c r="Q390" s="300"/>
      <c r="R390" s="300"/>
      <c r="S390" s="300"/>
      <c r="T390" s="300"/>
      <c r="U390" s="300"/>
      <c r="V390" s="300"/>
      <c r="W390" s="300"/>
      <c r="X390" s="300"/>
      <c r="Y390" s="300"/>
      <c r="Z390" s="300"/>
    </row>
    <row r="391" spans="1:26">
      <c r="A391" s="215" t="s">
        <v>3439</v>
      </c>
      <c r="B391" s="207">
        <v>1941</v>
      </c>
      <c r="C391" s="215" t="s">
        <v>5559</v>
      </c>
      <c r="D391" s="215" t="s">
        <v>7388</v>
      </c>
      <c r="E391" s="215" t="s">
        <v>7388</v>
      </c>
      <c r="F391" s="215" t="s">
        <v>6974</v>
      </c>
      <c r="G391" s="215" t="s">
        <v>6975</v>
      </c>
      <c r="H391" s="215" t="s">
        <v>6500</v>
      </c>
      <c r="I391" s="300"/>
      <c r="J391" s="300"/>
      <c r="K391" s="300"/>
      <c r="L391" s="300"/>
      <c r="M391" s="300"/>
      <c r="N391" s="300"/>
      <c r="O391" s="300"/>
      <c r="P391" s="300"/>
      <c r="Q391" s="300"/>
      <c r="R391" s="300"/>
      <c r="S391" s="300"/>
      <c r="T391" s="300"/>
      <c r="U391" s="300"/>
      <c r="V391" s="300"/>
      <c r="W391" s="300"/>
      <c r="X391" s="300"/>
      <c r="Y391" s="300"/>
      <c r="Z391" s="300"/>
    </row>
    <row r="392" spans="1:26">
      <c r="A392" s="215" t="s">
        <v>3439</v>
      </c>
      <c r="B392" s="207">
        <v>1942</v>
      </c>
      <c r="C392" s="215" t="s">
        <v>5561</v>
      </c>
      <c r="D392" s="215" t="s">
        <v>7389</v>
      </c>
      <c r="E392" s="215" t="s">
        <v>7390</v>
      </c>
      <c r="F392" s="215" t="s">
        <v>6974</v>
      </c>
      <c r="G392" s="215" t="s">
        <v>6975</v>
      </c>
      <c r="H392" s="215" t="s">
        <v>6497</v>
      </c>
      <c r="I392" s="300"/>
      <c r="J392" s="300"/>
      <c r="K392" s="300"/>
      <c r="L392" s="300"/>
      <c r="M392" s="300"/>
      <c r="N392" s="300"/>
      <c r="O392" s="300"/>
      <c r="P392" s="300"/>
      <c r="Q392" s="300"/>
      <c r="R392" s="300"/>
      <c r="S392" s="300"/>
      <c r="T392" s="300"/>
      <c r="U392" s="300"/>
      <c r="V392" s="300"/>
      <c r="W392" s="300"/>
      <c r="X392" s="300"/>
      <c r="Y392" s="300"/>
      <c r="Z392" s="300"/>
    </row>
    <row r="393" spans="1:26">
      <c r="A393" s="215" t="s">
        <v>3754</v>
      </c>
      <c r="B393" s="207">
        <v>1948</v>
      </c>
      <c r="C393" s="215" t="s">
        <v>7391</v>
      </c>
      <c r="D393" s="215" t="s">
        <v>7392</v>
      </c>
      <c r="E393" s="215" t="s">
        <v>7393</v>
      </c>
      <c r="F393" s="215" t="s">
        <v>6974</v>
      </c>
      <c r="G393" s="215" t="s">
        <v>6975</v>
      </c>
      <c r="H393" s="215" t="s">
        <v>6521</v>
      </c>
      <c r="I393" s="300"/>
      <c r="J393" s="300"/>
      <c r="K393" s="300"/>
      <c r="L393" s="300"/>
      <c r="M393" s="300"/>
      <c r="N393" s="300"/>
      <c r="O393" s="300"/>
      <c r="P393" s="300"/>
      <c r="Q393" s="300"/>
      <c r="R393" s="300"/>
      <c r="S393" s="300"/>
      <c r="T393" s="300"/>
      <c r="U393" s="300"/>
      <c r="V393" s="300"/>
      <c r="W393" s="300"/>
      <c r="X393" s="300"/>
      <c r="Y393" s="300"/>
      <c r="Z393" s="300"/>
    </row>
    <row r="394" spans="1:26">
      <c r="A394" s="215" t="s">
        <v>2691</v>
      </c>
      <c r="B394" s="207">
        <v>1955</v>
      </c>
      <c r="C394" s="215" t="s">
        <v>4859</v>
      </c>
      <c r="D394" s="215" t="s">
        <v>7394</v>
      </c>
      <c r="E394" s="215" t="s">
        <v>7395</v>
      </c>
      <c r="F394" s="215" t="s">
        <v>6974</v>
      </c>
      <c r="G394" s="215" t="s">
        <v>6975</v>
      </c>
      <c r="H394" s="215" t="s">
        <v>6521</v>
      </c>
      <c r="I394" s="300"/>
      <c r="J394" s="300"/>
      <c r="K394" s="300"/>
      <c r="L394" s="300"/>
      <c r="M394" s="300"/>
      <c r="N394" s="300"/>
      <c r="O394" s="300"/>
      <c r="P394" s="300"/>
      <c r="Q394" s="300"/>
      <c r="R394" s="300"/>
      <c r="S394" s="300"/>
      <c r="T394" s="300"/>
      <c r="U394" s="300"/>
      <c r="V394" s="300"/>
      <c r="W394" s="300"/>
      <c r="X394" s="300"/>
      <c r="Y394" s="300"/>
      <c r="Z394" s="300"/>
    </row>
    <row r="395" spans="1:26">
      <c r="A395" s="215" t="s">
        <v>2742</v>
      </c>
      <c r="B395" s="207">
        <v>1957</v>
      </c>
      <c r="C395" s="215" t="s">
        <v>7396</v>
      </c>
      <c r="D395" s="215" t="s">
        <v>7397</v>
      </c>
      <c r="E395" s="215" t="s">
        <v>7397</v>
      </c>
      <c r="F395" s="215" t="s">
        <v>6974</v>
      </c>
      <c r="G395" s="215" t="s">
        <v>6975</v>
      </c>
      <c r="H395" s="215" t="s">
        <v>6497</v>
      </c>
      <c r="I395" s="300"/>
      <c r="J395" s="300"/>
      <c r="K395" s="300"/>
      <c r="L395" s="300"/>
      <c r="M395" s="300"/>
      <c r="N395" s="300"/>
      <c r="O395" s="300"/>
      <c r="P395" s="300"/>
      <c r="Q395" s="300"/>
      <c r="R395" s="300"/>
      <c r="S395" s="300"/>
      <c r="T395" s="300"/>
      <c r="U395" s="300"/>
      <c r="V395" s="300"/>
      <c r="W395" s="300"/>
      <c r="X395" s="300"/>
      <c r="Y395" s="300"/>
      <c r="Z395" s="300"/>
    </row>
    <row r="396" spans="1:26">
      <c r="A396" s="215" t="s">
        <v>4227</v>
      </c>
      <c r="B396" s="207">
        <v>1959</v>
      </c>
      <c r="C396" s="215" t="s">
        <v>7398</v>
      </c>
      <c r="D396" s="215" t="s">
        <v>7399</v>
      </c>
      <c r="E396" s="215" t="s">
        <v>7400</v>
      </c>
      <c r="F396" s="215" t="s">
        <v>6974</v>
      </c>
      <c r="G396" s="215" t="s">
        <v>6975</v>
      </c>
      <c r="H396" s="215" t="s">
        <v>6504</v>
      </c>
      <c r="I396" s="300"/>
      <c r="J396" s="300"/>
      <c r="K396" s="300"/>
      <c r="L396" s="300"/>
      <c r="M396" s="300"/>
      <c r="N396" s="300"/>
      <c r="O396" s="300"/>
      <c r="P396" s="300"/>
      <c r="Q396" s="300"/>
      <c r="R396" s="300"/>
      <c r="S396" s="300"/>
      <c r="T396" s="300"/>
      <c r="U396" s="300"/>
      <c r="V396" s="300"/>
      <c r="W396" s="300"/>
      <c r="X396" s="300"/>
      <c r="Y396" s="300"/>
      <c r="Z396" s="300"/>
    </row>
    <row r="397" spans="1:26">
      <c r="A397" s="215" t="s">
        <v>4197</v>
      </c>
      <c r="B397" s="207">
        <v>2023</v>
      </c>
      <c r="C397" s="215" t="s">
        <v>7401</v>
      </c>
      <c r="D397" s="215" t="s">
        <v>7402</v>
      </c>
      <c r="E397" s="215" t="s">
        <v>7402</v>
      </c>
      <c r="F397" s="215" t="s">
        <v>6974</v>
      </c>
      <c r="G397" s="215" t="s">
        <v>6975</v>
      </c>
      <c r="H397" s="215" t="s">
        <v>6500</v>
      </c>
      <c r="I397" s="300"/>
      <c r="J397" s="300"/>
      <c r="K397" s="300"/>
      <c r="L397" s="300"/>
      <c r="M397" s="300"/>
      <c r="N397" s="300"/>
      <c r="O397" s="300"/>
      <c r="P397" s="300"/>
      <c r="Q397" s="300"/>
      <c r="R397" s="300"/>
      <c r="S397" s="300"/>
      <c r="T397" s="300"/>
      <c r="U397" s="300"/>
      <c r="V397" s="300"/>
      <c r="W397" s="300"/>
      <c r="X397" s="300"/>
      <c r="Y397" s="300"/>
      <c r="Z397" s="300"/>
    </row>
    <row r="398" spans="1:26">
      <c r="A398" s="215" t="s">
        <v>2914</v>
      </c>
      <c r="B398" s="207">
        <v>2025</v>
      </c>
      <c r="C398" s="215" t="s">
        <v>7403</v>
      </c>
      <c r="D398" s="215" t="s">
        <v>7404</v>
      </c>
      <c r="E398" s="215" t="s">
        <v>7405</v>
      </c>
      <c r="F398" s="215" t="s">
        <v>6974</v>
      </c>
      <c r="G398" s="215" t="s">
        <v>6975</v>
      </c>
      <c r="H398" s="215" t="s">
        <v>6497</v>
      </c>
      <c r="I398" s="300"/>
      <c r="J398" s="300"/>
      <c r="K398" s="300"/>
      <c r="L398" s="300"/>
      <c r="M398" s="300"/>
      <c r="N398" s="300"/>
      <c r="O398" s="300"/>
      <c r="P398" s="300"/>
      <c r="Q398" s="300"/>
      <c r="R398" s="300"/>
      <c r="S398" s="300"/>
      <c r="T398" s="300"/>
      <c r="U398" s="300"/>
      <c r="V398" s="300"/>
      <c r="W398" s="300"/>
      <c r="X398" s="300"/>
      <c r="Y398" s="300"/>
      <c r="Z398" s="300"/>
    </row>
    <row r="399" spans="1:26">
      <c r="A399" s="215" t="s">
        <v>4488</v>
      </c>
      <c r="B399" s="207">
        <v>2066</v>
      </c>
      <c r="C399" s="215" t="s">
        <v>6411</v>
      </c>
      <c r="D399" s="215" t="s">
        <v>7406</v>
      </c>
      <c r="E399" s="215" t="s">
        <v>7407</v>
      </c>
      <c r="F399" s="215" t="s">
        <v>6974</v>
      </c>
      <c r="G399" s="215" t="s">
        <v>6975</v>
      </c>
      <c r="H399" s="215" t="s">
        <v>6521</v>
      </c>
      <c r="I399" s="300"/>
      <c r="J399" s="300"/>
      <c r="K399" s="300"/>
      <c r="L399" s="300"/>
      <c r="M399" s="300"/>
      <c r="N399" s="300"/>
      <c r="O399" s="300"/>
      <c r="P399" s="300"/>
      <c r="Q399" s="300"/>
      <c r="R399" s="300"/>
      <c r="S399" s="300"/>
      <c r="T399" s="300"/>
      <c r="U399" s="300"/>
      <c r="V399" s="300"/>
      <c r="W399" s="300"/>
      <c r="X399" s="300"/>
      <c r="Y399" s="300"/>
      <c r="Z399" s="300"/>
    </row>
    <row r="400" spans="1:26">
      <c r="A400" s="215" t="s">
        <v>3936</v>
      </c>
      <c r="B400" s="207">
        <v>2067</v>
      </c>
      <c r="C400" s="215" t="s">
        <v>7408</v>
      </c>
      <c r="D400" s="215" t="s">
        <v>7409</v>
      </c>
      <c r="E400" s="215" t="s">
        <v>7410</v>
      </c>
      <c r="F400" s="215" t="s">
        <v>6974</v>
      </c>
      <c r="G400" s="215" t="s">
        <v>6975</v>
      </c>
      <c r="H400" s="215" t="s">
        <v>6521</v>
      </c>
      <c r="I400" s="300"/>
      <c r="J400" s="300"/>
      <c r="K400" s="300"/>
      <c r="L400" s="300"/>
      <c r="M400" s="300"/>
      <c r="N400" s="300"/>
      <c r="O400" s="300"/>
      <c r="P400" s="300"/>
      <c r="Q400" s="300"/>
      <c r="R400" s="300"/>
      <c r="S400" s="300"/>
      <c r="T400" s="300"/>
      <c r="U400" s="300"/>
      <c r="V400" s="300"/>
      <c r="W400" s="300"/>
      <c r="X400" s="300"/>
      <c r="Y400" s="300"/>
      <c r="Z400" s="300"/>
    </row>
    <row r="401" spans="1:26">
      <c r="A401" s="215" t="s">
        <v>3978</v>
      </c>
      <c r="B401" s="207">
        <v>2069</v>
      </c>
      <c r="C401" s="215" t="s">
        <v>7411</v>
      </c>
      <c r="D401" s="215" t="s">
        <v>7412</v>
      </c>
      <c r="E401" s="215" t="s">
        <v>7413</v>
      </c>
      <c r="F401" s="215" t="s">
        <v>6974</v>
      </c>
      <c r="G401" s="215" t="s">
        <v>6975</v>
      </c>
      <c r="H401" s="215" t="s">
        <v>6497</v>
      </c>
      <c r="I401" s="300"/>
      <c r="J401" s="300"/>
      <c r="K401" s="300"/>
      <c r="L401" s="300"/>
      <c r="M401" s="300"/>
      <c r="N401" s="300"/>
      <c r="O401" s="300"/>
      <c r="P401" s="300"/>
      <c r="Q401" s="300"/>
      <c r="R401" s="300"/>
      <c r="S401" s="300"/>
      <c r="T401" s="300"/>
      <c r="U401" s="300"/>
      <c r="V401" s="300"/>
      <c r="W401" s="300"/>
      <c r="X401" s="300"/>
      <c r="Y401" s="300"/>
      <c r="Z401" s="300"/>
    </row>
    <row r="402" spans="1:26">
      <c r="A402" s="215" t="s">
        <v>4203</v>
      </c>
      <c r="B402" s="207">
        <v>742</v>
      </c>
      <c r="C402" s="215" t="s">
        <v>6187</v>
      </c>
      <c r="D402" s="215" t="s">
        <v>7414</v>
      </c>
      <c r="E402" s="215" t="s">
        <v>7415</v>
      </c>
      <c r="F402" s="215" t="s">
        <v>7416</v>
      </c>
      <c r="G402" s="215" t="s">
        <v>7417</v>
      </c>
      <c r="H402" s="215" t="s">
        <v>6500</v>
      </c>
      <c r="I402" s="300"/>
      <c r="J402" s="300"/>
      <c r="K402" s="300"/>
      <c r="L402" s="300"/>
      <c r="M402" s="300"/>
      <c r="N402" s="300"/>
      <c r="O402" s="300"/>
      <c r="P402" s="300"/>
      <c r="Q402" s="300"/>
      <c r="R402" s="300"/>
      <c r="S402" s="300"/>
      <c r="T402" s="300"/>
      <c r="U402" s="300"/>
      <c r="V402" s="300"/>
      <c r="W402" s="300"/>
      <c r="X402" s="300"/>
      <c r="Y402" s="300"/>
      <c r="Z402" s="300"/>
    </row>
    <row r="403" spans="1:26">
      <c r="A403" s="215" t="s">
        <v>2882</v>
      </c>
      <c r="B403" s="207">
        <v>1767</v>
      </c>
      <c r="C403" s="215" t="s">
        <v>5737</v>
      </c>
      <c r="D403" s="215" t="s">
        <v>7418</v>
      </c>
      <c r="E403" s="215" t="s">
        <v>7419</v>
      </c>
      <c r="F403" s="215" t="s">
        <v>7420</v>
      </c>
      <c r="G403" s="215" t="s">
        <v>7421</v>
      </c>
      <c r="H403" s="215" t="s">
        <v>6521</v>
      </c>
      <c r="I403" s="300"/>
      <c r="J403" s="300"/>
      <c r="K403" s="300"/>
      <c r="L403" s="300"/>
      <c r="M403" s="300"/>
      <c r="N403" s="300"/>
      <c r="O403" s="300"/>
      <c r="P403" s="300"/>
      <c r="Q403" s="300"/>
      <c r="R403" s="300"/>
      <c r="S403" s="300"/>
      <c r="T403" s="300"/>
      <c r="U403" s="300"/>
      <c r="V403" s="300"/>
      <c r="W403" s="300"/>
      <c r="X403" s="300"/>
      <c r="Y403" s="300"/>
      <c r="Z403" s="300"/>
    </row>
    <row r="404" spans="1:26">
      <c r="A404" s="215" t="s">
        <v>2937</v>
      </c>
      <c r="B404" s="207">
        <v>2024</v>
      </c>
      <c r="C404" s="215" t="s">
        <v>5096</v>
      </c>
      <c r="D404" s="215" t="s">
        <v>7422</v>
      </c>
      <c r="E404" s="215" t="s">
        <v>7422</v>
      </c>
      <c r="F404" s="215" t="s">
        <v>7423</v>
      </c>
      <c r="G404" s="215" t="s">
        <v>7424</v>
      </c>
      <c r="H404" s="215" t="s">
        <v>6497</v>
      </c>
      <c r="I404" s="300"/>
      <c r="J404" s="300"/>
      <c r="K404" s="300"/>
      <c r="L404" s="300"/>
      <c r="M404" s="300"/>
      <c r="N404" s="300"/>
      <c r="O404" s="300"/>
      <c r="P404" s="300"/>
      <c r="Q404" s="300"/>
      <c r="R404" s="300"/>
      <c r="S404" s="300"/>
      <c r="T404" s="300"/>
      <c r="U404" s="300"/>
      <c r="V404" s="300"/>
      <c r="W404" s="300"/>
      <c r="X404" s="300"/>
      <c r="Y404" s="300"/>
      <c r="Z404" s="300"/>
    </row>
    <row r="405" spans="1:26">
      <c r="A405" s="215" t="s">
        <v>7425</v>
      </c>
      <c r="B405" s="207">
        <v>1674</v>
      </c>
      <c r="C405" s="215" t="s">
        <v>7426</v>
      </c>
      <c r="D405" s="215" t="s">
        <v>7427</v>
      </c>
      <c r="E405" s="215" t="s">
        <v>7428</v>
      </c>
      <c r="F405" s="215" t="s">
        <v>7429</v>
      </c>
      <c r="G405" s="215" t="s">
        <v>7430</v>
      </c>
      <c r="H405" s="215" t="s">
        <v>6497</v>
      </c>
      <c r="I405" s="300"/>
      <c r="J405" s="300"/>
      <c r="K405" s="300"/>
      <c r="L405" s="300"/>
      <c r="M405" s="300"/>
      <c r="N405" s="300"/>
      <c r="O405" s="300"/>
      <c r="P405" s="300"/>
      <c r="Q405" s="300"/>
      <c r="R405" s="300"/>
      <c r="S405" s="300"/>
      <c r="T405" s="300"/>
      <c r="U405" s="300"/>
      <c r="V405" s="300"/>
      <c r="W405" s="300"/>
      <c r="X405" s="300"/>
      <c r="Y405" s="300"/>
      <c r="Z405" s="300"/>
    </row>
    <row r="406" spans="1:26">
      <c r="A406" s="215" t="s">
        <v>2781</v>
      </c>
      <c r="B406" s="207">
        <v>335</v>
      </c>
      <c r="C406" s="215" t="s">
        <v>4942</v>
      </c>
      <c r="D406" s="215" t="s">
        <v>7431</v>
      </c>
      <c r="E406" s="215" t="s">
        <v>7432</v>
      </c>
      <c r="F406" s="215" t="s">
        <v>7433</v>
      </c>
      <c r="G406" s="215" t="s">
        <v>7434</v>
      </c>
      <c r="H406" s="215" t="s">
        <v>6521</v>
      </c>
      <c r="I406" s="300"/>
      <c r="J406" s="300"/>
      <c r="K406" s="300"/>
      <c r="L406" s="300"/>
      <c r="M406" s="300"/>
      <c r="N406" s="300"/>
      <c r="O406" s="300"/>
      <c r="P406" s="300"/>
      <c r="Q406" s="300"/>
      <c r="R406" s="300"/>
      <c r="S406" s="300"/>
      <c r="T406" s="300"/>
      <c r="U406" s="300"/>
      <c r="V406" s="300"/>
      <c r="W406" s="300"/>
      <c r="X406" s="300"/>
      <c r="Y406" s="300"/>
      <c r="Z406" s="300"/>
    </row>
    <row r="407" spans="1:26">
      <c r="A407" s="215"/>
      <c r="B407" s="207">
        <v>1523</v>
      </c>
      <c r="C407" s="215" t="s">
        <v>7435</v>
      </c>
      <c r="D407" s="215" t="s">
        <v>7436</v>
      </c>
      <c r="E407" s="215" t="s">
        <v>7437</v>
      </c>
      <c r="F407" s="215" t="s">
        <v>7438</v>
      </c>
      <c r="G407" s="215" t="s">
        <v>7439</v>
      </c>
      <c r="H407" s="215" t="s">
        <v>6521</v>
      </c>
      <c r="I407" s="300"/>
      <c r="J407" s="300"/>
      <c r="K407" s="300"/>
      <c r="L407" s="300"/>
      <c r="M407" s="300"/>
      <c r="N407" s="300"/>
      <c r="O407" s="300"/>
      <c r="P407" s="300"/>
      <c r="Q407" s="300"/>
      <c r="R407" s="300"/>
      <c r="S407" s="300"/>
      <c r="T407" s="300"/>
      <c r="U407" s="300"/>
      <c r="V407" s="300"/>
      <c r="W407" s="300"/>
      <c r="X407" s="300"/>
      <c r="Y407" s="300"/>
      <c r="Z407" s="300"/>
    </row>
    <row r="408" spans="1:26">
      <c r="A408" s="215" t="s">
        <v>4069</v>
      </c>
      <c r="B408" s="207">
        <v>444</v>
      </c>
      <c r="C408" s="215" t="s">
        <v>4973</v>
      </c>
      <c r="D408" s="215" t="s">
        <v>7440</v>
      </c>
      <c r="E408" s="215" t="s">
        <v>7441</v>
      </c>
      <c r="F408" s="215" t="s">
        <v>7442</v>
      </c>
      <c r="G408" s="215" t="s">
        <v>2442</v>
      </c>
      <c r="H408" s="215" t="s">
        <v>6500</v>
      </c>
      <c r="I408" s="300"/>
      <c r="J408" s="300"/>
      <c r="K408" s="300"/>
      <c r="L408" s="300"/>
      <c r="M408" s="300"/>
      <c r="N408" s="300"/>
      <c r="O408" s="300"/>
      <c r="P408" s="300"/>
      <c r="Q408" s="300"/>
      <c r="R408" s="300"/>
      <c r="S408" s="300"/>
      <c r="T408" s="300"/>
      <c r="U408" s="300"/>
      <c r="V408" s="300"/>
      <c r="W408" s="300"/>
      <c r="X408" s="300"/>
      <c r="Y408" s="300"/>
      <c r="Z408" s="300"/>
    </row>
    <row r="409" spans="1:26">
      <c r="A409" s="215" t="s">
        <v>2854</v>
      </c>
      <c r="B409" s="207">
        <v>592</v>
      </c>
      <c r="C409" s="215" t="s">
        <v>5019</v>
      </c>
      <c r="D409" s="215" t="s">
        <v>7443</v>
      </c>
      <c r="E409" s="215" t="s">
        <v>7443</v>
      </c>
      <c r="F409" s="215" t="s">
        <v>7442</v>
      </c>
      <c r="G409" s="215" t="s">
        <v>2442</v>
      </c>
      <c r="H409" s="215" t="s">
        <v>6500</v>
      </c>
      <c r="I409" s="300"/>
      <c r="J409" s="300"/>
      <c r="K409" s="300"/>
      <c r="L409" s="300"/>
      <c r="M409" s="300"/>
      <c r="N409" s="300"/>
      <c r="O409" s="300"/>
      <c r="P409" s="300"/>
      <c r="Q409" s="300"/>
      <c r="R409" s="300"/>
      <c r="S409" s="300"/>
      <c r="T409" s="300"/>
      <c r="U409" s="300"/>
      <c r="V409" s="300"/>
      <c r="W409" s="300"/>
      <c r="X409" s="300"/>
      <c r="Y409" s="300"/>
      <c r="Z409" s="300"/>
    </row>
    <row r="410" spans="1:26">
      <c r="A410" s="215" t="s">
        <v>3842</v>
      </c>
      <c r="B410" s="207">
        <v>965</v>
      </c>
      <c r="C410" s="215" t="s">
        <v>7444</v>
      </c>
      <c r="D410" s="215" t="s">
        <v>7445</v>
      </c>
      <c r="E410" s="215" t="s">
        <v>7446</v>
      </c>
      <c r="F410" s="215" t="s">
        <v>7442</v>
      </c>
      <c r="G410" s="215" t="s">
        <v>2442</v>
      </c>
      <c r="H410" s="215" t="s">
        <v>6500</v>
      </c>
      <c r="I410" s="300"/>
      <c r="J410" s="300"/>
      <c r="K410" s="300"/>
      <c r="L410" s="300"/>
      <c r="M410" s="300"/>
      <c r="N410" s="300"/>
      <c r="O410" s="300"/>
      <c r="P410" s="300"/>
      <c r="Q410" s="300"/>
      <c r="R410" s="300"/>
      <c r="S410" s="300"/>
      <c r="T410" s="300"/>
      <c r="U410" s="300"/>
      <c r="V410" s="300"/>
      <c r="W410" s="300"/>
      <c r="X410" s="300"/>
      <c r="Y410" s="300"/>
      <c r="Z410" s="300"/>
    </row>
    <row r="411" spans="1:26">
      <c r="A411" s="215" t="s">
        <v>3397</v>
      </c>
      <c r="B411" s="207">
        <v>1245</v>
      </c>
      <c r="C411" s="215" t="s">
        <v>5522</v>
      </c>
      <c r="D411" s="215" t="s">
        <v>7447</v>
      </c>
      <c r="E411" s="215" t="s">
        <v>7448</v>
      </c>
      <c r="F411" s="215" t="s">
        <v>7442</v>
      </c>
      <c r="G411" s="215" t="s">
        <v>2442</v>
      </c>
      <c r="H411" s="215" t="s">
        <v>6521</v>
      </c>
      <c r="I411" s="300"/>
      <c r="J411" s="300"/>
      <c r="K411" s="300"/>
      <c r="L411" s="300"/>
      <c r="M411" s="300"/>
      <c r="N411" s="300"/>
      <c r="O411" s="300"/>
      <c r="P411" s="300"/>
      <c r="Q411" s="300"/>
      <c r="R411" s="300"/>
      <c r="S411" s="300"/>
      <c r="T411" s="300"/>
      <c r="U411" s="300"/>
      <c r="V411" s="300"/>
      <c r="W411" s="300"/>
      <c r="X411" s="300"/>
      <c r="Y411" s="300"/>
      <c r="Z411" s="300"/>
    </row>
    <row r="412" spans="1:26">
      <c r="A412" s="215" t="s">
        <v>4478</v>
      </c>
      <c r="B412" s="207">
        <v>1246</v>
      </c>
      <c r="C412" s="215" t="s">
        <v>6404</v>
      </c>
      <c r="D412" s="215" t="s">
        <v>7449</v>
      </c>
      <c r="E412" s="215" t="s">
        <v>7449</v>
      </c>
      <c r="F412" s="215" t="s">
        <v>7442</v>
      </c>
      <c r="G412" s="215" t="s">
        <v>2442</v>
      </c>
      <c r="H412" s="215" t="s">
        <v>6521</v>
      </c>
      <c r="I412" s="300"/>
      <c r="J412" s="300"/>
      <c r="K412" s="300"/>
      <c r="L412" s="300"/>
      <c r="M412" s="300"/>
      <c r="N412" s="300"/>
      <c r="O412" s="300"/>
      <c r="P412" s="300"/>
      <c r="Q412" s="300"/>
      <c r="R412" s="300"/>
      <c r="S412" s="300"/>
      <c r="T412" s="300"/>
      <c r="U412" s="300"/>
      <c r="V412" s="300"/>
      <c r="W412" s="300"/>
      <c r="X412" s="300"/>
      <c r="Y412" s="300"/>
      <c r="Z412" s="300"/>
    </row>
    <row r="413" spans="1:26">
      <c r="A413" s="215" t="s">
        <v>4472</v>
      </c>
      <c r="B413" s="207">
        <v>1247</v>
      </c>
      <c r="C413" s="215" t="s">
        <v>5160</v>
      </c>
      <c r="D413" s="215" t="s">
        <v>7450</v>
      </c>
      <c r="E413" s="215" t="s">
        <v>7451</v>
      </c>
      <c r="F413" s="215" t="s">
        <v>7442</v>
      </c>
      <c r="G413" s="215" t="s">
        <v>2442</v>
      </c>
      <c r="H413" s="215" t="s">
        <v>6521</v>
      </c>
      <c r="I413" s="300"/>
      <c r="J413" s="300"/>
      <c r="K413" s="300"/>
      <c r="L413" s="300"/>
      <c r="M413" s="300"/>
      <c r="N413" s="300"/>
      <c r="O413" s="300"/>
      <c r="P413" s="300"/>
      <c r="Q413" s="300"/>
      <c r="R413" s="300"/>
      <c r="S413" s="300"/>
      <c r="T413" s="300"/>
      <c r="U413" s="300"/>
      <c r="V413" s="300"/>
      <c r="W413" s="300"/>
      <c r="X413" s="300"/>
      <c r="Y413" s="300"/>
      <c r="Z413" s="300"/>
    </row>
    <row r="414" spans="1:26">
      <c r="A414" s="215" t="s">
        <v>3746</v>
      </c>
      <c r="B414" s="207">
        <v>1248</v>
      </c>
      <c r="C414" s="215" t="s">
        <v>5826</v>
      </c>
      <c r="D414" s="215" t="s">
        <v>7452</v>
      </c>
      <c r="E414" s="215" t="s">
        <v>7452</v>
      </c>
      <c r="F414" s="215" t="s">
        <v>7442</v>
      </c>
      <c r="G414" s="215" t="s">
        <v>2442</v>
      </c>
      <c r="H414" s="215" t="s">
        <v>6521</v>
      </c>
      <c r="I414" s="300"/>
      <c r="J414" s="300"/>
      <c r="K414" s="300"/>
      <c r="L414" s="300"/>
      <c r="M414" s="300"/>
      <c r="N414" s="300"/>
      <c r="O414" s="300"/>
      <c r="P414" s="300"/>
      <c r="Q414" s="300"/>
      <c r="R414" s="300"/>
      <c r="S414" s="300"/>
      <c r="T414" s="300"/>
      <c r="U414" s="300"/>
      <c r="V414" s="300"/>
      <c r="W414" s="300"/>
      <c r="X414" s="300"/>
      <c r="Y414" s="300"/>
      <c r="Z414" s="300"/>
    </row>
    <row r="415" spans="1:26">
      <c r="A415" s="215" t="s">
        <v>4234</v>
      </c>
      <c r="B415" s="207">
        <v>1249</v>
      </c>
      <c r="C415" s="215" t="s">
        <v>5021</v>
      </c>
      <c r="D415" s="215" t="s">
        <v>7453</v>
      </c>
      <c r="E415" s="215" t="s">
        <v>7454</v>
      </c>
      <c r="F415" s="215" t="s">
        <v>7442</v>
      </c>
      <c r="G415" s="215" t="s">
        <v>2442</v>
      </c>
      <c r="H415" s="215" t="s">
        <v>6500</v>
      </c>
      <c r="I415" s="300"/>
      <c r="J415" s="300"/>
      <c r="K415" s="300"/>
      <c r="L415" s="300"/>
      <c r="M415" s="300"/>
      <c r="N415" s="300"/>
      <c r="O415" s="300"/>
      <c r="P415" s="300"/>
      <c r="Q415" s="300"/>
      <c r="R415" s="300"/>
      <c r="S415" s="300"/>
      <c r="T415" s="300"/>
      <c r="U415" s="300"/>
      <c r="V415" s="300"/>
      <c r="W415" s="300"/>
      <c r="X415" s="300"/>
      <c r="Y415" s="300"/>
      <c r="Z415" s="300"/>
    </row>
    <row r="416" spans="1:26">
      <c r="A416" s="215" t="s">
        <v>3080</v>
      </c>
      <c r="B416" s="207">
        <v>1250</v>
      </c>
      <c r="C416" s="215" t="s">
        <v>5214</v>
      </c>
      <c r="D416" s="215" t="s">
        <v>7455</v>
      </c>
      <c r="E416" s="215" t="s">
        <v>7455</v>
      </c>
      <c r="F416" s="215" t="s">
        <v>7442</v>
      </c>
      <c r="G416" s="215" t="s">
        <v>2442</v>
      </c>
      <c r="H416" s="215" t="s">
        <v>6521</v>
      </c>
      <c r="I416" s="300"/>
      <c r="J416" s="300"/>
      <c r="K416" s="300"/>
      <c r="L416" s="300"/>
      <c r="M416" s="300"/>
      <c r="N416" s="300"/>
      <c r="O416" s="300"/>
      <c r="P416" s="300"/>
      <c r="Q416" s="300"/>
      <c r="R416" s="300"/>
      <c r="S416" s="300"/>
      <c r="T416" s="300"/>
      <c r="U416" s="300"/>
      <c r="V416" s="300"/>
      <c r="W416" s="300"/>
      <c r="X416" s="300"/>
      <c r="Y416" s="300"/>
      <c r="Z416" s="300"/>
    </row>
    <row r="417" spans="1:26">
      <c r="A417" s="215" t="s">
        <v>2938</v>
      </c>
      <c r="B417" s="207">
        <v>1252</v>
      </c>
      <c r="C417" s="215" t="s">
        <v>7456</v>
      </c>
      <c r="D417" s="215" t="s">
        <v>7457</v>
      </c>
      <c r="E417" s="215" t="s">
        <v>7457</v>
      </c>
      <c r="F417" s="215" t="s">
        <v>7442</v>
      </c>
      <c r="G417" s="215" t="s">
        <v>2442</v>
      </c>
      <c r="H417" s="215" t="s">
        <v>6500</v>
      </c>
      <c r="I417" s="300"/>
      <c r="J417" s="300"/>
      <c r="K417" s="300"/>
      <c r="L417" s="300"/>
      <c r="M417" s="300"/>
      <c r="N417" s="300"/>
      <c r="O417" s="300"/>
      <c r="P417" s="300"/>
      <c r="Q417" s="300"/>
      <c r="R417" s="300"/>
      <c r="S417" s="300"/>
      <c r="T417" s="300"/>
      <c r="U417" s="300"/>
      <c r="V417" s="300"/>
      <c r="W417" s="300"/>
      <c r="X417" s="300"/>
      <c r="Y417" s="300"/>
      <c r="Z417" s="300"/>
    </row>
    <row r="418" spans="1:26">
      <c r="A418" s="215" t="s">
        <v>3081</v>
      </c>
      <c r="B418" s="207">
        <v>1253</v>
      </c>
      <c r="C418" s="215" t="s">
        <v>5215</v>
      </c>
      <c r="D418" s="215" t="s">
        <v>7458</v>
      </c>
      <c r="E418" s="215" t="s">
        <v>7459</v>
      </c>
      <c r="F418" s="215" t="s">
        <v>7442</v>
      </c>
      <c r="G418" s="215" t="s">
        <v>2442</v>
      </c>
      <c r="H418" s="215" t="s">
        <v>6521</v>
      </c>
      <c r="I418" s="300"/>
      <c r="J418" s="300"/>
      <c r="K418" s="300"/>
      <c r="L418" s="300"/>
      <c r="M418" s="300"/>
      <c r="N418" s="300"/>
      <c r="O418" s="300"/>
      <c r="P418" s="300"/>
      <c r="Q418" s="300"/>
      <c r="R418" s="300"/>
      <c r="S418" s="300"/>
      <c r="T418" s="300"/>
      <c r="U418" s="300"/>
      <c r="V418" s="300"/>
      <c r="W418" s="300"/>
      <c r="X418" s="300"/>
      <c r="Y418" s="300"/>
      <c r="Z418" s="300"/>
    </row>
    <row r="419" spans="1:26">
      <c r="A419" s="215" t="s">
        <v>3166</v>
      </c>
      <c r="B419" s="207">
        <v>1254</v>
      </c>
      <c r="C419" s="215" t="s">
        <v>5300</v>
      </c>
      <c r="D419" s="215" t="s">
        <v>7460</v>
      </c>
      <c r="E419" s="215" t="s">
        <v>7460</v>
      </c>
      <c r="F419" s="215" t="s">
        <v>7442</v>
      </c>
      <c r="G419" s="215" t="s">
        <v>2442</v>
      </c>
      <c r="H419" s="215" t="s">
        <v>6521</v>
      </c>
      <c r="I419" s="300"/>
      <c r="J419" s="300"/>
      <c r="K419" s="300"/>
      <c r="L419" s="300"/>
      <c r="M419" s="300"/>
      <c r="N419" s="300"/>
      <c r="O419" s="300"/>
      <c r="P419" s="300"/>
      <c r="Q419" s="300"/>
      <c r="R419" s="300"/>
      <c r="S419" s="300"/>
      <c r="T419" s="300"/>
      <c r="U419" s="300"/>
      <c r="V419" s="300"/>
      <c r="W419" s="300"/>
      <c r="X419" s="300"/>
      <c r="Y419" s="300"/>
      <c r="Z419" s="300"/>
    </row>
    <row r="420" spans="1:26">
      <c r="A420" s="215" t="s">
        <v>3544</v>
      </c>
      <c r="B420" s="207">
        <v>1255</v>
      </c>
      <c r="C420" s="215" t="s">
        <v>5652</v>
      </c>
      <c r="D420" s="215" t="s">
        <v>7461</v>
      </c>
      <c r="E420" s="215" t="s">
        <v>7461</v>
      </c>
      <c r="F420" s="215" t="s">
        <v>7442</v>
      </c>
      <c r="G420" s="215" t="s">
        <v>2442</v>
      </c>
      <c r="H420" s="215" t="s">
        <v>6500</v>
      </c>
      <c r="I420" s="300"/>
      <c r="J420" s="300"/>
      <c r="K420" s="300"/>
      <c r="L420" s="300"/>
      <c r="M420" s="300"/>
      <c r="N420" s="300"/>
      <c r="O420" s="300"/>
      <c r="P420" s="300"/>
      <c r="Q420" s="300"/>
      <c r="R420" s="300"/>
      <c r="S420" s="300"/>
      <c r="T420" s="300"/>
      <c r="U420" s="300"/>
      <c r="V420" s="300"/>
      <c r="W420" s="300"/>
      <c r="X420" s="300"/>
      <c r="Y420" s="300"/>
      <c r="Z420" s="300"/>
    </row>
    <row r="421" spans="1:26">
      <c r="A421" s="215" t="s">
        <v>3533</v>
      </c>
      <c r="B421" s="207">
        <v>1256</v>
      </c>
      <c r="C421" s="215" t="s">
        <v>5644</v>
      </c>
      <c r="D421" s="215" t="s">
        <v>7462</v>
      </c>
      <c r="E421" s="215" t="s">
        <v>7463</v>
      </c>
      <c r="F421" s="215" t="s">
        <v>7442</v>
      </c>
      <c r="G421" s="215" t="s">
        <v>2442</v>
      </c>
      <c r="H421" s="215" t="s">
        <v>6500</v>
      </c>
      <c r="I421" s="300"/>
      <c r="J421" s="300"/>
      <c r="K421" s="300"/>
      <c r="L421" s="300"/>
      <c r="M421" s="300"/>
      <c r="N421" s="300"/>
      <c r="O421" s="300"/>
      <c r="P421" s="300"/>
      <c r="Q421" s="300"/>
      <c r="R421" s="300"/>
      <c r="S421" s="300"/>
      <c r="T421" s="300"/>
      <c r="U421" s="300"/>
      <c r="V421" s="300"/>
      <c r="W421" s="300"/>
      <c r="X421" s="300"/>
      <c r="Y421" s="300"/>
      <c r="Z421" s="300"/>
    </row>
    <row r="422" spans="1:26">
      <c r="A422" s="215" t="s">
        <v>3799</v>
      </c>
      <c r="B422" s="207">
        <v>1257</v>
      </c>
      <c r="C422" s="215" t="s">
        <v>5872</v>
      </c>
      <c r="D422" s="215" t="s">
        <v>7464</v>
      </c>
      <c r="E422" s="215" t="s">
        <v>7464</v>
      </c>
      <c r="F422" s="215" t="s">
        <v>7442</v>
      </c>
      <c r="G422" s="215" t="s">
        <v>2442</v>
      </c>
      <c r="H422" s="215" t="s">
        <v>6521</v>
      </c>
      <c r="I422" s="300"/>
      <c r="J422" s="300"/>
      <c r="K422" s="300"/>
      <c r="L422" s="300"/>
      <c r="M422" s="300"/>
      <c r="N422" s="300"/>
      <c r="O422" s="300"/>
      <c r="P422" s="300"/>
      <c r="Q422" s="300"/>
      <c r="R422" s="300"/>
      <c r="S422" s="300"/>
      <c r="T422" s="300"/>
      <c r="U422" s="300"/>
      <c r="V422" s="300"/>
      <c r="W422" s="300"/>
      <c r="X422" s="300"/>
      <c r="Y422" s="300"/>
      <c r="Z422" s="300"/>
    </row>
    <row r="423" spans="1:26">
      <c r="A423" s="215" t="s">
        <v>4318</v>
      </c>
      <c r="B423" s="207">
        <v>1258</v>
      </c>
      <c r="C423" s="215" t="s">
        <v>6275</v>
      </c>
      <c r="D423" s="215" t="s">
        <v>7465</v>
      </c>
      <c r="E423" s="215" t="s">
        <v>7466</v>
      </c>
      <c r="F423" s="215" t="s">
        <v>7467</v>
      </c>
      <c r="G423" s="215" t="s">
        <v>7468</v>
      </c>
      <c r="H423" s="215" t="s">
        <v>6521</v>
      </c>
      <c r="I423" s="300"/>
      <c r="J423" s="300"/>
      <c r="K423" s="300"/>
      <c r="L423" s="300"/>
      <c r="M423" s="300"/>
      <c r="N423" s="300"/>
      <c r="O423" s="300"/>
      <c r="P423" s="300"/>
      <c r="Q423" s="300"/>
      <c r="R423" s="300"/>
      <c r="S423" s="300"/>
      <c r="T423" s="300"/>
      <c r="U423" s="300"/>
      <c r="V423" s="300"/>
      <c r="W423" s="300"/>
      <c r="X423" s="300"/>
      <c r="Y423" s="300"/>
      <c r="Z423" s="300"/>
    </row>
    <row r="424" spans="1:26">
      <c r="A424" s="215" t="s">
        <v>4341</v>
      </c>
      <c r="B424" s="207">
        <v>2261</v>
      </c>
      <c r="C424" s="215" t="s">
        <v>6293</v>
      </c>
      <c r="D424" s="215" t="s">
        <v>7469</v>
      </c>
      <c r="E424" s="215" t="s">
        <v>7470</v>
      </c>
      <c r="F424" s="215" t="s">
        <v>7467</v>
      </c>
      <c r="G424" s="215" t="s">
        <v>7468</v>
      </c>
      <c r="H424" s="215" t="s">
        <v>6521</v>
      </c>
      <c r="I424" s="300"/>
      <c r="J424" s="300"/>
      <c r="K424" s="300"/>
      <c r="L424" s="300"/>
      <c r="M424" s="300"/>
      <c r="N424" s="300"/>
      <c r="O424" s="300"/>
      <c r="P424" s="300"/>
      <c r="Q424" s="300"/>
      <c r="R424" s="300"/>
      <c r="S424" s="300"/>
      <c r="T424" s="300"/>
      <c r="U424" s="300"/>
      <c r="V424" s="300"/>
      <c r="W424" s="300"/>
      <c r="X424" s="300"/>
      <c r="Y424" s="300"/>
      <c r="Z424" s="300"/>
    </row>
    <row r="425" spans="1:26">
      <c r="A425" s="215" t="s">
        <v>3052</v>
      </c>
      <c r="B425" s="207">
        <v>1251</v>
      </c>
      <c r="C425" s="215" t="s">
        <v>4917</v>
      </c>
      <c r="D425" s="215" t="s">
        <v>7471</v>
      </c>
      <c r="E425" s="215" t="s">
        <v>7472</v>
      </c>
      <c r="F425" s="215" t="s">
        <v>7473</v>
      </c>
      <c r="G425" s="215" t="s">
        <v>7474</v>
      </c>
      <c r="H425" s="215" t="s">
        <v>6500</v>
      </c>
      <c r="I425" s="300"/>
      <c r="J425" s="300"/>
      <c r="K425" s="300"/>
      <c r="L425" s="300"/>
      <c r="M425" s="300"/>
      <c r="N425" s="300"/>
      <c r="O425" s="300"/>
      <c r="P425" s="300"/>
      <c r="Q425" s="300"/>
      <c r="R425" s="300"/>
      <c r="S425" s="300"/>
      <c r="T425" s="300"/>
      <c r="U425" s="300"/>
      <c r="V425" s="300"/>
      <c r="W425" s="300"/>
      <c r="X425" s="300"/>
      <c r="Y425" s="300"/>
      <c r="Z425" s="300"/>
    </row>
    <row r="426" spans="1:26">
      <c r="A426" s="215" t="s">
        <v>3524</v>
      </c>
      <c r="B426" s="207">
        <v>440</v>
      </c>
      <c r="C426" s="215" t="s">
        <v>2610</v>
      </c>
      <c r="D426" s="215" t="s">
        <v>7475</v>
      </c>
      <c r="E426" s="215" t="s">
        <v>7475</v>
      </c>
      <c r="F426" s="215" t="s">
        <v>7476</v>
      </c>
      <c r="G426" s="215" t="s">
        <v>7477</v>
      </c>
      <c r="H426" s="215" t="s">
        <v>6500</v>
      </c>
      <c r="I426" s="300"/>
      <c r="J426" s="300"/>
      <c r="K426" s="300"/>
      <c r="L426" s="300"/>
      <c r="M426" s="300"/>
      <c r="N426" s="300"/>
      <c r="O426" s="300"/>
      <c r="P426" s="300"/>
      <c r="Q426" s="300"/>
      <c r="R426" s="300"/>
      <c r="S426" s="300"/>
      <c r="T426" s="300"/>
      <c r="U426" s="300"/>
      <c r="V426" s="300"/>
      <c r="W426" s="300"/>
      <c r="X426" s="300"/>
      <c r="Y426" s="300"/>
      <c r="Z426" s="300"/>
    </row>
    <row r="427" spans="1:26">
      <c r="A427" s="215" t="s">
        <v>4073</v>
      </c>
      <c r="B427" s="207">
        <v>129</v>
      </c>
      <c r="C427" s="215" t="s">
        <v>6095</v>
      </c>
      <c r="D427" s="215" t="s">
        <v>7478</v>
      </c>
      <c r="E427" s="215" t="s">
        <v>7479</v>
      </c>
      <c r="F427" s="215" t="s">
        <v>7480</v>
      </c>
      <c r="G427" s="215" t="s">
        <v>7481</v>
      </c>
      <c r="H427" s="215" t="s">
        <v>6548</v>
      </c>
      <c r="I427" s="300"/>
      <c r="J427" s="300"/>
      <c r="K427" s="300"/>
      <c r="L427" s="300"/>
      <c r="M427" s="300"/>
      <c r="N427" s="300"/>
      <c r="O427" s="300"/>
      <c r="P427" s="300"/>
      <c r="Q427" s="300"/>
      <c r="R427" s="300"/>
      <c r="S427" s="300"/>
      <c r="T427" s="300"/>
      <c r="U427" s="300"/>
      <c r="V427" s="300"/>
      <c r="W427" s="300"/>
      <c r="X427" s="300"/>
      <c r="Y427" s="300"/>
      <c r="Z427" s="300"/>
    </row>
    <row r="428" spans="1:26">
      <c r="A428" s="215" t="s">
        <v>3201</v>
      </c>
      <c r="B428" s="207">
        <v>1376</v>
      </c>
      <c r="C428" s="215" t="s">
        <v>7482</v>
      </c>
      <c r="D428" s="215" t="s">
        <v>7483</v>
      </c>
      <c r="E428" s="215" t="s">
        <v>7484</v>
      </c>
      <c r="F428" s="215" t="s">
        <v>7480</v>
      </c>
      <c r="G428" s="215" t="s">
        <v>7481</v>
      </c>
      <c r="H428" s="215" t="s">
        <v>6521</v>
      </c>
      <c r="I428" s="300"/>
      <c r="J428" s="300"/>
      <c r="K428" s="300"/>
      <c r="L428" s="300"/>
      <c r="M428" s="300"/>
      <c r="N428" s="300"/>
      <c r="O428" s="300"/>
      <c r="P428" s="300"/>
      <c r="Q428" s="300"/>
      <c r="R428" s="300"/>
      <c r="S428" s="300"/>
      <c r="T428" s="300"/>
      <c r="U428" s="300"/>
      <c r="V428" s="300"/>
      <c r="W428" s="300"/>
      <c r="X428" s="300"/>
      <c r="Y428" s="300"/>
      <c r="Z428" s="300"/>
    </row>
    <row r="429" spans="1:26">
      <c r="A429" s="215" t="s">
        <v>3165</v>
      </c>
      <c r="B429" s="207">
        <v>1377</v>
      </c>
      <c r="C429" s="215" t="s">
        <v>5299</v>
      </c>
      <c r="D429" s="215" t="s">
        <v>7485</v>
      </c>
      <c r="E429" s="215" t="s">
        <v>7486</v>
      </c>
      <c r="F429" s="215" t="s">
        <v>7480</v>
      </c>
      <c r="G429" s="215" t="s">
        <v>7481</v>
      </c>
      <c r="H429" s="215" t="s">
        <v>6521</v>
      </c>
      <c r="I429" s="300"/>
      <c r="J429" s="300"/>
      <c r="K429" s="300"/>
      <c r="L429" s="300"/>
      <c r="M429" s="300"/>
      <c r="N429" s="300"/>
      <c r="O429" s="300"/>
      <c r="P429" s="300"/>
      <c r="Q429" s="300"/>
      <c r="R429" s="300"/>
      <c r="S429" s="300"/>
      <c r="T429" s="300"/>
      <c r="U429" s="300"/>
      <c r="V429" s="300"/>
      <c r="W429" s="300"/>
      <c r="X429" s="300"/>
      <c r="Y429" s="300"/>
      <c r="Z429" s="300"/>
    </row>
    <row r="430" spans="1:26">
      <c r="A430" s="215" t="s">
        <v>3227</v>
      </c>
      <c r="B430" s="207">
        <v>1396</v>
      </c>
      <c r="C430" s="215" t="s">
        <v>5357</v>
      </c>
      <c r="D430" s="215" t="s">
        <v>7487</v>
      </c>
      <c r="E430" s="215" t="s">
        <v>7488</v>
      </c>
      <c r="F430" s="215" t="s">
        <v>7480</v>
      </c>
      <c r="G430" s="215" t="s">
        <v>7481</v>
      </c>
      <c r="H430" s="215" t="s">
        <v>6500</v>
      </c>
      <c r="I430" s="300"/>
      <c r="J430" s="300"/>
      <c r="K430" s="300"/>
      <c r="L430" s="300"/>
      <c r="M430" s="300"/>
      <c r="N430" s="300"/>
      <c r="O430" s="300"/>
      <c r="P430" s="300"/>
      <c r="Q430" s="300"/>
      <c r="R430" s="300"/>
      <c r="S430" s="300"/>
      <c r="T430" s="300"/>
      <c r="U430" s="300"/>
      <c r="V430" s="300"/>
      <c r="W430" s="300"/>
      <c r="X430" s="300"/>
      <c r="Y430" s="300"/>
      <c r="Z430" s="300"/>
    </row>
    <row r="431" spans="1:26">
      <c r="A431" s="215" t="s">
        <v>3245</v>
      </c>
      <c r="B431" s="207">
        <v>1401</v>
      </c>
      <c r="C431" s="215" t="s">
        <v>7489</v>
      </c>
      <c r="D431" s="215" t="s">
        <v>7490</v>
      </c>
      <c r="E431" s="215" t="s">
        <v>7491</v>
      </c>
      <c r="F431" s="215" t="s">
        <v>7480</v>
      </c>
      <c r="G431" s="215" t="s">
        <v>7481</v>
      </c>
      <c r="H431" s="215" t="s">
        <v>6497</v>
      </c>
      <c r="I431" s="300"/>
      <c r="J431" s="300"/>
      <c r="K431" s="300"/>
      <c r="L431" s="300"/>
      <c r="M431" s="300"/>
      <c r="N431" s="300"/>
      <c r="O431" s="300"/>
      <c r="P431" s="300"/>
      <c r="Q431" s="300"/>
      <c r="R431" s="300"/>
      <c r="S431" s="300"/>
      <c r="T431" s="300"/>
      <c r="U431" s="300"/>
      <c r="V431" s="300"/>
      <c r="W431" s="300"/>
      <c r="X431" s="300"/>
      <c r="Y431" s="300"/>
      <c r="Z431" s="300"/>
    </row>
    <row r="432" spans="1:26">
      <c r="A432" s="215" t="s">
        <v>4520</v>
      </c>
      <c r="B432" s="207">
        <v>1405</v>
      </c>
      <c r="C432" s="215" t="s">
        <v>6433</v>
      </c>
      <c r="D432" s="215" t="s">
        <v>7492</v>
      </c>
      <c r="E432" s="215" t="s">
        <v>7492</v>
      </c>
      <c r="F432" s="215" t="s">
        <v>7480</v>
      </c>
      <c r="G432" s="215" t="s">
        <v>7481</v>
      </c>
      <c r="H432" s="215" t="s">
        <v>6500</v>
      </c>
      <c r="I432" s="300"/>
      <c r="J432" s="300"/>
      <c r="K432" s="300"/>
      <c r="L432" s="300"/>
      <c r="M432" s="300"/>
      <c r="N432" s="300"/>
      <c r="O432" s="300"/>
      <c r="P432" s="300"/>
      <c r="Q432" s="300"/>
      <c r="R432" s="300"/>
      <c r="S432" s="300"/>
      <c r="T432" s="300"/>
      <c r="U432" s="300"/>
      <c r="V432" s="300"/>
      <c r="W432" s="300"/>
      <c r="X432" s="300"/>
      <c r="Y432" s="300"/>
      <c r="Z432" s="300"/>
    </row>
    <row r="433" spans="1:26">
      <c r="A433" s="215" t="s">
        <v>4073</v>
      </c>
      <c r="B433" s="207">
        <v>1406</v>
      </c>
      <c r="C433" s="215" t="s">
        <v>7493</v>
      </c>
      <c r="D433" s="215" t="s">
        <v>7494</v>
      </c>
      <c r="E433" s="215" t="s">
        <v>7494</v>
      </c>
      <c r="F433" s="215" t="s">
        <v>7480</v>
      </c>
      <c r="G433" s="215" t="s">
        <v>7481</v>
      </c>
      <c r="H433" s="215" t="s">
        <v>6497</v>
      </c>
      <c r="I433" s="300"/>
      <c r="J433" s="300"/>
      <c r="K433" s="300"/>
      <c r="L433" s="300"/>
      <c r="M433" s="300"/>
      <c r="N433" s="300"/>
      <c r="O433" s="300"/>
      <c r="P433" s="300"/>
      <c r="Q433" s="300"/>
      <c r="R433" s="300"/>
      <c r="S433" s="300"/>
      <c r="T433" s="300"/>
      <c r="U433" s="300"/>
      <c r="V433" s="300"/>
      <c r="W433" s="300"/>
      <c r="X433" s="300"/>
      <c r="Y433" s="300"/>
      <c r="Z433" s="300"/>
    </row>
    <row r="434" spans="1:26">
      <c r="A434" s="215"/>
      <c r="B434" s="207">
        <v>1409</v>
      </c>
      <c r="C434" s="215" t="s">
        <v>7495</v>
      </c>
      <c r="D434" s="215" t="s">
        <v>7496</v>
      </c>
      <c r="E434" s="215" t="s">
        <v>7496</v>
      </c>
      <c r="F434" s="215" t="s">
        <v>7480</v>
      </c>
      <c r="G434" s="215" t="s">
        <v>7481</v>
      </c>
      <c r="H434" s="215" t="s">
        <v>6500</v>
      </c>
      <c r="I434" s="300"/>
      <c r="J434" s="300"/>
      <c r="K434" s="300"/>
      <c r="L434" s="300"/>
      <c r="M434" s="300"/>
      <c r="N434" s="300"/>
      <c r="O434" s="300"/>
      <c r="P434" s="300"/>
      <c r="Q434" s="300"/>
      <c r="R434" s="300"/>
      <c r="S434" s="300"/>
      <c r="T434" s="300"/>
      <c r="U434" s="300"/>
      <c r="V434" s="300"/>
      <c r="W434" s="300"/>
      <c r="X434" s="300"/>
      <c r="Y434" s="300"/>
      <c r="Z434" s="300"/>
    </row>
    <row r="435" spans="1:26">
      <c r="A435" s="215" t="s">
        <v>4349</v>
      </c>
      <c r="B435" s="207">
        <v>1419</v>
      </c>
      <c r="C435" s="215" t="s">
        <v>6300</v>
      </c>
      <c r="D435" s="215" t="s">
        <v>3469</v>
      </c>
      <c r="E435" s="215" t="s">
        <v>7497</v>
      </c>
      <c r="F435" s="215" t="s">
        <v>7480</v>
      </c>
      <c r="G435" s="215" t="s">
        <v>7481</v>
      </c>
      <c r="H435" s="215" t="s">
        <v>6500</v>
      </c>
      <c r="I435" s="300"/>
      <c r="J435" s="300"/>
      <c r="K435" s="300"/>
      <c r="L435" s="300"/>
      <c r="M435" s="300"/>
      <c r="N435" s="300"/>
      <c r="O435" s="300"/>
      <c r="P435" s="300"/>
      <c r="Q435" s="300"/>
      <c r="R435" s="300"/>
      <c r="S435" s="300"/>
      <c r="T435" s="300"/>
      <c r="U435" s="300"/>
      <c r="V435" s="300"/>
      <c r="W435" s="300"/>
      <c r="X435" s="300"/>
      <c r="Y435" s="300"/>
      <c r="Z435" s="300"/>
    </row>
    <row r="436" spans="1:26">
      <c r="A436" s="215" t="s">
        <v>4073</v>
      </c>
      <c r="B436" s="207">
        <v>1420</v>
      </c>
      <c r="C436" s="215" t="s">
        <v>6094</v>
      </c>
      <c r="D436" s="215" t="s">
        <v>7498</v>
      </c>
      <c r="E436" s="215" t="s">
        <v>7499</v>
      </c>
      <c r="F436" s="215" t="s">
        <v>7480</v>
      </c>
      <c r="G436" s="215" t="s">
        <v>7481</v>
      </c>
      <c r="H436" s="215" t="s">
        <v>6497</v>
      </c>
      <c r="I436" s="300"/>
      <c r="J436" s="300"/>
      <c r="K436" s="300"/>
      <c r="L436" s="300"/>
      <c r="M436" s="300"/>
      <c r="N436" s="300"/>
      <c r="O436" s="300"/>
      <c r="P436" s="300"/>
      <c r="Q436" s="300"/>
      <c r="R436" s="300"/>
      <c r="S436" s="300"/>
      <c r="T436" s="300"/>
      <c r="U436" s="300"/>
      <c r="V436" s="300"/>
      <c r="W436" s="300"/>
      <c r="X436" s="300"/>
      <c r="Y436" s="300"/>
      <c r="Z436" s="300"/>
    </row>
    <row r="437" spans="1:26">
      <c r="A437" s="215" t="s">
        <v>3784</v>
      </c>
      <c r="B437" s="207">
        <v>1441</v>
      </c>
      <c r="C437" s="215" t="s">
        <v>5636</v>
      </c>
      <c r="D437" s="215" t="s">
        <v>4183</v>
      </c>
      <c r="E437" s="215" t="s">
        <v>7500</v>
      </c>
      <c r="F437" s="215" t="s">
        <v>7480</v>
      </c>
      <c r="G437" s="215" t="s">
        <v>7481</v>
      </c>
      <c r="H437" s="215" t="s">
        <v>6500</v>
      </c>
      <c r="I437" s="300"/>
      <c r="J437" s="300"/>
      <c r="K437" s="300"/>
      <c r="L437" s="300"/>
      <c r="M437" s="300"/>
      <c r="N437" s="300"/>
      <c r="O437" s="300"/>
      <c r="P437" s="300"/>
      <c r="Q437" s="300"/>
      <c r="R437" s="300"/>
      <c r="S437" s="300"/>
      <c r="T437" s="300"/>
      <c r="U437" s="300"/>
      <c r="V437" s="300"/>
      <c r="W437" s="300"/>
      <c r="X437" s="300"/>
      <c r="Y437" s="300"/>
      <c r="Z437" s="300"/>
    </row>
    <row r="438" spans="1:26">
      <c r="A438" s="215" t="s">
        <v>2878</v>
      </c>
      <c r="B438" s="207">
        <v>51</v>
      </c>
      <c r="C438" s="215" t="s">
        <v>5045</v>
      </c>
      <c r="D438" s="215" t="s">
        <v>7501</v>
      </c>
      <c r="E438" s="215" t="s">
        <v>7501</v>
      </c>
      <c r="F438" s="215" t="s">
        <v>7502</v>
      </c>
      <c r="G438" s="215" t="s">
        <v>7503</v>
      </c>
      <c r="H438" s="215" t="s">
        <v>6497</v>
      </c>
      <c r="I438" s="300"/>
      <c r="J438" s="300"/>
      <c r="K438" s="300"/>
      <c r="L438" s="300"/>
      <c r="M438" s="300"/>
      <c r="N438" s="300"/>
      <c r="O438" s="300"/>
      <c r="P438" s="300"/>
      <c r="Q438" s="300"/>
      <c r="R438" s="300"/>
      <c r="S438" s="300"/>
      <c r="T438" s="300"/>
      <c r="U438" s="300"/>
      <c r="V438" s="300"/>
      <c r="W438" s="300"/>
      <c r="X438" s="300"/>
      <c r="Y438" s="300"/>
      <c r="Z438" s="300"/>
    </row>
    <row r="439" spans="1:26">
      <c r="A439" s="215" t="s">
        <v>3143</v>
      </c>
      <c r="B439" s="207">
        <v>1660</v>
      </c>
      <c r="C439" s="215" t="s">
        <v>5280</v>
      </c>
      <c r="D439" s="215" t="s">
        <v>7504</v>
      </c>
      <c r="E439" s="215" t="s">
        <v>7505</v>
      </c>
      <c r="F439" s="215" t="s">
        <v>7502</v>
      </c>
      <c r="G439" s="215" t="s">
        <v>7503</v>
      </c>
      <c r="H439" s="215" t="s">
        <v>6497</v>
      </c>
      <c r="I439" s="300"/>
      <c r="J439" s="300"/>
      <c r="K439" s="300"/>
      <c r="L439" s="300"/>
      <c r="M439" s="300"/>
      <c r="N439" s="300"/>
      <c r="O439" s="300"/>
      <c r="P439" s="300"/>
      <c r="Q439" s="300"/>
      <c r="R439" s="300"/>
      <c r="S439" s="300"/>
      <c r="T439" s="300"/>
      <c r="U439" s="300"/>
      <c r="V439" s="300"/>
      <c r="W439" s="300"/>
      <c r="X439" s="300"/>
      <c r="Y439" s="300"/>
      <c r="Z439" s="300"/>
    </row>
    <row r="440" spans="1:26">
      <c r="A440" s="215" t="s">
        <v>3782</v>
      </c>
      <c r="B440" s="207">
        <v>1661</v>
      </c>
      <c r="C440" s="215" t="s">
        <v>5040</v>
      </c>
      <c r="D440" s="215" t="s">
        <v>7506</v>
      </c>
      <c r="E440" s="215" t="s">
        <v>7507</v>
      </c>
      <c r="F440" s="215" t="s">
        <v>7502</v>
      </c>
      <c r="G440" s="215" t="s">
        <v>7503</v>
      </c>
      <c r="H440" s="215" t="s">
        <v>6500</v>
      </c>
      <c r="I440" s="300"/>
      <c r="J440" s="300"/>
      <c r="K440" s="300"/>
      <c r="L440" s="300"/>
      <c r="M440" s="300"/>
      <c r="N440" s="300"/>
      <c r="O440" s="300"/>
      <c r="P440" s="300"/>
      <c r="Q440" s="300"/>
      <c r="R440" s="300"/>
      <c r="S440" s="300"/>
      <c r="T440" s="300"/>
      <c r="U440" s="300"/>
      <c r="V440" s="300"/>
      <c r="W440" s="300"/>
      <c r="X440" s="300"/>
      <c r="Y440" s="300"/>
      <c r="Z440" s="300"/>
    </row>
    <row r="441" spans="1:26">
      <c r="A441" s="215" t="s">
        <v>4360</v>
      </c>
      <c r="B441" s="207">
        <v>1662</v>
      </c>
      <c r="C441" s="215" t="s">
        <v>6309</v>
      </c>
      <c r="D441" s="215" t="s">
        <v>7508</v>
      </c>
      <c r="E441" s="215" t="s">
        <v>7508</v>
      </c>
      <c r="F441" s="215" t="s">
        <v>7502</v>
      </c>
      <c r="G441" s="215" t="s">
        <v>7503</v>
      </c>
      <c r="H441" s="215" t="s">
        <v>6504</v>
      </c>
      <c r="I441" s="300"/>
      <c r="J441" s="300"/>
      <c r="K441" s="300"/>
      <c r="L441" s="300"/>
      <c r="M441" s="300"/>
      <c r="N441" s="300"/>
      <c r="O441" s="300"/>
      <c r="P441" s="300"/>
      <c r="Q441" s="300"/>
      <c r="R441" s="300"/>
      <c r="S441" s="300"/>
      <c r="T441" s="300"/>
      <c r="U441" s="300"/>
      <c r="V441" s="300"/>
      <c r="W441" s="300"/>
      <c r="X441" s="300"/>
      <c r="Y441" s="300"/>
      <c r="Z441" s="300"/>
    </row>
    <row r="442" spans="1:26">
      <c r="A442" s="215" t="s">
        <v>4548</v>
      </c>
      <c r="B442" s="207">
        <v>1739</v>
      </c>
      <c r="C442" s="215" t="s">
        <v>6460</v>
      </c>
      <c r="D442" s="215" t="s">
        <v>7509</v>
      </c>
      <c r="E442" s="215" t="s">
        <v>7509</v>
      </c>
      <c r="F442" s="215" t="s">
        <v>7510</v>
      </c>
      <c r="G442" s="215" t="s">
        <v>7511</v>
      </c>
      <c r="H442" s="215" t="s">
        <v>6521</v>
      </c>
      <c r="I442" s="300"/>
      <c r="J442" s="300"/>
      <c r="K442" s="300"/>
      <c r="L442" s="300"/>
      <c r="M442" s="300"/>
      <c r="N442" s="300"/>
      <c r="O442" s="300"/>
      <c r="P442" s="300"/>
      <c r="Q442" s="300"/>
      <c r="R442" s="300"/>
      <c r="S442" s="300"/>
      <c r="T442" s="300"/>
      <c r="U442" s="300"/>
      <c r="V442" s="300"/>
      <c r="W442" s="300"/>
      <c r="X442" s="300"/>
      <c r="Y442" s="300"/>
      <c r="Z442" s="300"/>
    </row>
    <row r="443" spans="1:26">
      <c r="A443" s="215" t="s">
        <v>3538</v>
      </c>
      <c r="B443" s="207">
        <v>138</v>
      </c>
      <c r="C443" s="215" t="s">
        <v>5647</v>
      </c>
      <c r="D443" s="215" t="s">
        <v>7512</v>
      </c>
      <c r="E443" s="215" t="s">
        <v>7513</v>
      </c>
      <c r="F443" s="215" t="s">
        <v>148</v>
      </c>
      <c r="G443" s="215" t="s">
        <v>7514</v>
      </c>
      <c r="H443" s="215" t="s">
        <v>6504</v>
      </c>
      <c r="I443" s="300"/>
      <c r="J443" s="300"/>
      <c r="K443" s="300"/>
      <c r="L443" s="300"/>
      <c r="M443" s="300"/>
      <c r="N443" s="300"/>
      <c r="O443" s="300"/>
      <c r="P443" s="300"/>
      <c r="Q443" s="300"/>
      <c r="R443" s="300"/>
      <c r="S443" s="300"/>
      <c r="T443" s="300"/>
      <c r="U443" s="300"/>
      <c r="V443" s="300"/>
      <c r="W443" s="300"/>
      <c r="X443" s="300"/>
      <c r="Y443" s="300"/>
      <c r="Z443" s="300"/>
    </row>
    <row r="444" spans="1:26">
      <c r="A444" s="215" t="s">
        <v>3546</v>
      </c>
      <c r="B444" s="207">
        <v>140</v>
      </c>
      <c r="C444" s="215" t="s">
        <v>5654</v>
      </c>
      <c r="D444" s="215" t="s">
        <v>7515</v>
      </c>
      <c r="E444" s="215" t="s">
        <v>7515</v>
      </c>
      <c r="F444" s="215" t="s">
        <v>148</v>
      </c>
      <c r="G444" s="215" t="s">
        <v>7514</v>
      </c>
      <c r="H444" s="215" t="s">
        <v>6497</v>
      </c>
      <c r="I444" s="300"/>
      <c r="J444" s="300"/>
      <c r="K444" s="300"/>
      <c r="L444" s="300"/>
      <c r="M444" s="300"/>
      <c r="N444" s="300"/>
      <c r="O444" s="300"/>
      <c r="P444" s="300"/>
      <c r="Q444" s="300"/>
      <c r="R444" s="300"/>
      <c r="S444" s="300"/>
      <c r="T444" s="300"/>
      <c r="U444" s="300"/>
      <c r="V444" s="300"/>
      <c r="W444" s="300"/>
      <c r="X444" s="300"/>
      <c r="Y444" s="300"/>
      <c r="Z444" s="300"/>
    </row>
    <row r="445" spans="1:26">
      <c r="A445" s="215" t="s">
        <v>3268</v>
      </c>
      <c r="B445" s="207">
        <v>151</v>
      </c>
      <c r="C445" s="215" t="s">
        <v>7516</v>
      </c>
      <c r="D445" s="215" t="s">
        <v>7517</v>
      </c>
      <c r="E445" s="215" t="s">
        <v>7518</v>
      </c>
      <c r="F445" s="215" t="s">
        <v>148</v>
      </c>
      <c r="G445" s="215" t="s">
        <v>7514</v>
      </c>
      <c r="H445" s="215" t="s">
        <v>6521</v>
      </c>
      <c r="I445" s="300"/>
      <c r="J445" s="300"/>
      <c r="K445" s="300"/>
      <c r="L445" s="300"/>
      <c r="M445" s="300"/>
      <c r="N445" s="300"/>
      <c r="O445" s="300"/>
      <c r="P445" s="300"/>
      <c r="Q445" s="300"/>
      <c r="R445" s="300"/>
      <c r="S445" s="300"/>
      <c r="T445" s="300"/>
      <c r="U445" s="300"/>
      <c r="V445" s="300"/>
      <c r="W445" s="300"/>
      <c r="X445" s="300"/>
      <c r="Y445" s="300"/>
      <c r="Z445" s="300"/>
    </row>
    <row r="446" spans="1:26">
      <c r="A446" s="215" t="s">
        <v>3406</v>
      </c>
      <c r="B446" s="207">
        <v>155</v>
      </c>
      <c r="C446" s="215" t="s">
        <v>5530</v>
      </c>
      <c r="D446" s="215" t="s">
        <v>7519</v>
      </c>
      <c r="E446" s="215" t="s">
        <v>7519</v>
      </c>
      <c r="F446" s="215" t="s">
        <v>148</v>
      </c>
      <c r="G446" s="215" t="s">
        <v>7514</v>
      </c>
      <c r="H446" s="215" t="s">
        <v>6504</v>
      </c>
      <c r="I446" s="300"/>
      <c r="J446" s="300"/>
      <c r="K446" s="300"/>
      <c r="L446" s="300"/>
      <c r="M446" s="300"/>
      <c r="N446" s="300"/>
      <c r="O446" s="300"/>
      <c r="P446" s="300"/>
      <c r="Q446" s="300"/>
      <c r="R446" s="300"/>
      <c r="S446" s="300"/>
      <c r="T446" s="300"/>
      <c r="U446" s="300"/>
      <c r="V446" s="300"/>
      <c r="W446" s="300"/>
      <c r="X446" s="300"/>
      <c r="Y446" s="300"/>
      <c r="Z446" s="300"/>
    </row>
    <row r="447" spans="1:26">
      <c r="A447" s="215" t="s">
        <v>3101</v>
      </c>
      <c r="B447" s="207">
        <v>253</v>
      </c>
      <c r="C447" s="215" t="s">
        <v>7520</v>
      </c>
      <c r="D447" s="215" t="s">
        <v>7521</v>
      </c>
      <c r="E447" s="215" t="s">
        <v>7522</v>
      </c>
      <c r="F447" s="215" t="s">
        <v>148</v>
      </c>
      <c r="G447" s="215" t="s">
        <v>7514</v>
      </c>
      <c r="H447" s="215" t="s">
        <v>6504</v>
      </c>
      <c r="I447" s="300"/>
      <c r="J447" s="300"/>
      <c r="K447" s="300"/>
      <c r="L447" s="300"/>
      <c r="M447" s="300"/>
      <c r="N447" s="300"/>
      <c r="O447" s="300"/>
      <c r="P447" s="300"/>
      <c r="Q447" s="300"/>
      <c r="R447" s="300"/>
      <c r="S447" s="300"/>
      <c r="T447" s="300"/>
      <c r="U447" s="300"/>
      <c r="V447" s="300"/>
      <c r="W447" s="300"/>
      <c r="X447" s="300"/>
      <c r="Y447" s="300"/>
      <c r="Z447" s="300"/>
    </row>
    <row r="448" spans="1:26">
      <c r="A448" s="215" t="s">
        <v>3269</v>
      </c>
      <c r="B448" s="207">
        <v>254</v>
      </c>
      <c r="C448" s="215" t="s">
        <v>5393</v>
      </c>
      <c r="D448" s="215" t="s">
        <v>7523</v>
      </c>
      <c r="E448" s="215" t="s">
        <v>7523</v>
      </c>
      <c r="F448" s="215" t="s">
        <v>148</v>
      </c>
      <c r="G448" s="215" t="s">
        <v>7514</v>
      </c>
      <c r="H448" s="215" t="s">
        <v>6500</v>
      </c>
      <c r="I448" s="300"/>
      <c r="J448" s="300"/>
      <c r="K448" s="300"/>
      <c r="L448" s="300"/>
      <c r="M448" s="300"/>
      <c r="N448" s="300"/>
      <c r="O448" s="300"/>
      <c r="P448" s="300"/>
      <c r="Q448" s="300"/>
      <c r="R448" s="300"/>
      <c r="S448" s="300"/>
      <c r="T448" s="300"/>
      <c r="U448" s="300"/>
      <c r="V448" s="300"/>
      <c r="W448" s="300"/>
      <c r="X448" s="300"/>
      <c r="Y448" s="300"/>
      <c r="Z448" s="300"/>
    </row>
    <row r="449" spans="1:26">
      <c r="A449" s="215" t="s">
        <v>3219</v>
      </c>
      <c r="B449" s="207">
        <v>257</v>
      </c>
      <c r="C449" s="215" t="s">
        <v>2641</v>
      </c>
      <c r="D449" s="215" t="s">
        <v>7524</v>
      </c>
      <c r="E449" s="215" t="s">
        <v>7525</v>
      </c>
      <c r="F449" s="215" t="s">
        <v>148</v>
      </c>
      <c r="G449" s="215" t="s">
        <v>7514</v>
      </c>
      <c r="H449" s="215" t="s">
        <v>6497</v>
      </c>
      <c r="I449" s="300"/>
      <c r="J449" s="300"/>
      <c r="K449" s="300"/>
      <c r="L449" s="300"/>
      <c r="M449" s="300"/>
      <c r="N449" s="300"/>
      <c r="O449" s="300"/>
      <c r="P449" s="300"/>
      <c r="Q449" s="300"/>
      <c r="R449" s="300"/>
      <c r="S449" s="300"/>
      <c r="T449" s="300"/>
      <c r="U449" s="300"/>
      <c r="V449" s="300"/>
      <c r="W449" s="300"/>
      <c r="X449" s="300"/>
      <c r="Y449" s="300"/>
      <c r="Z449" s="300"/>
    </row>
    <row r="450" spans="1:26">
      <c r="A450" s="215" t="s">
        <v>3211</v>
      </c>
      <c r="B450" s="207">
        <v>260</v>
      </c>
      <c r="C450" s="215" t="s">
        <v>5340</v>
      </c>
      <c r="D450" s="215" t="s">
        <v>7526</v>
      </c>
      <c r="E450" s="215" t="s">
        <v>7526</v>
      </c>
      <c r="F450" s="215" t="s">
        <v>148</v>
      </c>
      <c r="G450" s="215" t="s">
        <v>7514</v>
      </c>
      <c r="H450" s="215" t="s">
        <v>6497</v>
      </c>
      <c r="I450" s="300"/>
      <c r="J450" s="300"/>
      <c r="K450" s="300"/>
      <c r="L450" s="300"/>
      <c r="M450" s="300"/>
      <c r="N450" s="300"/>
      <c r="O450" s="300"/>
      <c r="P450" s="300"/>
      <c r="Q450" s="300"/>
      <c r="R450" s="300"/>
      <c r="S450" s="300"/>
      <c r="T450" s="300"/>
      <c r="U450" s="300"/>
      <c r="V450" s="300"/>
      <c r="W450" s="300"/>
      <c r="X450" s="300"/>
      <c r="Y450" s="300"/>
      <c r="Z450" s="300"/>
    </row>
    <row r="451" spans="1:26">
      <c r="A451" s="215" t="s">
        <v>3213</v>
      </c>
      <c r="B451" s="207">
        <v>261</v>
      </c>
      <c r="C451" s="215" t="s">
        <v>7527</v>
      </c>
      <c r="D451" s="215" t="s">
        <v>7528</v>
      </c>
      <c r="E451" s="215" t="s">
        <v>7529</v>
      </c>
      <c r="F451" s="215" t="s">
        <v>148</v>
      </c>
      <c r="G451" s="215" t="s">
        <v>7514</v>
      </c>
      <c r="H451" s="215" t="s">
        <v>6497</v>
      </c>
      <c r="I451" s="300"/>
      <c r="J451" s="300"/>
      <c r="K451" s="300"/>
      <c r="L451" s="300"/>
      <c r="M451" s="300"/>
      <c r="N451" s="300"/>
      <c r="O451" s="300"/>
      <c r="P451" s="300"/>
      <c r="Q451" s="300"/>
      <c r="R451" s="300"/>
      <c r="S451" s="300"/>
      <c r="T451" s="300"/>
      <c r="U451" s="300"/>
      <c r="V451" s="300"/>
      <c r="W451" s="300"/>
      <c r="X451" s="300"/>
      <c r="Y451" s="300"/>
      <c r="Z451" s="300"/>
    </row>
    <row r="452" spans="1:26">
      <c r="A452" s="215" t="s">
        <v>3200</v>
      </c>
      <c r="B452" s="207">
        <v>263</v>
      </c>
      <c r="C452" s="215" t="s">
        <v>7530</v>
      </c>
      <c r="D452" s="215" t="s">
        <v>7531</v>
      </c>
      <c r="E452" s="215" t="s">
        <v>7532</v>
      </c>
      <c r="F452" s="215" t="s">
        <v>148</v>
      </c>
      <c r="G452" s="215" t="s">
        <v>7514</v>
      </c>
      <c r="H452" s="215" t="s">
        <v>6504</v>
      </c>
      <c r="I452" s="300"/>
      <c r="J452" s="300"/>
      <c r="K452" s="300"/>
      <c r="L452" s="300"/>
      <c r="M452" s="300"/>
      <c r="N452" s="300"/>
      <c r="O452" s="300"/>
      <c r="P452" s="300"/>
      <c r="Q452" s="300"/>
      <c r="R452" s="300"/>
      <c r="S452" s="300"/>
      <c r="T452" s="300"/>
      <c r="U452" s="300"/>
      <c r="V452" s="300"/>
      <c r="W452" s="300"/>
      <c r="X452" s="300"/>
      <c r="Y452" s="300"/>
      <c r="Z452" s="300"/>
    </row>
    <row r="453" spans="1:26">
      <c r="A453" s="215" t="s">
        <v>3155</v>
      </c>
      <c r="B453" s="207">
        <v>266</v>
      </c>
      <c r="C453" s="215" t="s">
        <v>5287</v>
      </c>
      <c r="D453" s="215" t="s">
        <v>7533</v>
      </c>
      <c r="E453" s="215" t="s">
        <v>7534</v>
      </c>
      <c r="F453" s="215" t="s">
        <v>148</v>
      </c>
      <c r="G453" s="215" t="s">
        <v>7514</v>
      </c>
      <c r="H453" s="215" t="s">
        <v>6504</v>
      </c>
      <c r="I453" s="300"/>
      <c r="J453" s="300"/>
      <c r="K453" s="300"/>
      <c r="L453" s="300"/>
      <c r="M453" s="300"/>
      <c r="N453" s="300"/>
      <c r="O453" s="300"/>
      <c r="P453" s="300"/>
      <c r="Q453" s="300"/>
      <c r="R453" s="300"/>
      <c r="S453" s="300"/>
      <c r="T453" s="300"/>
      <c r="U453" s="300"/>
      <c r="V453" s="300"/>
      <c r="W453" s="300"/>
      <c r="X453" s="300"/>
      <c r="Y453" s="300"/>
      <c r="Z453" s="300"/>
    </row>
    <row r="454" spans="1:26">
      <c r="A454" s="215" t="s">
        <v>3651</v>
      </c>
      <c r="B454" s="207">
        <v>267</v>
      </c>
      <c r="C454" s="215" t="s">
        <v>5747</v>
      </c>
      <c r="D454" s="215" t="s">
        <v>7535</v>
      </c>
      <c r="E454" s="215" t="s">
        <v>7536</v>
      </c>
      <c r="F454" s="215" t="s">
        <v>148</v>
      </c>
      <c r="G454" s="215" t="s">
        <v>7514</v>
      </c>
      <c r="H454" s="215" t="s">
        <v>6521</v>
      </c>
      <c r="I454" s="300"/>
      <c r="J454" s="300"/>
      <c r="K454" s="300"/>
      <c r="L454" s="300"/>
      <c r="M454" s="300"/>
      <c r="N454" s="300"/>
      <c r="O454" s="300"/>
      <c r="P454" s="300"/>
      <c r="Q454" s="300"/>
      <c r="R454" s="300"/>
      <c r="S454" s="300"/>
      <c r="T454" s="300"/>
      <c r="U454" s="300"/>
      <c r="V454" s="300"/>
      <c r="W454" s="300"/>
      <c r="X454" s="300"/>
      <c r="Y454" s="300"/>
      <c r="Z454" s="300"/>
    </row>
    <row r="455" spans="1:26">
      <c r="A455" s="215" t="s">
        <v>3038</v>
      </c>
      <c r="B455" s="207">
        <v>268</v>
      </c>
      <c r="C455" s="215" t="s">
        <v>5173</v>
      </c>
      <c r="D455" s="215" t="s">
        <v>7537</v>
      </c>
      <c r="E455" s="215" t="s">
        <v>7538</v>
      </c>
      <c r="F455" s="215" t="s">
        <v>148</v>
      </c>
      <c r="G455" s="215" t="s">
        <v>7514</v>
      </c>
      <c r="H455" s="215" t="s">
        <v>6521</v>
      </c>
      <c r="I455" s="300"/>
      <c r="J455" s="300"/>
      <c r="K455" s="300"/>
      <c r="L455" s="300"/>
      <c r="M455" s="300"/>
      <c r="N455" s="300"/>
      <c r="O455" s="300"/>
      <c r="P455" s="300"/>
      <c r="Q455" s="300"/>
      <c r="R455" s="300"/>
      <c r="S455" s="300"/>
      <c r="T455" s="300"/>
      <c r="U455" s="300"/>
      <c r="V455" s="300"/>
      <c r="W455" s="300"/>
      <c r="X455" s="300"/>
      <c r="Y455" s="300"/>
      <c r="Z455" s="300"/>
    </row>
    <row r="456" spans="1:26">
      <c r="A456" s="215" t="s">
        <v>2948</v>
      </c>
      <c r="B456" s="207">
        <v>271</v>
      </c>
      <c r="C456" s="215" t="s">
        <v>7539</v>
      </c>
      <c r="D456" s="215" t="s">
        <v>7540</v>
      </c>
      <c r="E456" s="215" t="s">
        <v>7541</v>
      </c>
      <c r="F456" s="215" t="s">
        <v>148</v>
      </c>
      <c r="G456" s="215" t="s">
        <v>7514</v>
      </c>
      <c r="H456" s="215" t="s">
        <v>6521</v>
      </c>
      <c r="I456" s="300"/>
      <c r="J456" s="300"/>
      <c r="K456" s="300"/>
      <c r="L456" s="300"/>
      <c r="M456" s="300"/>
      <c r="N456" s="300"/>
      <c r="O456" s="300"/>
      <c r="P456" s="300"/>
      <c r="Q456" s="300"/>
      <c r="R456" s="300"/>
      <c r="S456" s="300"/>
      <c r="T456" s="300"/>
      <c r="U456" s="300"/>
      <c r="V456" s="300"/>
      <c r="W456" s="300"/>
      <c r="X456" s="300"/>
      <c r="Y456" s="300"/>
      <c r="Z456" s="300"/>
    </row>
    <row r="457" spans="1:26">
      <c r="A457" s="215" t="s">
        <v>3026</v>
      </c>
      <c r="B457" s="207">
        <v>273</v>
      </c>
      <c r="C457" s="215" t="s">
        <v>5157</v>
      </c>
      <c r="D457" s="215" t="s">
        <v>7542</v>
      </c>
      <c r="E457" s="215" t="s">
        <v>7542</v>
      </c>
      <c r="F457" s="215" t="s">
        <v>148</v>
      </c>
      <c r="G457" s="215" t="s">
        <v>7514</v>
      </c>
      <c r="H457" s="215" t="s">
        <v>6500</v>
      </c>
      <c r="I457" s="300"/>
      <c r="J457" s="300"/>
      <c r="K457" s="300"/>
      <c r="L457" s="300"/>
      <c r="M457" s="300"/>
      <c r="N457" s="300"/>
      <c r="O457" s="300"/>
      <c r="P457" s="300"/>
      <c r="Q457" s="300"/>
      <c r="R457" s="300"/>
      <c r="S457" s="300"/>
      <c r="T457" s="300"/>
      <c r="U457" s="300"/>
      <c r="V457" s="300"/>
      <c r="W457" s="300"/>
      <c r="X457" s="300"/>
      <c r="Y457" s="300"/>
      <c r="Z457" s="300"/>
    </row>
    <row r="458" spans="1:26">
      <c r="A458" s="215" t="s">
        <v>3021</v>
      </c>
      <c r="B458" s="207">
        <v>275</v>
      </c>
      <c r="C458" s="215" t="s">
        <v>7543</v>
      </c>
      <c r="D458" s="215" t="s">
        <v>7544</v>
      </c>
      <c r="E458" s="215" t="s">
        <v>7545</v>
      </c>
      <c r="F458" s="215" t="s">
        <v>148</v>
      </c>
      <c r="G458" s="215" t="s">
        <v>7514</v>
      </c>
      <c r="H458" s="215" t="s">
        <v>6521</v>
      </c>
      <c r="I458" s="300"/>
      <c r="J458" s="300"/>
      <c r="K458" s="300"/>
      <c r="L458" s="300"/>
      <c r="M458" s="300"/>
      <c r="N458" s="300"/>
      <c r="O458" s="300"/>
      <c r="P458" s="300"/>
      <c r="Q458" s="300"/>
      <c r="R458" s="300"/>
      <c r="S458" s="300"/>
      <c r="T458" s="300"/>
      <c r="U458" s="300"/>
      <c r="V458" s="300"/>
      <c r="W458" s="300"/>
      <c r="X458" s="300"/>
      <c r="Y458" s="300"/>
      <c r="Z458" s="300"/>
    </row>
    <row r="459" spans="1:26">
      <c r="A459" s="215" t="s">
        <v>3009</v>
      </c>
      <c r="B459" s="207">
        <v>276</v>
      </c>
      <c r="C459" s="215" t="s">
        <v>7546</v>
      </c>
      <c r="D459" s="215" t="s">
        <v>7547</v>
      </c>
      <c r="E459" s="215" t="s">
        <v>7548</v>
      </c>
      <c r="F459" s="215" t="s">
        <v>148</v>
      </c>
      <c r="G459" s="215" t="s">
        <v>7514</v>
      </c>
      <c r="H459" s="215" t="s">
        <v>6521</v>
      </c>
      <c r="I459" s="300"/>
      <c r="J459" s="300"/>
      <c r="K459" s="300"/>
      <c r="L459" s="300"/>
      <c r="M459" s="300"/>
      <c r="N459" s="300"/>
      <c r="O459" s="300"/>
      <c r="P459" s="300"/>
      <c r="Q459" s="300"/>
      <c r="R459" s="300"/>
      <c r="S459" s="300"/>
      <c r="T459" s="300"/>
      <c r="U459" s="300"/>
      <c r="V459" s="300"/>
      <c r="W459" s="300"/>
      <c r="X459" s="300"/>
      <c r="Y459" s="300"/>
      <c r="Z459" s="300"/>
    </row>
    <row r="460" spans="1:26">
      <c r="A460" s="215" t="s">
        <v>2997</v>
      </c>
      <c r="B460" s="207">
        <v>277</v>
      </c>
      <c r="C460" s="215" t="s">
        <v>5140</v>
      </c>
      <c r="D460" s="215" t="s">
        <v>7549</v>
      </c>
      <c r="E460" s="215" t="s">
        <v>7550</v>
      </c>
      <c r="F460" s="215" t="s">
        <v>148</v>
      </c>
      <c r="G460" s="215" t="s">
        <v>7514</v>
      </c>
      <c r="H460" s="215" t="s">
        <v>6521</v>
      </c>
      <c r="I460" s="300"/>
      <c r="J460" s="300"/>
      <c r="K460" s="300"/>
      <c r="L460" s="300"/>
      <c r="M460" s="300"/>
      <c r="N460" s="300"/>
      <c r="O460" s="300"/>
      <c r="P460" s="300"/>
      <c r="Q460" s="300"/>
      <c r="R460" s="300"/>
      <c r="S460" s="300"/>
      <c r="T460" s="300"/>
      <c r="U460" s="300"/>
      <c r="V460" s="300"/>
      <c r="W460" s="300"/>
      <c r="X460" s="300"/>
      <c r="Y460" s="300"/>
      <c r="Z460" s="300"/>
    </row>
    <row r="461" spans="1:26">
      <c r="A461" s="215" t="s">
        <v>2999</v>
      </c>
      <c r="B461" s="207">
        <v>282</v>
      </c>
      <c r="C461" s="215" t="s">
        <v>7551</v>
      </c>
      <c r="D461" s="215" t="s">
        <v>7552</v>
      </c>
      <c r="E461" s="215" t="s">
        <v>7553</v>
      </c>
      <c r="F461" s="215" t="s">
        <v>148</v>
      </c>
      <c r="G461" s="215" t="s">
        <v>7514</v>
      </c>
      <c r="H461" s="215" t="s">
        <v>6521</v>
      </c>
      <c r="I461" s="300"/>
      <c r="J461" s="300"/>
      <c r="K461" s="300"/>
      <c r="L461" s="300"/>
      <c r="M461" s="300"/>
      <c r="N461" s="300"/>
      <c r="O461" s="300"/>
      <c r="P461" s="300"/>
      <c r="Q461" s="300"/>
      <c r="R461" s="300"/>
      <c r="S461" s="300"/>
      <c r="T461" s="300"/>
      <c r="U461" s="300"/>
      <c r="V461" s="300"/>
      <c r="W461" s="300"/>
      <c r="X461" s="300"/>
      <c r="Y461" s="300"/>
      <c r="Z461" s="300"/>
    </row>
    <row r="462" spans="1:26">
      <c r="A462" s="215" t="s">
        <v>2996</v>
      </c>
      <c r="B462" s="207">
        <v>688</v>
      </c>
      <c r="C462" s="215" t="s">
        <v>7554</v>
      </c>
      <c r="D462" s="215" t="s">
        <v>7555</v>
      </c>
      <c r="E462" s="215" t="s">
        <v>7556</v>
      </c>
      <c r="F462" s="215" t="s">
        <v>148</v>
      </c>
      <c r="G462" s="215" t="s">
        <v>7514</v>
      </c>
      <c r="H462" s="215" t="s">
        <v>6521</v>
      </c>
      <c r="I462" s="300"/>
      <c r="J462" s="300"/>
      <c r="K462" s="300"/>
      <c r="L462" s="300"/>
      <c r="M462" s="300"/>
      <c r="N462" s="300"/>
      <c r="O462" s="300"/>
      <c r="P462" s="300"/>
      <c r="Q462" s="300"/>
      <c r="R462" s="300"/>
      <c r="S462" s="300"/>
      <c r="T462" s="300"/>
      <c r="U462" s="300"/>
      <c r="V462" s="300"/>
      <c r="W462" s="300"/>
      <c r="X462" s="300"/>
      <c r="Y462" s="300"/>
      <c r="Z462" s="300"/>
    </row>
    <row r="463" spans="1:26">
      <c r="A463" s="215" t="s">
        <v>2998</v>
      </c>
      <c r="B463" s="207">
        <v>692</v>
      </c>
      <c r="C463" s="215" t="s">
        <v>7557</v>
      </c>
      <c r="D463" s="215" t="s">
        <v>7558</v>
      </c>
      <c r="E463" s="215" t="s">
        <v>7559</v>
      </c>
      <c r="F463" s="215" t="s">
        <v>148</v>
      </c>
      <c r="G463" s="215" t="s">
        <v>7514</v>
      </c>
      <c r="H463" s="215" t="s">
        <v>6521</v>
      </c>
      <c r="I463" s="300"/>
      <c r="J463" s="300"/>
      <c r="K463" s="300"/>
      <c r="L463" s="300"/>
      <c r="M463" s="300"/>
      <c r="N463" s="300"/>
      <c r="O463" s="300"/>
      <c r="P463" s="300"/>
      <c r="Q463" s="300"/>
      <c r="R463" s="300"/>
      <c r="S463" s="300"/>
      <c r="T463" s="300"/>
      <c r="U463" s="300"/>
      <c r="V463" s="300"/>
      <c r="W463" s="300"/>
      <c r="X463" s="300"/>
      <c r="Y463" s="300"/>
      <c r="Z463" s="300"/>
    </row>
    <row r="464" spans="1:26">
      <c r="A464" s="215" t="s">
        <v>2984</v>
      </c>
      <c r="B464" s="207">
        <v>693</v>
      </c>
      <c r="C464" s="215" t="s">
        <v>7560</v>
      </c>
      <c r="D464" s="215" t="s">
        <v>7561</v>
      </c>
      <c r="E464" s="215" t="s">
        <v>7562</v>
      </c>
      <c r="F464" s="215" t="s">
        <v>148</v>
      </c>
      <c r="G464" s="215" t="s">
        <v>7514</v>
      </c>
      <c r="H464" s="215" t="s">
        <v>6497</v>
      </c>
      <c r="I464" s="300"/>
      <c r="J464" s="300"/>
      <c r="K464" s="300"/>
      <c r="L464" s="300"/>
      <c r="M464" s="300"/>
      <c r="N464" s="300"/>
      <c r="O464" s="300"/>
      <c r="P464" s="300"/>
      <c r="Q464" s="300"/>
      <c r="R464" s="300"/>
      <c r="S464" s="300"/>
      <c r="T464" s="300"/>
      <c r="U464" s="300"/>
      <c r="V464" s="300"/>
      <c r="W464" s="300"/>
      <c r="X464" s="300"/>
      <c r="Y464" s="300"/>
      <c r="Z464" s="300"/>
    </row>
    <row r="465" spans="1:26">
      <c r="A465" s="215" t="s">
        <v>2995</v>
      </c>
      <c r="B465" s="207">
        <v>695</v>
      </c>
      <c r="C465" s="215" t="s">
        <v>5138</v>
      </c>
      <c r="D465" s="215" t="s">
        <v>7563</v>
      </c>
      <c r="E465" s="215" t="s">
        <v>7563</v>
      </c>
      <c r="F465" s="215" t="s">
        <v>148</v>
      </c>
      <c r="G465" s="215" t="s">
        <v>7514</v>
      </c>
      <c r="H465" s="215" t="s">
        <v>6497</v>
      </c>
      <c r="I465" s="300"/>
      <c r="J465" s="300"/>
      <c r="K465" s="300"/>
      <c r="L465" s="300"/>
      <c r="M465" s="300"/>
      <c r="N465" s="300"/>
      <c r="O465" s="300"/>
      <c r="P465" s="300"/>
      <c r="Q465" s="300"/>
      <c r="R465" s="300"/>
      <c r="S465" s="300"/>
      <c r="T465" s="300"/>
      <c r="U465" s="300"/>
      <c r="V465" s="300"/>
      <c r="W465" s="300"/>
      <c r="X465" s="300"/>
      <c r="Y465" s="300"/>
      <c r="Z465" s="300"/>
    </row>
    <row r="466" spans="1:26">
      <c r="A466" s="215" t="s">
        <v>2968</v>
      </c>
      <c r="B466" s="207">
        <v>800</v>
      </c>
      <c r="C466" s="215" t="s">
        <v>5118</v>
      </c>
      <c r="D466" s="215" t="s">
        <v>7564</v>
      </c>
      <c r="E466" s="215" t="s">
        <v>7565</v>
      </c>
      <c r="F466" s="215" t="s">
        <v>148</v>
      </c>
      <c r="G466" s="215" t="s">
        <v>7514</v>
      </c>
      <c r="H466" s="215" t="s">
        <v>6500</v>
      </c>
      <c r="I466" s="300"/>
      <c r="J466" s="300"/>
      <c r="K466" s="300"/>
      <c r="L466" s="300"/>
      <c r="M466" s="300"/>
      <c r="N466" s="300"/>
      <c r="O466" s="300"/>
      <c r="P466" s="300"/>
      <c r="Q466" s="300"/>
      <c r="R466" s="300"/>
      <c r="S466" s="300"/>
      <c r="T466" s="300"/>
      <c r="U466" s="300"/>
      <c r="V466" s="300"/>
      <c r="W466" s="300"/>
      <c r="X466" s="300"/>
      <c r="Y466" s="300"/>
      <c r="Z466" s="300"/>
    </row>
    <row r="467" spans="1:26">
      <c r="A467" s="215" t="s">
        <v>2915</v>
      </c>
      <c r="B467" s="207">
        <v>804</v>
      </c>
      <c r="C467" s="215" t="s">
        <v>7566</v>
      </c>
      <c r="D467" s="215" t="s">
        <v>7567</v>
      </c>
      <c r="E467" s="215" t="s">
        <v>7568</v>
      </c>
      <c r="F467" s="215" t="s">
        <v>148</v>
      </c>
      <c r="G467" s="215" t="s">
        <v>7514</v>
      </c>
      <c r="H467" s="215" t="s">
        <v>6497</v>
      </c>
      <c r="I467" s="300"/>
      <c r="J467" s="300"/>
      <c r="K467" s="300"/>
      <c r="L467" s="300"/>
      <c r="M467" s="300"/>
      <c r="N467" s="300"/>
      <c r="O467" s="300"/>
      <c r="P467" s="300"/>
      <c r="Q467" s="300"/>
      <c r="R467" s="300"/>
      <c r="S467" s="300"/>
      <c r="T467" s="300"/>
      <c r="U467" s="300"/>
      <c r="V467" s="300"/>
      <c r="W467" s="300"/>
      <c r="X467" s="300"/>
      <c r="Y467" s="300"/>
      <c r="Z467" s="300"/>
    </row>
    <row r="468" spans="1:26">
      <c r="A468" s="215" t="s">
        <v>7569</v>
      </c>
      <c r="B468" s="207">
        <v>1241</v>
      </c>
      <c r="C468" s="215" t="s">
        <v>5144</v>
      </c>
      <c r="D468" s="215" t="s">
        <v>7570</v>
      </c>
      <c r="E468" s="215" t="s">
        <v>7570</v>
      </c>
      <c r="F468" s="215" t="s">
        <v>148</v>
      </c>
      <c r="G468" s="215" t="s">
        <v>7514</v>
      </c>
      <c r="H468" s="215" t="s">
        <v>6504</v>
      </c>
      <c r="I468" s="300"/>
      <c r="J468" s="300"/>
      <c r="K468" s="300"/>
      <c r="L468" s="300"/>
      <c r="M468" s="300"/>
      <c r="N468" s="300"/>
      <c r="O468" s="300"/>
      <c r="P468" s="300"/>
      <c r="Q468" s="300"/>
      <c r="R468" s="300"/>
      <c r="S468" s="300"/>
      <c r="T468" s="300"/>
      <c r="U468" s="300"/>
      <c r="V468" s="300"/>
      <c r="W468" s="300"/>
      <c r="X468" s="300"/>
      <c r="Y468" s="300"/>
      <c r="Z468" s="300"/>
    </row>
    <row r="469" spans="1:26">
      <c r="A469" s="215" t="s">
        <v>2811</v>
      </c>
      <c r="B469" s="207">
        <v>1244</v>
      </c>
      <c r="C469" s="215" t="s">
        <v>7571</v>
      </c>
      <c r="D469" s="215" t="s">
        <v>7572</v>
      </c>
      <c r="E469" s="215" t="s">
        <v>7573</v>
      </c>
      <c r="F469" s="215" t="s">
        <v>148</v>
      </c>
      <c r="G469" s="215" t="s">
        <v>7514</v>
      </c>
      <c r="H469" s="215" t="s">
        <v>6500</v>
      </c>
      <c r="I469" s="300"/>
      <c r="J469" s="300"/>
      <c r="K469" s="300"/>
      <c r="L469" s="300"/>
      <c r="M469" s="300"/>
      <c r="N469" s="300"/>
      <c r="O469" s="300"/>
      <c r="P469" s="300"/>
      <c r="Q469" s="300"/>
      <c r="R469" s="300"/>
      <c r="S469" s="300"/>
      <c r="T469" s="300"/>
      <c r="U469" s="300"/>
      <c r="V469" s="300"/>
      <c r="W469" s="300"/>
      <c r="X469" s="300"/>
      <c r="Y469" s="300"/>
      <c r="Z469" s="300"/>
    </row>
    <row r="470" spans="1:26">
      <c r="A470" s="215" t="s">
        <v>3621</v>
      </c>
      <c r="B470" s="207">
        <v>1317</v>
      </c>
      <c r="C470" s="215" t="s">
        <v>7574</v>
      </c>
      <c r="D470" s="215" t="s">
        <v>7575</v>
      </c>
      <c r="E470" s="215" t="s">
        <v>7576</v>
      </c>
      <c r="F470" s="215" t="s">
        <v>148</v>
      </c>
      <c r="G470" s="215" t="s">
        <v>7514</v>
      </c>
      <c r="H470" s="215" t="s">
        <v>6521</v>
      </c>
      <c r="I470" s="300"/>
      <c r="J470" s="300"/>
      <c r="K470" s="300"/>
      <c r="L470" s="300"/>
      <c r="M470" s="300"/>
      <c r="N470" s="300"/>
      <c r="O470" s="300"/>
      <c r="P470" s="300"/>
      <c r="Q470" s="300"/>
      <c r="R470" s="300"/>
      <c r="S470" s="300"/>
      <c r="T470" s="300"/>
      <c r="U470" s="300"/>
      <c r="V470" s="300"/>
      <c r="W470" s="300"/>
      <c r="X470" s="300"/>
      <c r="Y470" s="300"/>
      <c r="Z470" s="300"/>
    </row>
    <row r="471" spans="1:26">
      <c r="A471" s="215" t="s">
        <v>2660</v>
      </c>
      <c r="B471" s="207">
        <v>1319</v>
      </c>
      <c r="C471" s="215" t="s">
        <v>7577</v>
      </c>
      <c r="D471" s="215" t="s">
        <v>7578</v>
      </c>
      <c r="E471" s="215" t="s">
        <v>7579</v>
      </c>
      <c r="F471" s="215" t="s">
        <v>148</v>
      </c>
      <c r="G471" s="215" t="s">
        <v>7514</v>
      </c>
      <c r="H471" s="215" t="s">
        <v>6504</v>
      </c>
      <c r="I471" s="300"/>
      <c r="J471" s="300"/>
      <c r="K471" s="300"/>
      <c r="L471" s="300"/>
      <c r="M471" s="300"/>
      <c r="N471" s="300"/>
      <c r="O471" s="300"/>
      <c r="P471" s="300"/>
      <c r="Q471" s="300"/>
      <c r="R471" s="300"/>
      <c r="S471" s="300"/>
      <c r="T471" s="300"/>
      <c r="U471" s="300"/>
      <c r="V471" s="300"/>
      <c r="W471" s="300"/>
      <c r="X471" s="300"/>
      <c r="Y471" s="300"/>
      <c r="Z471" s="300"/>
    </row>
    <row r="472" spans="1:26">
      <c r="A472" s="215" t="s">
        <v>3652</v>
      </c>
      <c r="B472" s="207">
        <v>1324</v>
      </c>
      <c r="C472" s="215" t="s">
        <v>7580</v>
      </c>
      <c r="D472" s="215" t="s">
        <v>7581</v>
      </c>
      <c r="E472" s="215" t="s">
        <v>7582</v>
      </c>
      <c r="F472" s="215" t="s">
        <v>148</v>
      </c>
      <c r="G472" s="215" t="s">
        <v>7514</v>
      </c>
      <c r="H472" s="215" t="s">
        <v>6500</v>
      </c>
      <c r="I472" s="300"/>
      <c r="J472" s="300"/>
      <c r="K472" s="300"/>
      <c r="L472" s="300"/>
      <c r="M472" s="300"/>
      <c r="N472" s="300"/>
      <c r="O472" s="300"/>
      <c r="P472" s="300"/>
      <c r="Q472" s="300"/>
      <c r="R472" s="300"/>
      <c r="S472" s="300"/>
      <c r="T472" s="300"/>
      <c r="U472" s="300"/>
      <c r="V472" s="300"/>
      <c r="W472" s="300"/>
      <c r="X472" s="300"/>
      <c r="Y472" s="300"/>
      <c r="Z472" s="300"/>
    </row>
    <row r="473" spans="1:26">
      <c r="A473" s="215" t="s">
        <v>3652</v>
      </c>
      <c r="B473" s="207">
        <v>1325</v>
      </c>
      <c r="C473" s="215" t="s">
        <v>7583</v>
      </c>
      <c r="D473" s="215" t="s">
        <v>7584</v>
      </c>
      <c r="E473" s="215" t="s">
        <v>7585</v>
      </c>
      <c r="F473" s="215" t="s">
        <v>148</v>
      </c>
      <c r="G473" s="215" t="s">
        <v>7514</v>
      </c>
      <c r="H473" s="215" t="s">
        <v>6500</v>
      </c>
      <c r="I473" s="300"/>
      <c r="J473" s="300"/>
      <c r="K473" s="300"/>
      <c r="L473" s="300"/>
      <c r="M473" s="300"/>
      <c r="N473" s="300"/>
      <c r="O473" s="300"/>
      <c r="P473" s="300"/>
      <c r="Q473" s="300"/>
      <c r="R473" s="300"/>
      <c r="S473" s="300"/>
      <c r="T473" s="300"/>
      <c r="U473" s="300"/>
      <c r="V473" s="300"/>
      <c r="W473" s="300"/>
      <c r="X473" s="300"/>
      <c r="Y473" s="300"/>
      <c r="Z473" s="300"/>
    </row>
    <row r="474" spans="1:26">
      <c r="A474" s="215" t="s">
        <v>4368</v>
      </c>
      <c r="B474" s="207">
        <v>1326</v>
      </c>
      <c r="C474" s="215" t="s">
        <v>7586</v>
      </c>
      <c r="D474" s="215" t="s">
        <v>7587</v>
      </c>
      <c r="E474" s="215" t="s">
        <v>7588</v>
      </c>
      <c r="F474" s="215" t="s">
        <v>148</v>
      </c>
      <c r="G474" s="215" t="s">
        <v>7514</v>
      </c>
      <c r="H474" s="215" t="s">
        <v>6497</v>
      </c>
      <c r="I474" s="300"/>
      <c r="J474" s="300"/>
      <c r="K474" s="300"/>
      <c r="L474" s="300"/>
      <c r="M474" s="300"/>
      <c r="N474" s="300"/>
      <c r="O474" s="300"/>
      <c r="P474" s="300"/>
      <c r="Q474" s="300"/>
      <c r="R474" s="300"/>
      <c r="S474" s="300"/>
      <c r="T474" s="300"/>
      <c r="U474" s="300"/>
      <c r="V474" s="300"/>
      <c r="W474" s="300"/>
      <c r="X474" s="300"/>
      <c r="Y474" s="300"/>
      <c r="Z474" s="300"/>
    </row>
    <row r="475" spans="1:26">
      <c r="A475" s="215" t="s">
        <v>3652</v>
      </c>
      <c r="B475" s="207">
        <v>1381</v>
      </c>
      <c r="C475" s="215" t="s">
        <v>7589</v>
      </c>
      <c r="D475" s="215" t="s">
        <v>7590</v>
      </c>
      <c r="E475" s="215" t="s">
        <v>7591</v>
      </c>
      <c r="F475" s="215" t="s">
        <v>148</v>
      </c>
      <c r="G475" s="215" t="s">
        <v>7514</v>
      </c>
      <c r="H475" s="215" t="s">
        <v>6500</v>
      </c>
      <c r="I475" s="300"/>
      <c r="J475" s="300"/>
      <c r="K475" s="300"/>
      <c r="L475" s="300"/>
      <c r="M475" s="300"/>
      <c r="N475" s="300"/>
      <c r="O475" s="300"/>
      <c r="P475" s="300"/>
      <c r="Q475" s="300"/>
      <c r="R475" s="300"/>
      <c r="S475" s="300"/>
      <c r="T475" s="300"/>
      <c r="U475" s="300"/>
      <c r="V475" s="300"/>
      <c r="W475" s="300"/>
      <c r="X475" s="300"/>
      <c r="Y475" s="300"/>
      <c r="Z475" s="300"/>
    </row>
    <row r="476" spans="1:26">
      <c r="A476" s="215" t="s">
        <v>2812</v>
      </c>
      <c r="B476" s="207">
        <v>1525</v>
      </c>
      <c r="C476" s="215" t="s">
        <v>4975</v>
      </c>
      <c r="D476" s="215" t="s">
        <v>7592</v>
      </c>
      <c r="E476" s="215" t="s">
        <v>7593</v>
      </c>
      <c r="F476" s="215" t="s">
        <v>148</v>
      </c>
      <c r="G476" s="215" t="s">
        <v>7514</v>
      </c>
      <c r="H476" s="215" t="s">
        <v>6497</v>
      </c>
      <c r="I476" s="300"/>
      <c r="J476" s="300"/>
      <c r="K476" s="300"/>
      <c r="L476" s="300"/>
      <c r="M476" s="300"/>
      <c r="N476" s="300"/>
      <c r="O476" s="300"/>
      <c r="P476" s="300"/>
      <c r="Q476" s="300"/>
      <c r="R476" s="300"/>
      <c r="S476" s="300"/>
      <c r="T476" s="300"/>
      <c r="U476" s="300"/>
      <c r="V476" s="300"/>
      <c r="W476" s="300"/>
      <c r="X476" s="300"/>
      <c r="Y476" s="300"/>
      <c r="Z476" s="300"/>
    </row>
    <row r="477" spans="1:26">
      <c r="A477" s="215" t="s">
        <v>2722</v>
      </c>
      <c r="B477" s="207">
        <v>1545</v>
      </c>
      <c r="C477" s="215" t="s">
        <v>4883</v>
      </c>
      <c r="D477" s="215" t="s">
        <v>7594</v>
      </c>
      <c r="E477" s="215" t="s">
        <v>7595</v>
      </c>
      <c r="F477" s="215" t="s">
        <v>148</v>
      </c>
      <c r="G477" s="215" t="s">
        <v>7514</v>
      </c>
      <c r="H477" s="215" t="s">
        <v>6521</v>
      </c>
      <c r="I477" s="300"/>
      <c r="J477" s="300"/>
      <c r="K477" s="300"/>
      <c r="L477" s="300"/>
      <c r="M477" s="300"/>
      <c r="N477" s="300"/>
      <c r="O477" s="300"/>
      <c r="P477" s="300"/>
      <c r="Q477" s="300"/>
      <c r="R477" s="300"/>
      <c r="S477" s="300"/>
      <c r="T477" s="300"/>
      <c r="U477" s="300"/>
      <c r="V477" s="300"/>
      <c r="W477" s="300"/>
      <c r="X477" s="300"/>
      <c r="Y477" s="300"/>
      <c r="Z477" s="300"/>
    </row>
    <row r="478" spans="1:26">
      <c r="A478" s="215" t="s">
        <v>2778</v>
      </c>
      <c r="B478" s="207">
        <v>1546</v>
      </c>
      <c r="C478" s="215" t="s">
        <v>4938</v>
      </c>
      <c r="D478" s="215" t="s">
        <v>7596</v>
      </c>
      <c r="E478" s="215" t="s">
        <v>7597</v>
      </c>
      <c r="F478" s="215" t="s">
        <v>148</v>
      </c>
      <c r="G478" s="215" t="s">
        <v>7514</v>
      </c>
      <c r="H478" s="215" t="s">
        <v>6500</v>
      </c>
      <c r="I478" s="300"/>
      <c r="J478" s="300"/>
      <c r="K478" s="300"/>
      <c r="L478" s="300"/>
      <c r="M478" s="300"/>
      <c r="N478" s="300"/>
      <c r="O478" s="300"/>
      <c r="P478" s="300"/>
      <c r="Q478" s="300"/>
      <c r="R478" s="300"/>
      <c r="S478" s="300"/>
      <c r="T478" s="300"/>
      <c r="U478" s="300"/>
      <c r="V478" s="300"/>
      <c r="W478" s="300"/>
      <c r="X478" s="300"/>
      <c r="Y478" s="300"/>
      <c r="Z478" s="300"/>
    </row>
    <row r="479" spans="1:26">
      <c r="A479" s="215" t="s">
        <v>3268</v>
      </c>
      <c r="B479" s="207">
        <v>1968</v>
      </c>
      <c r="C479" s="215" t="s">
        <v>7598</v>
      </c>
      <c r="D479" s="215" t="s">
        <v>7599</v>
      </c>
      <c r="E479" s="215" t="s">
        <v>7600</v>
      </c>
      <c r="F479" s="215" t="s">
        <v>148</v>
      </c>
      <c r="G479" s="215" t="s">
        <v>7514</v>
      </c>
      <c r="H479" s="215" t="s">
        <v>6521</v>
      </c>
      <c r="I479" s="300"/>
      <c r="J479" s="300"/>
      <c r="K479" s="300"/>
      <c r="L479" s="300"/>
      <c r="M479" s="300"/>
      <c r="N479" s="300"/>
      <c r="O479" s="300"/>
      <c r="P479" s="300"/>
      <c r="Q479" s="300"/>
      <c r="R479" s="300"/>
      <c r="S479" s="300"/>
      <c r="T479" s="300"/>
      <c r="U479" s="300"/>
      <c r="V479" s="300"/>
      <c r="W479" s="300"/>
      <c r="X479" s="300"/>
      <c r="Y479" s="300"/>
      <c r="Z479" s="300"/>
    </row>
    <row r="480" spans="1:26">
      <c r="A480" s="215" t="s">
        <v>2713</v>
      </c>
      <c r="B480" s="207">
        <v>1969</v>
      </c>
      <c r="C480" s="215" t="s">
        <v>7601</v>
      </c>
      <c r="D480" s="215" t="s">
        <v>7602</v>
      </c>
      <c r="E480" s="215" t="s">
        <v>7603</v>
      </c>
      <c r="F480" s="215" t="s">
        <v>148</v>
      </c>
      <c r="G480" s="215" t="s">
        <v>7514</v>
      </c>
      <c r="H480" s="215" t="s">
        <v>6497</v>
      </c>
      <c r="I480" s="300"/>
      <c r="J480" s="300"/>
      <c r="K480" s="300"/>
      <c r="L480" s="300"/>
      <c r="M480" s="300"/>
      <c r="N480" s="300"/>
      <c r="O480" s="300"/>
      <c r="P480" s="300"/>
      <c r="Q480" s="300"/>
      <c r="R480" s="300"/>
      <c r="S480" s="300"/>
      <c r="T480" s="300"/>
      <c r="U480" s="300"/>
      <c r="V480" s="300"/>
      <c r="W480" s="300"/>
      <c r="X480" s="300"/>
      <c r="Y480" s="300"/>
      <c r="Z480" s="300"/>
    </row>
    <row r="481" spans="1:26">
      <c r="A481" s="215" t="s">
        <v>3807</v>
      </c>
      <c r="B481" s="207">
        <v>2354</v>
      </c>
      <c r="C481" s="215" t="s">
        <v>5884</v>
      </c>
      <c r="D481" s="215" t="s">
        <v>7604</v>
      </c>
      <c r="E481" s="215" t="s">
        <v>7605</v>
      </c>
      <c r="F481" s="215" t="s">
        <v>148</v>
      </c>
      <c r="G481" s="215" t="s">
        <v>7514</v>
      </c>
      <c r="H481" s="215" t="s">
        <v>6521</v>
      </c>
      <c r="I481" s="300"/>
      <c r="J481" s="300"/>
      <c r="K481" s="300"/>
      <c r="L481" s="300"/>
      <c r="M481" s="300"/>
      <c r="N481" s="300"/>
      <c r="O481" s="300"/>
      <c r="P481" s="300"/>
      <c r="Q481" s="300"/>
      <c r="R481" s="300"/>
      <c r="S481" s="300"/>
      <c r="T481" s="300"/>
      <c r="U481" s="300"/>
      <c r="V481" s="300"/>
      <c r="W481" s="300"/>
      <c r="X481" s="300"/>
      <c r="Y481" s="300"/>
      <c r="Z481" s="300"/>
    </row>
    <row r="482" spans="1:26">
      <c r="A482" s="215" t="s">
        <v>3269</v>
      </c>
      <c r="B482" s="207">
        <v>2355</v>
      </c>
      <c r="C482" s="215" t="s">
        <v>5394</v>
      </c>
      <c r="D482" s="215" t="s">
        <v>7606</v>
      </c>
      <c r="E482" s="215" t="s">
        <v>7606</v>
      </c>
      <c r="F482" s="215" t="s">
        <v>148</v>
      </c>
      <c r="G482" s="215" t="s">
        <v>7514</v>
      </c>
      <c r="H482" s="215" t="s">
        <v>6521</v>
      </c>
      <c r="I482" s="300"/>
      <c r="J482" s="300"/>
      <c r="K482" s="300"/>
      <c r="L482" s="300"/>
      <c r="M482" s="300"/>
      <c r="N482" s="300"/>
      <c r="O482" s="300"/>
      <c r="P482" s="300"/>
      <c r="Q482" s="300"/>
      <c r="R482" s="300"/>
      <c r="S482" s="300"/>
      <c r="T482" s="300"/>
      <c r="U482" s="300"/>
      <c r="V482" s="300"/>
      <c r="W482" s="300"/>
      <c r="X482" s="300"/>
      <c r="Y482" s="300"/>
      <c r="Z482" s="300"/>
    </row>
    <row r="483" spans="1:26">
      <c r="A483" s="215" t="s">
        <v>3740</v>
      </c>
      <c r="B483" s="207">
        <v>2356</v>
      </c>
      <c r="C483" s="215" t="s">
        <v>7607</v>
      </c>
      <c r="D483" s="215" t="s">
        <v>7608</v>
      </c>
      <c r="E483" s="215" t="s">
        <v>7609</v>
      </c>
      <c r="F483" s="215" t="s">
        <v>148</v>
      </c>
      <c r="G483" s="215" t="s">
        <v>7514</v>
      </c>
      <c r="H483" s="215" t="s">
        <v>6504</v>
      </c>
      <c r="I483" s="300"/>
      <c r="J483" s="300"/>
      <c r="K483" s="300"/>
      <c r="L483" s="300"/>
      <c r="M483" s="300"/>
      <c r="N483" s="300"/>
      <c r="O483" s="300"/>
      <c r="P483" s="300"/>
      <c r="Q483" s="300"/>
      <c r="R483" s="300"/>
      <c r="S483" s="300"/>
      <c r="T483" s="300"/>
      <c r="U483" s="300"/>
      <c r="V483" s="300"/>
      <c r="W483" s="300"/>
      <c r="X483" s="300"/>
      <c r="Y483" s="300"/>
      <c r="Z483" s="300"/>
    </row>
    <row r="484" spans="1:26">
      <c r="A484" s="215" t="s">
        <v>7610</v>
      </c>
      <c r="B484" s="207">
        <v>2357</v>
      </c>
      <c r="C484" s="215" t="s">
        <v>5892</v>
      </c>
      <c r="D484" s="215" t="s">
        <v>7611</v>
      </c>
      <c r="E484" s="215" t="s">
        <v>7612</v>
      </c>
      <c r="F484" s="215" t="s">
        <v>148</v>
      </c>
      <c r="G484" s="215" t="s">
        <v>7514</v>
      </c>
      <c r="H484" s="215" t="s">
        <v>6504</v>
      </c>
      <c r="I484" s="300"/>
      <c r="J484" s="300"/>
      <c r="K484" s="300"/>
      <c r="L484" s="300"/>
      <c r="M484" s="300"/>
      <c r="N484" s="300"/>
      <c r="O484" s="300"/>
      <c r="P484" s="300"/>
      <c r="Q484" s="300"/>
      <c r="R484" s="300"/>
      <c r="S484" s="300"/>
      <c r="T484" s="300"/>
      <c r="U484" s="300"/>
      <c r="V484" s="300"/>
      <c r="W484" s="300"/>
      <c r="X484" s="300"/>
      <c r="Y484" s="300"/>
      <c r="Z484" s="300"/>
    </row>
    <row r="485" spans="1:26">
      <c r="A485" s="215" t="s">
        <v>4050</v>
      </c>
      <c r="B485" s="207">
        <v>2358</v>
      </c>
      <c r="C485" s="215" t="s">
        <v>7613</v>
      </c>
      <c r="D485" s="215" t="s">
        <v>7614</v>
      </c>
      <c r="E485" s="215" t="s">
        <v>7615</v>
      </c>
      <c r="F485" s="215" t="s">
        <v>148</v>
      </c>
      <c r="G485" s="215" t="s">
        <v>7514</v>
      </c>
      <c r="H485" s="215" t="s">
        <v>6500</v>
      </c>
      <c r="I485" s="300"/>
      <c r="J485" s="300"/>
      <c r="K485" s="300"/>
      <c r="L485" s="300"/>
      <c r="M485" s="300"/>
      <c r="N485" s="300"/>
      <c r="O485" s="300"/>
      <c r="P485" s="300"/>
      <c r="Q485" s="300"/>
      <c r="R485" s="300"/>
      <c r="S485" s="300"/>
      <c r="T485" s="300"/>
      <c r="U485" s="300"/>
      <c r="V485" s="300"/>
      <c r="W485" s="300"/>
      <c r="X485" s="300"/>
      <c r="Y485" s="300"/>
      <c r="Z485" s="300"/>
    </row>
    <row r="486" spans="1:26">
      <c r="A486" s="215" t="s">
        <v>2660</v>
      </c>
      <c r="B486" s="207">
        <v>2359</v>
      </c>
      <c r="C486" s="215" t="s">
        <v>4832</v>
      </c>
      <c r="D486" s="215" t="s">
        <v>7616</v>
      </c>
      <c r="E486" s="215" t="s">
        <v>7617</v>
      </c>
      <c r="F486" s="215" t="s">
        <v>148</v>
      </c>
      <c r="G486" s="215" t="s">
        <v>7514</v>
      </c>
      <c r="H486" s="215" t="s">
        <v>6521</v>
      </c>
      <c r="I486" s="300"/>
      <c r="J486" s="300"/>
      <c r="K486" s="300"/>
      <c r="L486" s="300"/>
      <c r="M486" s="300"/>
      <c r="N486" s="300"/>
      <c r="O486" s="300"/>
      <c r="P486" s="300"/>
      <c r="Q486" s="300"/>
      <c r="R486" s="300"/>
      <c r="S486" s="300"/>
      <c r="T486" s="300"/>
      <c r="U486" s="300"/>
      <c r="V486" s="300"/>
      <c r="W486" s="300"/>
      <c r="X486" s="300"/>
      <c r="Y486" s="300"/>
      <c r="Z486" s="300"/>
    </row>
    <row r="487" spans="1:26">
      <c r="A487" s="215" t="s">
        <v>4325</v>
      </c>
      <c r="B487" s="207">
        <v>2360</v>
      </c>
      <c r="C487" s="215" t="s">
        <v>7618</v>
      </c>
      <c r="D487" s="215" t="s">
        <v>7619</v>
      </c>
      <c r="E487" s="215" t="s">
        <v>7620</v>
      </c>
      <c r="F487" s="215" t="s">
        <v>148</v>
      </c>
      <c r="G487" s="215" t="s">
        <v>7514</v>
      </c>
      <c r="H487" s="215" t="s">
        <v>6500</v>
      </c>
      <c r="I487" s="300"/>
      <c r="J487" s="300"/>
      <c r="K487" s="300"/>
      <c r="L487" s="300"/>
      <c r="M487" s="300"/>
      <c r="N487" s="300"/>
      <c r="O487" s="300"/>
      <c r="P487" s="300"/>
      <c r="Q487" s="300"/>
      <c r="R487" s="300"/>
      <c r="S487" s="300"/>
      <c r="T487" s="300"/>
      <c r="U487" s="300"/>
      <c r="V487" s="300"/>
      <c r="W487" s="300"/>
      <c r="X487" s="300"/>
      <c r="Y487" s="300"/>
      <c r="Z487" s="300"/>
    </row>
    <row r="488" spans="1:26">
      <c r="A488" s="215" t="s">
        <v>3268</v>
      </c>
      <c r="B488" s="207">
        <v>2361</v>
      </c>
      <c r="C488" s="215" t="s">
        <v>7621</v>
      </c>
      <c r="D488" s="215" t="s">
        <v>7622</v>
      </c>
      <c r="E488" s="215" t="s">
        <v>7622</v>
      </c>
      <c r="F488" s="215" t="s">
        <v>148</v>
      </c>
      <c r="G488" s="215" t="s">
        <v>7514</v>
      </c>
      <c r="H488" s="215" t="s">
        <v>6500</v>
      </c>
      <c r="I488" s="300"/>
      <c r="J488" s="300"/>
      <c r="K488" s="300"/>
      <c r="L488" s="300"/>
      <c r="M488" s="300"/>
      <c r="N488" s="300"/>
      <c r="O488" s="300"/>
      <c r="P488" s="300"/>
      <c r="Q488" s="300"/>
      <c r="R488" s="300"/>
      <c r="S488" s="300"/>
      <c r="T488" s="300"/>
      <c r="U488" s="300"/>
      <c r="V488" s="300"/>
      <c r="W488" s="300"/>
      <c r="X488" s="300"/>
      <c r="Y488" s="300"/>
      <c r="Z488" s="300"/>
    </row>
    <row r="489" spans="1:26">
      <c r="A489" s="215" t="s">
        <v>3268</v>
      </c>
      <c r="B489" s="207">
        <v>2362</v>
      </c>
      <c r="C489" s="215" t="s">
        <v>7623</v>
      </c>
      <c r="D489" s="215" t="s">
        <v>7624</v>
      </c>
      <c r="E489" s="215" t="s">
        <v>7624</v>
      </c>
      <c r="F489" s="215" t="s">
        <v>148</v>
      </c>
      <c r="G489" s="215" t="s">
        <v>7514</v>
      </c>
      <c r="H489" s="215" t="s">
        <v>6521</v>
      </c>
      <c r="I489" s="300"/>
      <c r="J489" s="300"/>
      <c r="K489" s="300"/>
      <c r="L489" s="300"/>
      <c r="M489" s="300"/>
      <c r="N489" s="300"/>
      <c r="O489" s="300"/>
      <c r="P489" s="300"/>
      <c r="Q489" s="300"/>
      <c r="R489" s="300"/>
      <c r="S489" s="300"/>
      <c r="T489" s="300"/>
      <c r="U489" s="300"/>
      <c r="V489" s="300"/>
      <c r="W489" s="300"/>
      <c r="X489" s="300"/>
      <c r="Y489" s="300"/>
      <c r="Z489" s="300"/>
    </row>
    <row r="490" spans="1:26">
      <c r="A490" s="215" t="s">
        <v>3835</v>
      </c>
      <c r="B490" s="207">
        <v>2363</v>
      </c>
      <c r="C490" s="215" t="s">
        <v>5912</v>
      </c>
      <c r="D490" s="215" t="s">
        <v>7625</v>
      </c>
      <c r="E490" s="215" t="s">
        <v>7626</v>
      </c>
      <c r="F490" s="215" t="s">
        <v>148</v>
      </c>
      <c r="G490" s="215" t="s">
        <v>7514</v>
      </c>
      <c r="H490" s="215" t="s">
        <v>6500</v>
      </c>
      <c r="I490" s="300"/>
      <c r="J490" s="300"/>
      <c r="K490" s="300"/>
      <c r="L490" s="300"/>
      <c r="M490" s="300"/>
      <c r="N490" s="300"/>
      <c r="O490" s="300"/>
      <c r="P490" s="300"/>
      <c r="Q490" s="300"/>
      <c r="R490" s="300"/>
      <c r="S490" s="300"/>
      <c r="T490" s="300"/>
      <c r="U490" s="300"/>
      <c r="V490" s="300"/>
      <c r="W490" s="300"/>
      <c r="X490" s="300"/>
      <c r="Y490" s="300"/>
      <c r="Z490" s="300"/>
    </row>
    <row r="491" spans="1:26">
      <c r="A491" s="215" t="s">
        <v>3836</v>
      </c>
      <c r="B491" s="207">
        <v>2364</v>
      </c>
      <c r="C491" s="215" t="s">
        <v>7627</v>
      </c>
      <c r="D491" s="215" t="s">
        <v>7628</v>
      </c>
      <c r="E491" s="215" t="s">
        <v>7629</v>
      </c>
      <c r="F491" s="215" t="s">
        <v>148</v>
      </c>
      <c r="G491" s="215" t="s">
        <v>7514</v>
      </c>
      <c r="H491" s="215" t="s">
        <v>6504</v>
      </c>
      <c r="I491" s="300"/>
      <c r="J491" s="300"/>
      <c r="K491" s="300"/>
      <c r="L491" s="300"/>
      <c r="M491" s="300"/>
      <c r="N491" s="300"/>
      <c r="O491" s="300"/>
      <c r="P491" s="300"/>
      <c r="Q491" s="300"/>
      <c r="R491" s="300"/>
      <c r="S491" s="300"/>
      <c r="T491" s="300"/>
      <c r="U491" s="300"/>
      <c r="V491" s="300"/>
      <c r="W491" s="300"/>
      <c r="X491" s="300"/>
      <c r="Y491" s="300"/>
      <c r="Z491" s="300"/>
    </row>
    <row r="492" spans="1:26">
      <c r="A492" s="215" t="s">
        <v>3834</v>
      </c>
      <c r="B492" s="207">
        <v>2365</v>
      </c>
      <c r="C492" s="215" t="s">
        <v>7630</v>
      </c>
      <c r="D492" s="215" t="s">
        <v>7631</v>
      </c>
      <c r="E492" s="215" t="s">
        <v>7632</v>
      </c>
      <c r="F492" s="215" t="s">
        <v>148</v>
      </c>
      <c r="G492" s="215" t="s">
        <v>7514</v>
      </c>
      <c r="H492" s="215" t="s">
        <v>6521</v>
      </c>
      <c r="I492" s="300"/>
      <c r="J492" s="300"/>
      <c r="K492" s="300"/>
      <c r="L492" s="300"/>
      <c r="M492" s="300"/>
      <c r="N492" s="300"/>
      <c r="O492" s="300"/>
      <c r="P492" s="300"/>
      <c r="Q492" s="300"/>
      <c r="R492" s="300"/>
      <c r="S492" s="300"/>
      <c r="T492" s="300"/>
      <c r="U492" s="300"/>
      <c r="V492" s="300"/>
      <c r="W492" s="300"/>
      <c r="X492" s="300"/>
      <c r="Y492" s="300"/>
      <c r="Z492" s="300"/>
    </row>
    <row r="493" spans="1:26">
      <c r="A493" s="215" t="s">
        <v>3837</v>
      </c>
      <c r="B493" s="207">
        <v>2366</v>
      </c>
      <c r="C493" s="215" t="s">
        <v>5913</v>
      </c>
      <c r="D493" s="215" t="s">
        <v>7633</v>
      </c>
      <c r="E493" s="215" t="s">
        <v>7634</v>
      </c>
      <c r="F493" s="215" t="s">
        <v>148</v>
      </c>
      <c r="G493" s="215" t="s">
        <v>7514</v>
      </c>
      <c r="H493" s="215" t="s">
        <v>6521</v>
      </c>
      <c r="I493" s="300"/>
      <c r="J493" s="300"/>
      <c r="K493" s="300"/>
      <c r="L493" s="300"/>
      <c r="M493" s="300"/>
      <c r="N493" s="300"/>
      <c r="O493" s="300"/>
      <c r="P493" s="300"/>
      <c r="Q493" s="300"/>
      <c r="R493" s="300"/>
      <c r="S493" s="300"/>
      <c r="T493" s="300"/>
      <c r="U493" s="300"/>
      <c r="V493" s="300"/>
      <c r="W493" s="300"/>
      <c r="X493" s="300"/>
      <c r="Y493" s="300"/>
      <c r="Z493" s="300"/>
    </row>
    <row r="494" spans="1:26">
      <c r="A494" s="215" t="s">
        <v>3955</v>
      </c>
      <c r="B494" s="207">
        <v>2371</v>
      </c>
      <c r="C494" s="215" t="s">
        <v>7635</v>
      </c>
      <c r="D494" s="215" t="s">
        <v>7636</v>
      </c>
      <c r="E494" s="215" t="s">
        <v>7637</v>
      </c>
      <c r="F494" s="215" t="s">
        <v>148</v>
      </c>
      <c r="G494" s="215" t="s">
        <v>7514</v>
      </c>
      <c r="H494" s="215" t="s">
        <v>6497</v>
      </c>
      <c r="I494" s="300"/>
      <c r="J494" s="300"/>
      <c r="K494" s="300"/>
      <c r="L494" s="300"/>
      <c r="M494" s="300"/>
      <c r="N494" s="300"/>
      <c r="O494" s="300"/>
      <c r="P494" s="300"/>
      <c r="Q494" s="300"/>
      <c r="R494" s="300"/>
      <c r="S494" s="300"/>
      <c r="T494" s="300"/>
      <c r="U494" s="300"/>
      <c r="V494" s="300"/>
      <c r="W494" s="300"/>
      <c r="X494" s="300"/>
      <c r="Y494" s="300"/>
      <c r="Z494" s="300"/>
    </row>
    <row r="495" spans="1:26">
      <c r="A495" s="215" t="s">
        <v>3268</v>
      </c>
      <c r="B495" s="207">
        <v>2372</v>
      </c>
      <c r="C495" s="215" t="s">
        <v>7638</v>
      </c>
      <c r="D495" s="215" t="s">
        <v>7639</v>
      </c>
      <c r="E495" s="215" t="s">
        <v>7640</v>
      </c>
      <c r="F495" s="215" t="s">
        <v>148</v>
      </c>
      <c r="G495" s="215" t="s">
        <v>7514</v>
      </c>
      <c r="H495" s="215" t="s">
        <v>6521</v>
      </c>
      <c r="I495" s="300"/>
      <c r="J495" s="300"/>
      <c r="K495" s="300"/>
      <c r="L495" s="300"/>
      <c r="M495" s="300"/>
      <c r="N495" s="300"/>
      <c r="O495" s="300"/>
      <c r="P495" s="300"/>
      <c r="Q495" s="300"/>
      <c r="R495" s="300"/>
      <c r="S495" s="300"/>
      <c r="T495" s="300"/>
      <c r="U495" s="300"/>
      <c r="V495" s="300"/>
      <c r="W495" s="300"/>
      <c r="X495" s="300"/>
      <c r="Y495" s="300"/>
      <c r="Z495" s="300"/>
    </row>
    <row r="496" spans="1:26">
      <c r="A496" s="215" t="s">
        <v>3268</v>
      </c>
      <c r="B496" s="207">
        <v>2373</v>
      </c>
      <c r="C496" s="215" t="s">
        <v>7641</v>
      </c>
      <c r="D496" s="215" t="s">
        <v>7642</v>
      </c>
      <c r="E496" s="215" t="s">
        <v>7643</v>
      </c>
      <c r="F496" s="215" t="s">
        <v>148</v>
      </c>
      <c r="G496" s="215" t="s">
        <v>7514</v>
      </c>
      <c r="H496" s="215" t="s">
        <v>6521</v>
      </c>
      <c r="I496" s="300"/>
      <c r="J496" s="300"/>
      <c r="K496" s="300"/>
      <c r="L496" s="300"/>
      <c r="M496" s="300"/>
      <c r="N496" s="300"/>
      <c r="O496" s="300"/>
      <c r="P496" s="300"/>
      <c r="Q496" s="300"/>
      <c r="R496" s="300"/>
      <c r="S496" s="300"/>
      <c r="T496" s="300"/>
      <c r="U496" s="300"/>
      <c r="V496" s="300"/>
      <c r="W496" s="300"/>
      <c r="X496" s="300"/>
      <c r="Y496" s="300"/>
      <c r="Z496" s="300"/>
    </row>
    <row r="497" spans="1:26">
      <c r="A497" s="215" t="s">
        <v>4143</v>
      </c>
      <c r="B497" s="207">
        <v>2374</v>
      </c>
      <c r="C497" s="215" t="s">
        <v>6134</v>
      </c>
      <c r="D497" s="215" t="s">
        <v>7644</v>
      </c>
      <c r="E497" s="215" t="s">
        <v>7645</v>
      </c>
      <c r="F497" s="215" t="s">
        <v>148</v>
      </c>
      <c r="G497" s="215" t="s">
        <v>7514</v>
      </c>
      <c r="H497" s="215" t="s">
        <v>6497</v>
      </c>
      <c r="I497" s="300"/>
      <c r="J497" s="300"/>
      <c r="K497" s="300"/>
      <c r="L497" s="300"/>
      <c r="M497" s="300"/>
      <c r="N497" s="300"/>
      <c r="O497" s="300"/>
      <c r="P497" s="300"/>
      <c r="Q497" s="300"/>
      <c r="R497" s="300"/>
      <c r="S497" s="300"/>
      <c r="T497" s="300"/>
      <c r="U497" s="300"/>
      <c r="V497" s="300"/>
      <c r="W497" s="300"/>
      <c r="X497" s="300"/>
      <c r="Y497" s="300"/>
      <c r="Z497" s="300"/>
    </row>
    <row r="498" spans="1:26">
      <c r="A498" s="215" t="s">
        <v>3838</v>
      </c>
      <c r="B498" s="207">
        <v>2375</v>
      </c>
      <c r="C498" s="215" t="s">
        <v>5914</v>
      </c>
      <c r="D498" s="215" t="s">
        <v>7646</v>
      </c>
      <c r="E498" s="215" t="s">
        <v>7647</v>
      </c>
      <c r="F498" s="215" t="s">
        <v>148</v>
      </c>
      <c r="G498" s="215" t="s">
        <v>7514</v>
      </c>
      <c r="H498" s="215" t="s">
        <v>6521</v>
      </c>
      <c r="I498" s="300"/>
      <c r="J498" s="300"/>
      <c r="K498" s="300"/>
      <c r="L498" s="300"/>
      <c r="M498" s="300"/>
      <c r="N498" s="300"/>
      <c r="O498" s="300"/>
      <c r="P498" s="300"/>
      <c r="Q498" s="300"/>
      <c r="R498" s="300"/>
      <c r="S498" s="300"/>
      <c r="T498" s="300"/>
      <c r="U498" s="300"/>
      <c r="V498" s="300"/>
      <c r="W498" s="300"/>
      <c r="X498" s="300"/>
      <c r="Y498" s="300"/>
      <c r="Z498" s="300"/>
    </row>
    <row r="499" spans="1:26">
      <c r="A499" s="215" t="s">
        <v>4056</v>
      </c>
      <c r="B499" s="207">
        <v>2376</v>
      </c>
      <c r="C499" s="215" t="s">
        <v>2747</v>
      </c>
      <c r="D499" s="215" t="s">
        <v>7648</v>
      </c>
      <c r="E499" s="215" t="s">
        <v>7648</v>
      </c>
      <c r="F499" s="215" t="s">
        <v>148</v>
      </c>
      <c r="G499" s="215" t="s">
        <v>7514</v>
      </c>
      <c r="H499" s="215" t="s">
        <v>6497</v>
      </c>
      <c r="I499" s="300"/>
      <c r="J499" s="300"/>
      <c r="K499" s="300"/>
      <c r="L499" s="300"/>
      <c r="M499" s="300"/>
      <c r="N499" s="300"/>
      <c r="O499" s="300"/>
      <c r="P499" s="300"/>
      <c r="Q499" s="300"/>
      <c r="R499" s="300"/>
      <c r="S499" s="300"/>
      <c r="T499" s="300"/>
      <c r="U499" s="300"/>
      <c r="V499" s="300"/>
      <c r="W499" s="300"/>
      <c r="X499" s="300"/>
      <c r="Y499" s="300"/>
      <c r="Z499" s="300"/>
    </row>
    <row r="500" spans="1:26">
      <c r="A500" s="215" t="s">
        <v>4061</v>
      </c>
      <c r="B500" s="207">
        <v>2377</v>
      </c>
      <c r="C500" s="215" t="s">
        <v>6080</v>
      </c>
      <c r="D500" s="215" t="s">
        <v>7649</v>
      </c>
      <c r="E500" s="215" t="s">
        <v>7650</v>
      </c>
      <c r="F500" s="215" t="s">
        <v>148</v>
      </c>
      <c r="G500" s="215" t="s">
        <v>7514</v>
      </c>
      <c r="H500" s="215" t="s">
        <v>6497</v>
      </c>
      <c r="I500" s="300"/>
      <c r="J500" s="300"/>
      <c r="K500" s="300"/>
      <c r="L500" s="300"/>
      <c r="M500" s="300"/>
      <c r="N500" s="300"/>
      <c r="O500" s="300"/>
      <c r="P500" s="300"/>
      <c r="Q500" s="300"/>
      <c r="R500" s="300"/>
      <c r="S500" s="300"/>
      <c r="T500" s="300"/>
      <c r="U500" s="300"/>
      <c r="V500" s="300"/>
      <c r="W500" s="300"/>
      <c r="X500" s="300"/>
      <c r="Y500" s="300"/>
      <c r="Z500" s="300"/>
    </row>
    <row r="501" spans="1:26">
      <c r="A501" s="215" t="s">
        <v>4057</v>
      </c>
      <c r="B501" s="207">
        <v>2378</v>
      </c>
      <c r="C501" s="215" t="s">
        <v>7651</v>
      </c>
      <c r="D501" s="215" t="s">
        <v>7652</v>
      </c>
      <c r="E501" s="215" t="s">
        <v>7653</v>
      </c>
      <c r="F501" s="215" t="s">
        <v>148</v>
      </c>
      <c r="G501" s="215" t="s">
        <v>7514</v>
      </c>
      <c r="H501" s="215" t="s">
        <v>6497</v>
      </c>
      <c r="I501" s="300"/>
      <c r="J501" s="300"/>
      <c r="K501" s="300"/>
      <c r="L501" s="300"/>
      <c r="M501" s="300"/>
      <c r="N501" s="300"/>
      <c r="O501" s="300"/>
      <c r="P501" s="300"/>
      <c r="Q501" s="300"/>
      <c r="R501" s="300"/>
      <c r="S501" s="300"/>
      <c r="T501" s="300"/>
      <c r="U501" s="300"/>
      <c r="V501" s="300"/>
      <c r="W501" s="300"/>
      <c r="X501" s="300"/>
      <c r="Y501" s="300"/>
      <c r="Z501" s="300"/>
    </row>
    <row r="502" spans="1:26">
      <c r="A502" s="215" t="s">
        <v>4077</v>
      </c>
      <c r="B502" s="207">
        <v>2379</v>
      </c>
      <c r="C502" s="215" t="s">
        <v>2749</v>
      </c>
      <c r="D502" s="215" t="s">
        <v>7654</v>
      </c>
      <c r="E502" s="215" t="s">
        <v>7655</v>
      </c>
      <c r="F502" s="215" t="s">
        <v>148</v>
      </c>
      <c r="G502" s="215" t="s">
        <v>7514</v>
      </c>
      <c r="H502" s="215" t="s">
        <v>6500</v>
      </c>
      <c r="I502" s="300"/>
      <c r="J502" s="300"/>
      <c r="K502" s="300"/>
      <c r="L502" s="300"/>
      <c r="M502" s="300"/>
      <c r="N502" s="300"/>
      <c r="O502" s="300"/>
      <c r="P502" s="300"/>
      <c r="Q502" s="300"/>
      <c r="R502" s="300"/>
      <c r="S502" s="300"/>
      <c r="T502" s="300"/>
      <c r="U502" s="300"/>
      <c r="V502" s="300"/>
      <c r="W502" s="300"/>
      <c r="X502" s="300"/>
      <c r="Y502" s="300"/>
      <c r="Z502" s="300"/>
    </row>
    <row r="503" spans="1:26">
      <c r="A503" s="215" t="s">
        <v>3269</v>
      </c>
      <c r="B503" s="207">
        <v>2380</v>
      </c>
      <c r="C503" s="215" t="s">
        <v>5395</v>
      </c>
      <c r="D503" s="215" t="s">
        <v>7656</v>
      </c>
      <c r="E503" s="215" t="s">
        <v>7656</v>
      </c>
      <c r="F503" s="215" t="s">
        <v>148</v>
      </c>
      <c r="G503" s="215" t="s">
        <v>7514</v>
      </c>
      <c r="H503" s="215" t="s">
        <v>6504</v>
      </c>
      <c r="I503" s="300"/>
      <c r="J503" s="300"/>
      <c r="K503" s="300"/>
      <c r="L503" s="300"/>
      <c r="M503" s="300"/>
      <c r="N503" s="300"/>
      <c r="O503" s="300"/>
      <c r="P503" s="300"/>
      <c r="Q503" s="300"/>
      <c r="R503" s="300"/>
      <c r="S503" s="300"/>
      <c r="T503" s="300"/>
      <c r="U503" s="300"/>
      <c r="V503" s="300"/>
      <c r="W503" s="300"/>
      <c r="X503" s="300"/>
      <c r="Y503" s="300"/>
      <c r="Z503" s="300"/>
    </row>
    <row r="504" spans="1:26">
      <c r="A504" s="215" t="s">
        <v>4491</v>
      </c>
      <c r="B504" s="207">
        <v>2381</v>
      </c>
      <c r="C504" s="215" t="s">
        <v>7657</v>
      </c>
      <c r="D504" s="215" t="s">
        <v>7658</v>
      </c>
      <c r="E504" s="215" t="s">
        <v>7659</v>
      </c>
      <c r="F504" s="215" t="s">
        <v>148</v>
      </c>
      <c r="G504" s="215" t="s">
        <v>7514</v>
      </c>
      <c r="H504" s="215" t="s">
        <v>6500</v>
      </c>
      <c r="I504" s="300"/>
      <c r="J504" s="300"/>
      <c r="K504" s="300"/>
      <c r="L504" s="300"/>
      <c r="M504" s="300"/>
      <c r="N504" s="300"/>
      <c r="O504" s="300"/>
      <c r="P504" s="300"/>
      <c r="Q504" s="300"/>
      <c r="R504" s="300"/>
      <c r="S504" s="300"/>
      <c r="T504" s="300"/>
      <c r="U504" s="300"/>
      <c r="V504" s="300"/>
      <c r="W504" s="300"/>
      <c r="X504" s="300"/>
      <c r="Y504" s="300"/>
      <c r="Z504" s="300"/>
    </row>
    <row r="505" spans="1:26">
      <c r="A505" s="215" t="s">
        <v>4206</v>
      </c>
      <c r="B505" s="207">
        <v>2382</v>
      </c>
      <c r="C505" s="215" t="s">
        <v>7660</v>
      </c>
      <c r="D505" s="215" t="s">
        <v>7661</v>
      </c>
      <c r="E505" s="215" t="s">
        <v>7662</v>
      </c>
      <c r="F505" s="215" t="s">
        <v>148</v>
      </c>
      <c r="G505" s="215" t="s">
        <v>7514</v>
      </c>
      <c r="H505" s="215" t="s">
        <v>6497</v>
      </c>
      <c r="I505" s="300"/>
      <c r="J505" s="300"/>
      <c r="K505" s="300"/>
      <c r="L505" s="300"/>
      <c r="M505" s="300"/>
      <c r="N505" s="300"/>
      <c r="O505" s="300"/>
      <c r="P505" s="300"/>
      <c r="Q505" s="300"/>
      <c r="R505" s="300"/>
      <c r="S505" s="300"/>
      <c r="T505" s="300"/>
      <c r="U505" s="300"/>
      <c r="V505" s="300"/>
      <c r="W505" s="300"/>
      <c r="X505" s="300"/>
      <c r="Y505" s="300"/>
      <c r="Z505" s="300"/>
    </row>
    <row r="506" spans="1:26">
      <c r="A506" s="215" t="s">
        <v>4134</v>
      </c>
      <c r="B506" s="207">
        <v>2383</v>
      </c>
      <c r="C506" s="215" t="s">
        <v>2755</v>
      </c>
      <c r="D506" s="215" t="s">
        <v>7663</v>
      </c>
      <c r="E506" s="215" t="s">
        <v>7664</v>
      </c>
      <c r="F506" s="215" t="s">
        <v>148</v>
      </c>
      <c r="G506" s="215" t="s">
        <v>7514</v>
      </c>
      <c r="H506" s="215" t="s">
        <v>6497</v>
      </c>
      <c r="I506" s="300"/>
      <c r="J506" s="300"/>
      <c r="K506" s="300"/>
      <c r="L506" s="300"/>
      <c r="M506" s="300"/>
      <c r="N506" s="300"/>
      <c r="O506" s="300"/>
      <c r="P506" s="300"/>
      <c r="Q506" s="300"/>
      <c r="R506" s="300"/>
      <c r="S506" s="300"/>
      <c r="T506" s="300"/>
      <c r="U506" s="300"/>
      <c r="V506" s="300"/>
      <c r="W506" s="300"/>
      <c r="X506" s="300"/>
      <c r="Y506" s="300"/>
      <c r="Z506" s="300"/>
    </row>
    <row r="507" spans="1:26">
      <c r="A507" s="215" t="s">
        <v>4154</v>
      </c>
      <c r="B507" s="207">
        <v>2384</v>
      </c>
      <c r="C507" s="215" t="s">
        <v>2758</v>
      </c>
      <c r="D507" s="215" t="s">
        <v>7665</v>
      </c>
      <c r="E507" s="215" t="s">
        <v>7666</v>
      </c>
      <c r="F507" s="215" t="s">
        <v>148</v>
      </c>
      <c r="G507" s="215" t="s">
        <v>7514</v>
      </c>
      <c r="H507" s="215" t="s">
        <v>6521</v>
      </c>
      <c r="I507" s="300"/>
      <c r="J507" s="300"/>
      <c r="K507" s="300"/>
      <c r="L507" s="300"/>
      <c r="M507" s="300"/>
      <c r="N507" s="300"/>
      <c r="O507" s="300"/>
      <c r="P507" s="300"/>
      <c r="Q507" s="300"/>
      <c r="R507" s="300"/>
      <c r="S507" s="300"/>
      <c r="T507" s="300"/>
      <c r="U507" s="300"/>
      <c r="V507" s="300"/>
      <c r="W507" s="300"/>
      <c r="X507" s="300"/>
      <c r="Y507" s="300"/>
      <c r="Z507" s="300"/>
    </row>
    <row r="508" spans="1:26">
      <c r="A508" s="215" t="s">
        <v>4236</v>
      </c>
      <c r="B508" s="207">
        <v>2386</v>
      </c>
      <c r="C508" s="215" t="s">
        <v>6212</v>
      </c>
      <c r="D508" s="215" t="s">
        <v>7667</v>
      </c>
      <c r="E508" s="215" t="s">
        <v>7668</v>
      </c>
      <c r="F508" s="215" t="s">
        <v>148</v>
      </c>
      <c r="G508" s="215" t="s">
        <v>7514</v>
      </c>
      <c r="H508" s="215" t="s">
        <v>6497</v>
      </c>
      <c r="I508" s="300"/>
      <c r="J508" s="300"/>
      <c r="K508" s="300"/>
      <c r="L508" s="300"/>
      <c r="M508" s="300"/>
      <c r="N508" s="300"/>
      <c r="O508" s="300"/>
      <c r="P508" s="300"/>
      <c r="Q508" s="300"/>
      <c r="R508" s="300"/>
      <c r="S508" s="300"/>
      <c r="T508" s="300"/>
      <c r="U508" s="300"/>
      <c r="V508" s="300"/>
      <c r="W508" s="300"/>
      <c r="X508" s="300"/>
      <c r="Y508" s="300"/>
      <c r="Z508" s="300"/>
    </row>
    <row r="509" spans="1:26">
      <c r="A509" s="215" t="s">
        <v>4243</v>
      </c>
      <c r="B509" s="207">
        <v>2387</v>
      </c>
      <c r="C509" s="215" t="s">
        <v>2760</v>
      </c>
      <c r="D509" s="215" t="s">
        <v>7669</v>
      </c>
      <c r="E509" s="215" t="s">
        <v>7669</v>
      </c>
      <c r="F509" s="215" t="s">
        <v>148</v>
      </c>
      <c r="G509" s="215" t="s">
        <v>7514</v>
      </c>
      <c r="H509" s="215" t="s">
        <v>6497</v>
      </c>
      <c r="I509" s="300"/>
      <c r="J509" s="300"/>
      <c r="K509" s="300"/>
      <c r="L509" s="300"/>
      <c r="M509" s="300"/>
      <c r="N509" s="300"/>
      <c r="O509" s="300"/>
      <c r="P509" s="300"/>
      <c r="Q509" s="300"/>
      <c r="R509" s="300"/>
      <c r="S509" s="300"/>
      <c r="T509" s="300"/>
      <c r="U509" s="300"/>
      <c r="V509" s="300"/>
      <c r="W509" s="300"/>
      <c r="X509" s="300"/>
      <c r="Y509" s="300"/>
      <c r="Z509" s="300"/>
    </row>
    <row r="510" spans="1:26">
      <c r="A510" s="215" t="s">
        <v>4241</v>
      </c>
      <c r="B510" s="207">
        <v>2388</v>
      </c>
      <c r="C510" s="215" t="s">
        <v>6217</v>
      </c>
      <c r="D510" s="215" t="s">
        <v>7670</v>
      </c>
      <c r="E510" s="215" t="s">
        <v>7671</v>
      </c>
      <c r="F510" s="215" t="s">
        <v>148</v>
      </c>
      <c r="G510" s="215" t="s">
        <v>7514</v>
      </c>
      <c r="H510" s="215" t="s">
        <v>6504</v>
      </c>
      <c r="I510" s="300"/>
      <c r="J510" s="300"/>
      <c r="K510" s="300"/>
      <c r="L510" s="300"/>
      <c r="M510" s="300"/>
      <c r="N510" s="300"/>
      <c r="O510" s="300"/>
      <c r="P510" s="300"/>
      <c r="Q510" s="300"/>
      <c r="R510" s="300"/>
      <c r="S510" s="300"/>
      <c r="T510" s="300"/>
      <c r="U510" s="300"/>
      <c r="V510" s="300"/>
      <c r="W510" s="300"/>
      <c r="X510" s="300"/>
      <c r="Y510" s="300"/>
      <c r="Z510" s="300"/>
    </row>
    <row r="511" spans="1:26">
      <c r="A511" s="215" t="s">
        <v>4265</v>
      </c>
      <c r="B511" s="207">
        <v>2389</v>
      </c>
      <c r="C511" s="215" t="s">
        <v>7672</v>
      </c>
      <c r="D511" s="215" t="s">
        <v>7673</v>
      </c>
      <c r="E511" s="215" t="s">
        <v>7674</v>
      </c>
      <c r="F511" s="215" t="s">
        <v>148</v>
      </c>
      <c r="G511" s="215" t="s">
        <v>7514</v>
      </c>
      <c r="H511" s="215" t="s">
        <v>6497</v>
      </c>
      <c r="I511" s="300"/>
      <c r="J511" s="300"/>
      <c r="K511" s="300"/>
      <c r="L511" s="300"/>
      <c r="M511" s="300"/>
      <c r="N511" s="300"/>
      <c r="O511" s="300"/>
      <c r="P511" s="300"/>
      <c r="Q511" s="300"/>
      <c r="R511" s="300"/>
      <c r="S511" s="300"/>
      <c r="T511" s="300"/>
      <c r="U511" s="300"/>
      <c r="V511" s="300"/>
      <c r="W511" s="300"/>
      <c r="X511" s="300"/>
      <c r="Y511" s="300"/>
      <c r="Z511" s="300"/>
    </row>
    <row r="512" spans="1:26">
      <c r="A512" s="215" t="s">
        <v>4317</v>
      </c>
      <c r="B512" s="207">
        <v>2390</v>
      </c>
      <c r="C512" s="215" t="s">
        <v>6273</v>
      </c>
      <c r="D512" s="215" t="s">
        <v>7675</v>
      </c>
      <c r="E512" s="215" t="s">
        <v>7676</v>
      </c>
      <c r="F512" s="215" t="s">
        <v>148</v>
      </c>
      <c r="G512" s="215" t="s">
        <v>7514</v>
      </c>
      <c r="H512" s="215" t="s">
        <v>6497</v>
      </c>
      <c r="I512" s="300"/>
      <c r="J512" s="300"/>
      <c r="K512" s="300"/>
      <c r="L512" s="300"/>
      <c r="M512" s="300"/>
      <c r="N512" s="300"/>
      <c r="O512" s="300"/>
      <c r="P512" s="300"/>
      <c r="Q512" s="300"/>
      <c r="R512" s="300"/>
      <c r="S512" s="300"/>
      <c r="T512" s="300"/>
      <c r="U512" s="300"/>
      <c r="V512" s="300"/>
      <c r="W512" s="300"/>
      <c r="X512" s="300"/>
      <c r="Y512" s="300"/>
      <c r="Z512" s="300"/>
    </row>
    <row r="513" spans="1:26">
      <c r="A513" s="215" t="s">
        <v>4335</v>
      </c>
      <c r="B513" s="207">
        <v>2391</v>
      </c>
      <c r="C513" s="215" t="s">
        <v>7677</v>
      </c>
      <c r="D513" s="215" t="s">
        <v>7678</v>
      </c>
      <c r="E513" s="215" t="s">
        <v>7679</v>
      </c>
      <c r="F513" s="215" t="s">
        <v>148</v>
      </c>
      <c r="G513" s="215" t="s">
        <v>7514</v>
      </c>
      <c r="H513" s="215" t="s">
        <v>6497</v>
      </c>
      <c r="I513" s="300"/>
      <c r="J513" s="300"/>
      <c r="K513" s="300"/>
      <c r="L513" s="300"/>
      <c r="M513" s="300"/>
      <c r="N513" s="300"/>
      <c r="O513" s="300"/>
      <c r="P513" s="300"/>
      <c r="Q513" s="300"/>
      <c r="R513" s="300"/>
      <c r="S513" s="300"/>
      <c r="T513" s="300"/>
      <c r="U513" s="300"/>
      <c r="V513" s="300"/>
      <c r="W513" s="300"/>
      <c r="X513" s="300"/>
      <c r="Y513" s="300"/>
      <c r="Z513" s="300"/>
    </row>
    <row r="514" spans="1:26">
      <c r="A514" s="215" t="s">
        <v>4192</v>
      </c>
      <c r="B514" s="207">
        <v>2392</v>
      </c>
      <c r="C514" s="215" t="s">
        <v>7680</v>
      </c>
      <c r="D514" s="215" t="s">
        <v>7681</v>
      </c>
      <c r="E514" s="215" t="s">
        <v>7682</v>
      </c>
      <c r="F514" s="215" t="s">
        <v>148</v>
      </c>
      <c r="G514" s="215" t="s">
        <v>7514</v>
      </c>
      <c r="H514" s="215" t="s">
        <v>6497</v>
      </c>
      <c r="I514" s="300"/>
      <c r="J514" s="300"/>
      <c r="K514" s="300"/>
      <c r="L514" s="300"/>
      <c r="M514" s="300"/>
      <c r="N514" s="300"/>
      <c r="O514" s="300"/>
      <c r="P514" s="300"/>
      <c r="Q514" s="300"/>
      <c r="R514" s="300"/>
      <c r="S514" s="300"/>
      <c r="T514" s="300"/>
      <c r="U514" s="300"/>
      <c r="V514" s="300"/>
      <c r="W514" s="300"/>
      <c r="X514" s="300"/>
      <c r="Y514" s="300"/>
      <c r="Z514" s="300"/>
    </row>
    <row r="515" spans="1:26">
      <c r="A515" s="215" t="s">
        <v>2451</v>
      </c>
      <c r="B515" s="207">
        <v>2393</v>
      </c>
      <c r="C515" s="215" t="s">
        <v>7683</v>
      </c>
      <c r="D515" s="215" t="s">
        <v>7684</v>
      </c>
      <c r="E515" s="215" t="s">
        <v>7685</v>
      </c>
      <c r="F515" s="215" t="s">
        <v>148</v>
      </c>
      <c r="G515" s="215" t="s">
        <v>7514</v>
      </c>
      <c r="H515" s="215" t="s">
        <v>6497</v>
      </c>
      <c r="I515" s="300"/>
      <c r="J515" s="300"/>
      <c r="K515" s="300"/>
      <c r="L515" s="300"/>
      <c r="M515" s="300"/>
      <c r="N515" s="300"/>
      <c r="O515" s="300"/>
      <c r="P515" s="300"/>
      <c r="Q515" s="300"/>
      <c r="R515" s="300"/>
      <c r="S515" s="300"/>
      <c r="T515" s="300"/>
      <c r="U515" s="300"/>
      <c r="V515" s="300"/>
      <c r="W515" s="300"/>
      <c r="X515" s="300"/>
      <c r="Y515" s="300"/>
      <c r="Z515" s="300"/>
    </row>
    <row r="516" spans="1:26">
      <c r="A516" s="215" t="s">
        <v>3651</v>
      </c>
      <c r="B516" s="207">
        <v>2394</v>
      </c>
      <c r="C516" s="215" t="s">
        <v>5748</v>
      </c>
      <c r="D516" s="215" t="s">
        <v>7686</v>
      </c>
      <c r="E516" s="215" t="s">
        <v>7687</v>
      </c>
      <c r="F516" s="215" t="s">
        <v>148</v>
      </c>
      <c r="G516" s="215" t="s">
        <v>7514</v>
      </c>
      <c r="H516" s="215" t="s">
        <v>6521</v>
      </c>
      <c r="I516" s="300"/>
      <c r="J516" s="300"/>
      <c r="K516" s="300"/>
      <c r="L516" s="300"/>
      <c r="M516" s="300"/>
      <c r="N516" s="300"/>
      <c r="O516" s="300"/>
      <c r="P516" s="300"/>
      <c r="Q516" s="300"/>
      <c r="R516" s="300"/>
      <c r="S516" s="300"/>
      <c r="T516" s="300"/>
      <c r="U516" s="300"/>
      <c r="V516" s="300"/>
      <c r="W516" s="300"/>
      <c r="X516" s="300"/>
      <c r="Y516" s="300"/>
      <c r="Z516" s="300"/>
    </row>
    <row r="517" spans="1:26">
      <c r="A517" s="215" t="s">
        <v>3209</v>
      </c>
      <c r="B517" s="207">
        <v>2395</v>
      </c>
      <c r="C517" s="215" t="s">
        <v>7688</v>
      </c>
      <c r="D517" s="215" t="s">
        <v>7689</v>
      </c>
      <c r="E517" s="215" t="s">
        <v>7690</v>
      </c>
      <c r="F517" s="215" t="s">
        <v>148</v>
      </c>
      <c r="G517" s="215" t="s">
        <v>7514</v>
      </c>
      <c r="H517" s="215" t="s">
        <v>6497</v>
      </c>
      <c r="I517" s="300"/>
      <c r="J517" s="300"/>
      <c r="K517" s="300"/>
      <c r="L517" s="300"/>
      <c r="M517" s="300"/>
      <c r="N517" s="300"/>
      <c r="O517" s="300"/>
      <c r="P517" s="300"/>
      <c r="Q517" s="300"/>
      <c r="R517" s="300"/>
      <c r="S517" s="300"/>
      <c r="T517" s="300"/>
      <c r="U517" s="300"/>
      <c r="V517" s="300"/>
      <c r="W517" s="300"/>
      <c r="X517" s="300"/>
      <c r="Y517" s="300"/>
      <c r="Z517" s="300"/>
    </row>
    <row r="518" spans="1:26">
      <c r="A518" s="215"/>
      <c r="B518" s="207">
        <v>2396</v>
      </c>
      <c r="C518" s="215" t="s">
        <v>7691</v>
      </c>
      <c r="D518" s="215" t="s">
        <v>7692</v>
      </c>
      <c r="E518" s="215" t="s">
        <v>7693</v>
      </c>
      <c r="F518" s="215" t="s">
        <v>148</v>
      </c>
      <c r="G518" s="215" t="s">
        <v>7514</v>
      </c>
      <c r="H518" s="215" t="s">
        <v>6497</v>
      </c>
      <c r="I518" s="300"/>
      <c r="J518" s="300"/>
      <c r="K518" s="300"/>
      <c r="L518" s="300"/>
      <c r="M518" s="300"/>
      <c r="N518" s="300"/>
      <c r="O518" s="300"/>
      <c r="P518" s="300"/>
      <c r="Q518" s="300"/>
      <c r="R518" s="300"/>
      <c r="S518" s="300"/>
      <c r="T518" s="300"/>
      <c r="U518" s="300"/>
      <c r="V518" s="300"/>
      <c r="W518" s="300"/>
      <c r="X518" s="300"/>
      <c r="Y518" s="300"/>
      <c r="Z518" s="300"/>
    </row>
    <row r="519" spans="1:26">
      <c r="A519" s="215" t="s">
        <v>4455</v>
      </c>
      <c r="B519" s="207">
        <v>2397</v>
      </c>
      <c r="C519" s="215" t="s">
        <v>7694</v>
      </c>
      <c r="D519" s="215" t="s">
        <v>7695</v>
      </c>
      <c r="E519" s="215" t="s">
        <v>7696</v>
      </c>
      <c r="F519" s="215" t="s">
        <v>148</v>
      </c>
      <c r="G519" s="215" t="s">
        <v>7514</v>
      </c>
      <c r="H519" s="215" t="s">
        <v>6497</v>
      </c>
      <c r="I519" s="300"/>
      <c r="J519" s="300"/>
      <c r="K519" s="300"/>
      <c r="L519" s="300"/>
      <c r="M519" s="300"/>
      <c r="N519" s="300"/>
      <c r="O519" s="300"/>
      <c r="P519" s="300"/>
      <c r="Q519" s="300"/>
      <c r="R519" s="300"/>
      <c r="S519" s="300"/>
      <c r="T519" s="300"/>
      <c r="U519" s="300"/>
      <c r="V519" s="300"/>
      <c r="W519" s="300"/>
      <c r="X519" s="300"/>
      <c r="Y519" s="300"/>
      <c r="Z519" s="300"/>
    </row>
    <row r="520" spans="1:26">
      <c r="A520" s="215" t="s">
        <v>3268</v>
      </c>
      <c r="B520" s="207">
        <v>2398</v>
      </c>
      <c r="C520" s="215" t="s">
        <v>5392</v>
      </c>
      <c r="D520" s="215" t="s">
        <v>7697</v>
      </c>
      <c r="E520" s="215" t="s">
        <v>7698</v>
      </c>
      <c r="F520" s="215" t="s">
        <v>148</v>
      </c>
      <c r="G520" s="215" t="s">
        <v>7514</v>
      </c>
      <c r="H520" s="215" t="s">
        <v>6497</v>
      </c>
      <c r="I520" s="300"/>
      <c r="J520" s="300"/>
      <c r="K520" s="300"/>
      <c r="L520" s="300"/>
      <c r="M520" s="300"/>
      <c r="N520" s="300"/>
      <c r="O520" s="300"/>
      <c r="P520" s="300"/>
      <c r="Q520" s="300"/>
      <c r="R520" s="300"/>
      <c r="S520" s="300"/>
      <c r="T520" s="300"/>
      <c r="U520" s="300"/>
      <c r="V520" s="300"/>
      <c r="W520" s="300"/>
      <c r="X520" s="300"/>
      <c r="Y520" s="300"/>
      <c r="Z520" s="300"/>
    </row>
    <row r="521" spans="1:26">
      <c r="A521" s="215" t="s">
        <v>7699</v>
      </c>
      <c r="B521" s="207">
        <v>2399</v>
      </c>
      <c r="C521" s="215" t="s">
        <v>7700</v>
      </c>
      <c r="D521" s="215" t="s">
        <v>7701</v>
      </c>
      <c r="E521" s="215" t="s">
        <v>7701</v>
      </c>
      <c r="F521" s="215" t="s">
        <v>148</v>
      </c>
      <c r="G521" s="215" t="s">
        <v>7514</v>
      </c>
      <c r="H521" s="215" t="s">
        <v>6548</v>
      </c>
      <c r="I521" s="300"/>
      <c r="J521" s="300"/>
      <c r="K521" s="300"/>
      <c r="L521" s="300"/>
      <c r="M521" s="300"/>
      <c r="N521" s="300"/>
      <c r="O521" s="300"/>
      <c r="P521" s="300"/>
      <c r="Q521" s="300"/>
      <c r="R521" s="300"/>
      <c r="S521" s="300"/>
      <c r="T521" s="300"/>
      <c r="U521" s="300"/>
      <c r="V521" s="300"/>
      <c r="W521" s="300"/>
      <c r="X521" s="300"/>
      <c r="Y521" s="300"/>
      <c r="Z521" s="300"/>
    </row>
    <row r="522" spans="1:26">
      <c r="A522" s="215" t="s">
        <v>7702</v>
      </c>
      <c r="B522" s="207">
        <v>2400</v>
      </c>
      <c r="C522" s="215" t="s">
        <v>7703</v>
      </c>
      <c r="D522" s="215" t="s">
        <v>7704</v>
      </c>
      <c r="E522" s="215" t="s">
        <v>7704</v>
      </c>
      <c r="F522" s="215" t="s">
        <v>148</v>
      </c>
      <c r="G522" s="215" t="s">
        <v>7514</v>
      </c>
      <c r="H522" s="215" t="s">
        <v>6548</v>
      </c>
      <c r="I522" s="300"/>
      <c r="J522" s="300"/>
      <c r="K522" s="300"/>
      <c r="L522" s="300"/>
      <c r="M522" s="300"/>
      <c r="N522" s="300"/>
      <c r="O522" s="300"/>
      <c r="P522" s="300"/>
      <c r="Q522" s="300"/>
      <c r="R522" s="300"/>
      <c r="S522" s="300"/>
      <c r="T522" s="300"/>
      <c r="U522" s="300"/>
      <c r="V522" s="300"/>
      <c r="W522" s="300"/>
      <c r="X522" s="300"/>
      <c r="Y522" s="300"/>
      <c r="Z522" s="300"/>
    </row>
    <row r="523" spans="1:26">
      <c r="A523" s="215" t="s">
        <v>3652</v>
      </c>
      <c r="B523" s="207">
        <v>2516</v>
      </c>
      <c r="C523" s="215" t="s">
        <v>7705</v>
      </c>
      <c r="D523" s="215" t="s">
        <v>7706</v>
      </c>
      <c r="E523" s="215" t="s">
        <v>7707</v>
      </c>
      <c r="F523" s="215" t="s">
        <v>148</v>
      </c>
      <c r="G523" s="215" t="s">
        <v>7514</v>
      </c>
      <c r="H523" s="215" t="s">
        <v>6500</v>
      </c>
      <c r="I523" s="300"/>
      <c r="J523" s="300"/>
      <c r="K523" s="300"/>
      <c r="L523" s="300"/>
      <c r="M523" s="300"/>
      <c r="N523" s="300"/>
      <c r="O523" s="300"/>
      <c r="P523" s="300"/>
      <c r="Q523" s="300"/>
      <c r="R523" s="300"/>
      <c r="S523" s="300"/>
      <c r="T523" s="300"/>
      <c r="U523" s="300"/>
      <c r="V523" s="300"/>
      <c r="W523" s="300"/>
      <c r="X523" s="300"/>
      <c r="Y523" s="300"/>
      <c r="Z523" s="300"/>
    </row>
    <row r="524" spans="1:26">
      <c r="A524" s="215" t="s">
        <v>3652</v>
      </c>
      <c r="B524" s="207">
        <v>2517</v>
      </c>
      <c r="C524" s="215" t="s">
        <v>7708</v>
      </c>
      <c r="D524" s="215" t="s">
        <v>7709</v>
      </c>
      <c r="E524" s="215" t="s">
        <v>7710</v>
      </c>
      <c r="F524" s="215" t="s">
        <v>148</v>
      </c>
      <c r="G524" s="215" t="s">
        <v>7514</v>
      </c>
      <c r="H524" s="215" t="s">
        <v>6500</v>
      </c>
      <c r="I524" s="300"/>
      <c r="J524" s="300"/>
      <c r="K524" s="300"/>
      <c r="L524" s="300"/>
      <c r="M524" s="300"/>
      <c r="N524" s="300"/>
      <c r="O524" s="300"/>
      <c r="P524" s="300"/>
      <c r="Q524" s="300"/>
      <c r="R524" s="300"/>
      <c r="S524" s="300"/>
      <c r="T524" s="300"/>
      <c r="U524" s="300"/>
      <c r="V524" s="300"/>
      <c r="W524" s="300"/>
      <c r="X524" s="300"/>
      <c r="Y524" s="300"/>
      <c r="Z524" s="300"/>
    </row>
    <row r="525" spans="1:26">
      <c r="A525" s="215" t="s">
        <v>3484</v>
      </c>
      <c r="B525" s="207">
        <v>141</v>
      </c>
      <c r="C525" s="215" t="s">
        <v>7711</v>
      </c>
      <c r="D525" s="215" t="s">
        <v>7712</v>
      </c>
      <c r="E525" s="215" t="s">
        <v>7713</v>
      </c>
      <c r="F525" s="215" t="s">
        <v>7714</v>
      </c>
      <c r="G525" s="215" t="s">
        <v>7715</v>
      </c>
      <c r="H525" s="215" t="s">
        <v>6497</v>
      </c>
      <c r="I525" s="300"/>
      <c r="J525" s="300"/>
      <c r="K525" s="300"/>
      <c r="L525" s="300"/>
      <c r="M525" s="300"/>
      <c r="N525" s="300"/>
      <c r="O525" s="300"/>
      <c r="P525" s="300"/>
      <c r="Q525" s="300"/>
      <c r="R525" s="300"/>
      <c r="S525" s="300"/>
      <c r="T525" s="300"/>
      <c r="U525" s="300"/>
      <c r="V525" s="300"/>
      <c r="W525" s="300"/>
      <c r="X525" s="300"/>
      <c r="Y525" s="300"/>
      <c r="Z525" s="300"/>
    </row>
    <row r="526" spans="1:26">
      <c r="A526" s="215" t="s">
        <v>3474</v>
      </c>
      <c r="B526" s="207">
        <v>142</v>
      </c>
      <c r="C526" s="215" t="s">
        <v>5586</v>
      </c>
      <c r="D526" s="215" t="s">
        <v>7716</v>
      </c>
      <c r="E526" s="215" t="s">
        <v>7717</v>
      </c>
      <c r="F526" s="215" t="s">
        <v>7714</v>
      </c>
      <c r="G526" s="215" t="s">
        <v>7715</v>
      </c>
      <c r="H526" s="215" t="s">
        <v>6504</v>
      </c>
      <c r="I526" s="300"/>
      <c r="J526" s="300"/>
      <c r="K526" s="300"/>
      <c r="L526" s="300"/>
      <c r="M526" s="300"/>
      <c r="N526" s="300"/>
      <c r="O526" s="300"/>
      <c r="P526" s="300"/>
      <c r="Q526" s="300"/>
      <c r="R526" s="300"/>
      <c r="S526" s="300"/>
      <c r="T526" s="300"/>
      <c r="U526" s="300"/>
      <c r="V526" s="300"/>
      <c r="W526" s="300"/>
      <c r="X526" s="300"/>
      <c r="Y526" s="300"/>
      <c r="Z526" s="300"/>
    </row>
    <row r="527" spans="1:26">
      <c r="A527" s="215" t="s">
        <v>3253</v>
      </c>
      <c r="B527" s="207">
        <v>258</v>
      </c>
      <c r="C527" s="215" t="s">
        <v>5380</v>
      </c>
      <c r="D527" s="215" t="s">
        <v>7718</v>
      </c>
      <c r="E527" s="215" t="s">
        <v>7719</v>
      </c>
      <c r="F527" s="215" t="s">
        <v>7714</v>
      </c>
      <c r="G527" s="215" t="s">
        <v>7715</v>
      </c>
      <c r="H527" s="215" t="s">
        <v>6504</v>
      </c>
      <c r="I527" s="300"/>
      <c r="J527" s="300"/>
      <c r="K527" s="300"/>
      <c r="L527" s="300"/>
      <c r="M527" s="300"/>
      <c r="N527" s="300"/>
      <c r="O527" s="300"/>
      <c r="P527" s="300"/>
      <c r="Q527" s="300"/>
      <c r="R527" s="300"/>
      <c r="S527" s="300"/>
      <c r="T527" s="300"/>
      <c r="U527" s="300"/>
      <c r="V527" s="300"/>
      <c r="W527" s="300"/>
      <c r="X527" s="300"/>
      <c r="Y527" s="300"/>
      <c r="Z527" s="300"/>
    </row>
    <row r="528" spans="1:26">
      <c r="A528" s="215" t="s">
        <v>3217</v>
      </c>
      <c r="B528" s="207">
        <v>262</v>
      </c>
      <c r="C528" s="215" t="s">
        <v>7720</v>
      </c>
      <c r="D528" s="215" t="s">
        <v>7721</v>
      </c>
      <c r="E528" s="215" t="s">
        <v>7721</v>
      </c>
      <c r="F528" s="215" t="s">
        <v>7714</v>
      </c>
      <c r="G528" s="215" t="s">
        <v>7715</v>
      </c>
      <c r="H528" s="215" t="s">
        <v>6497</v>
      </c>
      <c r="I528" s="300"/>
      <c r="J528" s="300"/>
      <c r="K528" s="300"/>
      <c r="L528" s="300"/>
      <c r="M528" s="300"/>
      <c r="N528" s="300"/>
      <c r="O528" s="300"/>
      <c r="P528" s="300"/>
      <c r="Q528" s="300"/>
      <c r="R528" s="300"/>
      <c r="S528" s="300"/>
      <c r="T528" s="300"/>
      <c r="U528" s="300"/>
      <c r="V528" s="300"/>
      <c r="W528" s="300"/>
      <c r="X528" s="300"/>
      <c r="Y528" s="300"/>
      <c r="Z528" s="300"/>
    </row>
    <row r="529" spans="1:26">
      <c r="A529" s="215" t="s">
        <v>3869</v>
      </c>
      <c r="B529" s="207">
        <v>1532</v>
      </c>
      <c r="C529" s="215" t="s">
        <v>7722</v>
      </c>
      <c r="D529" s="215" t="s">
        <v>7723</v>
      </c>
      <c r="E529" s="215" t="s">
        <v>7724</v>
      </c>
      <c r="F529" s="215" t="s">
        <v>7714</v>
      </c>
      <c r="G529" s="215" t="s">
        <v>7715</v>
      </c>
      <c r="H529" s="215" t="s">
        <v>6504</v>
      </c>
      <c r="I529" s="300"/>
      <c r="J529" s="300"/>
      <c r="K529" s="300"/>
      <c r="L529" s="300"/>
      <c r="M529" s="300"/>
      <c r="N529" s="300"/>
      <c r="O529" s="300"/>
      <c r="P529" s="300"/>
      <c r="Q529" s="300"/>
      <c r="R529" s="300"/>
      <c r="S529" s="300"/>
      <c r="T529" s="300"/>
      <c r="U529" s="300"/>
      <c r="V529" s="300"/>
      <c r="W529" s="300"/>
      <c r="X529" s="300"/>
      <c r="Y529" s="300"/>
      <c r="Z529" s="300"/>
    </row>
    <row r="530" spans="1:26">
      <c r="A530" s="215" t="s">
        <v>3962</v>
      </c>
      <c r="B530" s="207">
        <v>2352</v>
      </c>
      <c r="C530" s="215" t="s">
        <v>5995</v>
      </c>
      <c r="D530" s="215" t="s">
        <v>7725</v>
      </c>
      <c r="E530" s="215" t="s">
        <v>7726</v>
      </c>
      <c r="F530" s="215" t="s">
        <v>7714</v>
      </c>
      <c r="G530" s="215" t="s">
        <v>7715</v>
      </c>
      <c r="H530" s="215" t="s">
        <v>6500</v>
      </c>
      <c r="I530" s="300"/>
      <c r="J530" s="300"/>
      <c r="K530" s="300"/>
      <c r="L530" s="300"/>
      <c r="M530" s="300"/>
      <c r="N530" s="300"/>
      <c r="O530" s="300"/>
      <c r="P530" s="300"/>
      <c r="Q530" s="300"/>
      <c r="R530" s="300"/>
      <c r="S530" s="300"/>
      <c r="T530" s="300"/>
      <c r="U530" s="300"/>
      <c r="V530" s="300"/>
      <c r="W530" s="300"/>
      <c r="X530" s="300"/>
      <c r="Y530" s="300"/>
      <c r="Z530" s="300"/>
    </row>
    <row r="531" spans="1:26">
      <c r="A531" s="215" t="s">
        <v>3839</v>
      </c>
      <c r="B531" s="207">
        <v>2367</v>
      </c>
      <c r="C531" s="215" t="s">
        <v>2718</v>
      </c>
      <c r="D531" s="215" t="s">
        <v>7727</v>
      </c>
      <c r="E531" s="215" t="s">
        <v>7728</v>
      </c>
      <c r="F531" s="215" t="s">
        <v>7714</v>
      </c>
      <c r="G531" s="215" t="s">
        <v>7715</v>
      </c>
      <c r="H531" s="215" t="s">
        <v>6500</v>
      </c>
      <c r="I531" s="300"/>
      <c r="J531" s="300"/>
      <c r="K531" s="300"/>
      <c r="L531" s="300"/>
      <c r="M531" s="300"/>
      <c r="N531" s="300"/>
      <c r="O531" s="300"/>
      <c r="P531" s="300"/>
      <c r="Q531" s="300"/>
      <c r="R531" s="300"/>
      <c r="S531" s="300"/>
      <c r="T531" s="300"/>
      <c r="U531" s="300"/>
      <c r="V531" s="300"/>
      <c r="W531" s="300"/>
      <c r="X531" s="300"/>
      <c r="Y531" s="300"/>
      <c r="Z531" s="300"/>
    </row>
    <row r="532" spans="1:26">
      <c r="A532" s="215" t="s">
        <v>3848</v>
      </c>
      <c r="B532" s="207">
        <v>2368</v>
      </c>
      <c r="C532" s="215" t="s">
        <v>7729</v>
      </c>
      <c r="D532" s="215" t="s">
        <v>7730</v>
      </c>
      <c r="E532" s="215" t="s">
        <v>7731</v>
      </c>
      <c r="F532" s="215" t="s">
        <v>7714</v>
      </c>
      <c r="G532" s="215" t="s">
        <v>7715</v>
      </c>
      <c r="H532" s="215" t="s">
        <v>6497</v>
      </c>
      <c r="I532" s="300"/>
      <c r="J532" s="300"/>
      <c r="K532" s="300"/>
      <c r="L532" s="300"/>
      <c r="M532" s="300"/>
      <c r="N532" s="300"/>
      <c r="O532" s="300"/>
      <c r="P532" s="300"/>
      <c r="Q532" s="300"/>
      <c r="R532" s="300"/>
      <c r="S532" s="300"/>
      <c r="T532" s="300"/>
      <c r="U532" s="300"/>
      <c r="V532" s="300"/>
      <c r="W532" s="300"/>
      <c r="X532" s="300"/>
      <c r="Y532" s="300"/>
      <c r="Z532" s="300"/>
    </row>
    <row r="533" spans="1:26">
      <c r="A533" s="215" t="s">
        <v>3851</v>
      </c>
      <c r="B533" s="207">
        <v>2369</v>
      </c>
      <c r="C533" s="215" t="s">
        <v>7732</v>
      </c>
      <c r="D533" s="215" t="s">
        <v>7733</v>
      </c>
      <c r="E533" s="215" t="s">
        <v>7734</v>
      </c>
      <c r="F533" s="215" t="s">
        <v>7714</v>
      </c>
      <c r="G533" s="215" t="s">
        <v>7715</v>
      </c>
      <c r="H533" s="215" t="s">
        <v>6497</v>
      </c>
      <c r="I533" s="300"/>
      <c r="J533" s="300"/>
      <c r="K533" s="300"/>
      <c r="L533" s="300"/>
      <c r="M533" s="300"/>
      <c r="N533" s="300"/>
      <c r="O533" s="300"/>
      <c r="P533" s="300"/>
      <c r="Q533" s="300"/>
      <c r="R533" s="300"/>
      <c r="S533" s="300"/>
      <c r="T533" s="300"/>
      <c r="U533" s="300"/>
      <c r="V533" s="300"/>
      <c r="W533" s="300"/>
      <c r="X533" s="300"/>
      <c r="Y533" s="300"/>
      <c r="Z533" s="300"/>
    </row>
    <row r="534" spans="1:26">
      <c r="A534" s="215" t="s">
        <v>3869</v>
      </c>
      <c r="B534" s="207">
        <v>2370</v>
      </c>
      <c r="C534" s="215" t="s">
        <v>7735</v>
      </c>
      <c r="D534" s="215" t="s">
        <v>7736</v>
      </c>
      <c r="E534" s="215" t="s">
        <v>7737</v>
      </c>
      <c r="F534" s="215" t="s">
        <v>7714</v>
      </c>
      <c r="G534" s="215" t="s">
        <v>7715</v>
      </c>
      <c r="H534" s="215" t="s">
        <v>6504</v>
      </c>
      <c r="I534" s="300"/>
      <c r="J534" s="300"/>
      <c r="K534" s="300"/>
      <c r="L534" s="300"/>
      <c r="M534" s="300"/>
      <c r="N534" s="300"/>
      <c r="O534" s="300"/>
      <c r="P534" s="300"/>
      <c r="Q534" s="300"/>
      <c r="R534" s="300"/>
      <c r="S534" s="300"/>
      <c r="T534" s="300"/>
      <c r="U534" s="300"/>
      <c r="V534" s="300"/>
      <c r="W534" s="300"/>
      <c r="X534" s="300"/>
      <c r="Y534" s="300"/>
      <c r="Z534" s="300"/>
    </row>
    <row r="535" spans="1:26">
      <c r="A535" s="215" t="s">
        <v>4156</v>
      </c>
      <c r="B535" s="207">
        <v>2385</v>
      </c>
      <c r="C535" s="215" t="s">
        <v>7738</v>
      </c>
      <c r="D535" s="215" t="s">
        <v>7739</v>
      </c>
      <c r="E535" s="215" t="s">
        <v>7740</v>
      </c>
      <c r="F535" s="215" t="s">
        <v>7714</v>
      </c>
      <c r="G535" s="215" t="s">
        <v>7715</v>
      </c>
      <c r="H535" s="215" t="s">
        <v>6504</v>
      </c>
      <c r="I535" s="300"/>
      <c r="J535" s="300"/>
      <c r="K535" s="300"/>
      <c r="L535" s="300"/>
      <c r="M535" s="300"/>
      <c r="N535" s="300"/>
      <c r="O535" s="300"/>
      <c r="P535" s="300"/>
      <c r="Q535" s="300"/>
      <c r="R535" s="300"/>
      <c r="S535" s="300"/>
      <c r="T535" s="300"/>
      <c r="U535" s="300"/>
      <c r="V535" s="300"/>
      <c r="W535" s="300"/>
      <c r="X535" s="300"/>
      <c r="Y535" s="300"/>
      <c r="Z535" s="300"/>
    </row>
    <row r="536" spans="1:26">
      <c r="A536" s="215" t="s">
        <v>4022</v>
      </c>
      <c r="B536" s="207">
        <v>406</v>
      </c>
      <c r="C536" s="215" t="s">
        <v>6048</v>
      </c>
      <c r="D536" s="215" t="s">
        <v>7741</v>
      </c>
      <c r="E536" s="215" t="s">
        <v>7741</v>
      </c>
      <c r="F536" s="215" t="s">
        <v>2479</v>
      </c>
      <c r="G536" s="215" t="s">
        <v>2447</v>
      </c>
      <c r="H536" s="215" t="s">
        <v>6500</v>
      </c>
      <c r="I536" s="300"/>
      <c r="J536" s="300"/>
      <c r="K536" s="300"/>
      <c r="L536" s="300"/>
      <c r="M536" s="300"/>
      <c r="N536" s="300"/>
      <c r="O536" s="300"/>
      <c r="P536" s="300"/>
      <c r="Q536" s="300"/>
      <c r="R536" s="300"/>
      <c r="S536" s="300"/>
      <c r="T536" s="300"/>
      <c r="U536" s="300"/>
      <c r="V536" s="300"/>
      <c r="W536" s="300"/>
      <c r="X536" s="300"/>
      <c r="Y536" s="300"/>
      <c r="Z536" s="300"/>
    </row>
    <row r="537" spans="1:26">
      <c r="A537" s="215" t="s">
        <v>3247</v>
      </c>
      <c r="B537" s="207">
        <v>604</v>
      </c>
      <c r="C537" s="215" t="s">
        <v>4870</v>
      </c>
      <c r="D537" s="215" t="s">
        <v>7742</v>
      </c>
      <c r="E537" s="215" t="s">
        <v>7742</v>
      </c>
      <c r="F537" s="215" t="s">
        <v>7743</v>
      </c>
      <c r="G537" s="215" t="s">
        <v>7744</v>
      </c>
      <c r="H537" s="215" t="s">
        <v>6497</v>
      </c>
      <c r="I537" s="300"/>
      <c r="J537" s="300"/>
      <c r="K537" s="300"/>
      <c r="L537" s="300"/>
      <c r="M537" s="300"/>
      <c r="N537" s="300"/>
      <c r="O537" s="300"/>
      <c r="P537" s="300"/>
      <c r="Q537" s="300"/>
      <c r="R537" s="300"/>
      <c r="S537" s="300"/>
      <c r="T537" s="300"/>
      <c r="U537" s="300"/>
      <c r="V537" s="300"/>
      <c r="W537" s="300"/>
      <c r="X537" s="300"/>
      <c r="Y537" s="300"/>
      <c r="Z537" s="300"/>
    </row>
    <row r="538" spans="1:26">
      <c r="A538" s="215" t="s">
        <v>2706</v>
      </c>
      <c r="B538" s="207">
        <v>626</v>
      </c>
      <c r="C538" s="215" t="s">
        <v>7745</v>
      </c>
      <c r="D538" s="215" t="s">
        <v>7746</v>
      </c>
      <c r="E538" s="215" t="s">
        <v>7746</v>
      </c>
      <c r="F538" s="215" t="s">
        <v>7743</v>
      </c>
      <c r="G538" s="215" t="s">
        <v>7744</v>
      </c>
      <c r="H538" s="215" t="s">
        <v>6500</v>
      </c>
      <c r="I538" s="300"/>
      <c r="J538" s="300"/>
      <c r="K538" s="300"/>
      <c r="L538" s="300"/>
      <c r="M538" s="300"/>
      <c r="N538" s="300"/>
      <c r="O538" s="300"/>
      <c r="P538" s="300"/>
      <c r="Q538" s="300"/>
      <c r="R538" s="300"/>
      <c r="S538" s="300"/>
      <c r="T538" s="300"/>
      <c r="U538" s="300"/>
      <c r="V538" s="300"/>
      <c r="W538" s="300"/>
      <c r="X538" s="300"/>
      <c r="Y538" s="300"/>
      <c r="Z538" s="300"/>
    </row>
    <row r="539" spans="1:26">
      <c r="A539" s="215" t="s">
        <v>2653</v>
      </c>
      <c r="B539" s="207">
        <v>650</v>
      </c>
      <c r="C539" s="215" t="s">
        <v>4828</v>
      </c>
      <c r="D539" s="215" t="s">
        <v>7747</v>
      </c>
      <c r="E539" s="215" t="s">
        <v>7748</v>
      </c>
      <c r="F539" s="215" t="s">
        <v>7743</v>
      </c>
      <c r="G539" s="215" t="s">
        <v>7744</v>
      </c>
      <c r="H539" s="215" t="s">
        <v>6497</v>
      </c>
      <c r="I539" s="300"/>
      <c r="J539" s="300"/>
      <c r="K539" s="300"/>
      <c r="L539" s="300"/>
      <c r="M539" s="300"/>
      <c r="N539" s="300"/>
      <c r="O539" s="300"/>
      <c r="P539" s="300"/>
      <c r="Q539" s="300"/>
      <c r="R539" s="300"/>
      <c r="S539" s="300"/>
      <c r="T539" s="300"/>
      <c r="U539" s="300"/>
      <c r="V539" s="300"/>
      <c r="W539" s="300"/>
      <c r="X539" s="300"/>
      <c r="Y539" s="300"/>
      <c r="Z539" s="300"/>
    </row>
    <row r="540" spans="1:26">
      <c r="A540" s="215" t="s">
        <v>4503</v>
      </c>
      <c r="B540" s="207">
        <v>665</v>
      </c>
      <c r="C540" s="215" t="s">
        <v>6419</v>
      </c>
      <c r="D540" s="215" t="s">
        <v>7749</v>
      </c>
      <c r="E540" s="215" t="s">
        <v>7750</v>
      </c>
      <c r="F540" s="215" t="s">
        <v>7743</v>
      </c>
      <c r="G540" s="215" t="s">
        <v>7744</v>
      </c>
      <c r="H540" s="215" t="s">
        <v>6497</v>
      </c>
      <c r="I540" s="300"/>
      <c r="J540" s="300"/>
      <c r="K540" s="300"/>
      <c r="L540" s="300"/>
      <c r="M540" s="300"/>
      <c r="N540" s="300"/>
      <c r="O540" s="300"/>
      <c r="P540" s="300"/>
      <c r="Q540" s="300"/>
      <c r="R540" s="300"/>
      <c r="S540" s="300"/>
      <c r="T540" s="300"/>
      <c r="U540" s="300"/>
      <c r="V540" s="300"/>
      <c r="W540" s="300"/>
      <c r="X540" s="300"/>
      <c r="Y540" s="300"/>
      <c r="Z540" s="300"/>
    </row>
    <row r="541" spans="1:26">
      <c r="A541" s="215" t="s">
        <v>4000</v>
      </c>
      <c r="B541" s="207">
        <v>711</v>
      </c>
      <c r="C541" s="215" t="s">
        <v>6027</v>
      </c>
      <c r="D541" s="215" t="s">
        <v>7751</v>
      </c>
      <c r="E541" s="215" t="s">
        <v>7751</v>
      </c>
      <c r="F541" s="215" t="s">
        <v>7743</v>
      </c>
      <c r="G541" s="215" t="s">
        <v>7744</v>
      </c>
      <c r="H541" s="215" t="s">
        <v>6504</v>
      </c>
      <c r="I541" s="300"/>
      <c r="J541" s="300"/>
      <c r="K541" s="300"/>
      <c r="L541" s="300"/>
      <c r="M541" s="300"/>
      <c r="N541" s="300"/>
      <c r="O541" s="300"/>
      <c r="P541" s="300"/>
      <c r="Q541" s="300"/>
      <c r="R541" s="300"/>
      <c r="S541" s="300"/>
      <c r="T541" s="300"/>
      <c r="U541" s="300"/>
      <c r="V541" s="300"/>
      <c r="W541" s="300"/>
      <c r="X541" s="300"/>
      <c r="Y541" s="300"/>
      <c r="Z541" s="300"/>
    </row>
    <row r="542" spans="1:26">
      <c r="A542" s="215" t="s">
        <v>3071</v>
      </c>
      <c r="B542" s="207">
        <v>449</v>
      </c>
      <c r="C542" s="215" t="s">
        <v>7752</v>
      </c>
      <c r="D542" s="215" t="s">
        <v>7753</v>
      </c>
      <c r="E542" s="215" t="s">
        <v>7754</v>
      </c>
      <c r="F542" s="215" t="s">
        <v>7755</v>
      </c>
      <c r="G542" s="215" t="s">
        <v>7756</v>
      </c>
      <c r="H542" s="215" t="s">
        <v>6497</v>
      </c>
      <c r="I542" s="300"/>
      <c r="J542" s="300"/>
      <c r="K542" s="300"/>
      <c r="L542" s="300"/>
      <c r="M542" s="300"/>
      <c r="N542" s="300"/>
      <c r="O542" s="300"/>
      <c r="P542" s="300"/>
      <c r="Q542" s="300"/>
      <c r="R542" s="300"/>
      <c r="S542" s="300"/>
      <c r="T542" s="300"/>
      <c r="U542" s="300"/>
      <c r="V542" s="300"/>
      <c r="W542" s="300"/>
      <c r="X542" s="300"/>
      <c r="Y542" s="300"/>
      <c r="Z542" s="300"/>
    </row>
    <row r="543" spans="1:26">
      <c r="A543" s="215" t="s">
        <v>3071</v>
      </c>
      <c r="B543" s="207">
        <v>450</v>
      </c>
      <c r="C543" s="215" t="s">
        <v>7757</v>
      </c>
      <c r="D543" s="215" t="s">
        <v>7758</v>
      </c>
      <c r="E543" s="215" t="s">
        <v>7759</v>
      </c>
      <c r="F543" s="215" t="s">
        <v>7755</v>
      </c>
      <c r="G543" s="215" t="s">
        <v>7756</v>
      </c>
      <c r="H543" s="215" t="s">
        <v>6500</v>
      </c>
      <c r="I543" s="300"/>
      <c r="J543" s="300"/>
      <c r="K543" s="300"/>
      <c r="L543" s="300"/>
      <c r="M543" s="300"/>
      <c r="N543" s="300"/>
      <c r="O543" s="300"/>
      <c r="P543" s="300"/>
      <c r="Q543" s="300"/>
      <c r="R543" s="300"/>
      <c r="S543" s="300"/>
      <c r="T543" s="300"/>
      <c r="U543" s="300"/>
      <c r="V543" s="300"/>
      <c r="W543" s="300"/>
      <c r="X543" s="300"/>
      <c r="Y543" s="300"/>
      <c r="Z543" s="300"/>
    </row>
    <row r="544" spans="1:26">
      <c r="A544" s="215" t="s">
        <v>3071</v>
      </c>
      <c r="B544" s="207">
        <v>451</v>
      </c>
      <c r="C544" s="215" t="s">
        <v>7760</v>
      </c>
      <c r="D544" s="215" t="s">
        <v>7761</v>
      </c>
      <c r="E544" s="215" t="s">
        <v>7762</v>
      </c>
      <c r="F544" s="215" t="s">
        <v>7755</v>
      </c>
      <c r="G544" s="215" t="s">
        <v>7756</v>
      </c>
      <c r="H544" s="215" t="s">
        <v>6500</v>
      </c>
      <c r="I544" s="300"/>
      <c r="J544" s="300"/>
      <c r="K544" s="300"/>
      <c r="L544" s="300"/>
      <c r="M544" s="300"/>
      <c r="N544" s="300"/>
      <c r="O544" s="300"/>
      <c r="P544" s="300"/>
      <c r="Q544" s="300"/>
      <c r="R544" s="300"/>
      <c r="S544" s="300"/>
      <c r="T544" s="300"/>
      <c r="U544" s="300"/>
      <c r="V544" s="300"/>
      <c r="W544" s="300"/>
      <c r="X544" s="300"/>
      <c r="Y544" s="300"/>
      <c r="Z544" s="300"/>
    </row>
    <row r="545" spans="1:26">
      <c r="A545" s="215" t="s">
        <v>7763</v>
      </c>
      <c r="B545" s="207">
        <v>453</v>
      </c>
      <c r="C545" s="215" t="s">
        <v>7764</v>
      </c>
      <c r="D545" s="215" t="s">
        <v>7765</v>
      </c>
      <c r="E545" s="215" t="s">
        <v>7766</v>
      </c>
      <c r="F545" s="215" t="s">
        <v>7755</v>
      </c>
      <c r="G545" s="215" t="s">
        <v>7756</v>
      </c>
      <c r="H545" s="215" t="s">
        <v>6497</v>
      </c>
      <c r="I545" s="300"/>
      <c r="J545" s="300"/>
      <c r="K545" s="300"/>
      <c r="L545" s="300"/>
      <c r="M545" s="300"/>
      <c r="N545" s="300"/>
      <c r="O545" s="300"/>
      <c r="P545" s="300"/>
      <c r="Q545" s="300"/>
      <c r="R545" s="300"/>
      <c r="S545" s="300"/>
      <c r="T545" s="300"/>
      <c r="U545" s="300"/>
      <c r="V545" s="300"/>
      <c r="W545" s="300"/>
      <c r="X545" s="300"/>
      <c r="Y545" s="300"/>
      <c r="Z545" s="300"/>
    </row>
    <row r="546" spans="1:26">
      <c r="A546" s="215" t="s">
        <v>7763</v>
      </c>
      <c r="B546" s="207">
        <v>454</v>
      </c>
      <c r="C546" s="215" t="s">
        <v>7767</v>
      </c>
      <c r="D546" s="215" t="s">
        <v>7768</v>
      </c>
      <c r="E546" s="215" t="s">
        <v>7769</v>
      </c>
      <c r="F546" s="215" t="s">
        <v>7755</v>
      </c>
      <c r="G546" s="215" t="s">
        <v>7756</v>
      </c>
      <c r="H546" s="215" t="s">
        <v>6497</v>
      </c>
      <c r="I546" s="300"/>
      <c r="J546" s="300"/>
      <c r="K546" s="300"/>
      <c r="L546" s="300"/>
      <c r="M546" s="300"/>
      <c r="N546" s="300"/>
      <c r="O546" s="300"/>
      <c r="P546" s="300"/>
      <c r="Q546" s="300"/>
      <c r="R546" s="300"/>
      <c r="S546" s="300"/>
      <c r="T546" s="300"/>
      <c r="U546" s="300"/>
      <c r="V546" s="300"/>
      <c r="W546" s="300"/>
      <c r="X546" s="300"/>
      <c r="Y546" s="300"/>
      <c r="Z546" s="300"/>
    </row>
    <row r="547" spans="1:26">
      <c r="A547" s="215"/>
      <c r="B547" s="207">
        <v>455</v>
      </c>
      <c r="C547" s="215" t="s">
        <v>5517</v>
      </c>
      <c r="D547" s="215" t="s">
        <v>7770</v>
      </c>
      <c r="E547" s="215" t="s">
        <v>7771</v>
      </c>
      <c r="F547" s="215" t="s">
        <v>7755</v>
      </c>
      <c r="G547" s="215" t="s">
        <v>7756</v>
      </c>
      <c r="H547" s="215" t="s">
        <v>6497</v>
      </c>
      <c r="I547" s="300"/>
      <c r="J547" s="300"/>
      <c r="K547" s="300"/>
      <c r="L547" s="300"/>
      <c r="M547" s="300"/>
      <c r="N547" s="300"/>
      <c r="O547" s="300"/>
      <c r="P547" s="300"/>
      <c r="Q547" s="300"/>
      <c r="R547" s="300"/>
      <c r="S547" s="300"/>
      <c r="T547" s="300"/>
      <c r="U547" s="300"/>
      <c r="V547" s="300"/>
      <c r="W547" s="300"/>
      <c r="X547" s="300"/>
      <c r="Y547" s="300"/>
      <c r="Z547" s="300"/>
    </row>
    <row r="548" spans="1:26">
      <c r="A548" s="215"/>
      <c r="B548" s="207">
        <v>456</v>
      </c>
      <c r="C548" s="215" t="s">
        <v>7772</v>
      </c>
      <c r="D548" s="215" t="s">
        <v>7773</v>
      </c>
      <c r="E548" s="215" t="s">
        <v>7774</v>
      </c>
      <c r="F548" s="215" t="s">
        <v>7755</v>
      </c>
      <c r="G548" s="215" t="s">
        <v>7756</v>
      </c>
      <c r="H548" s="215" t="s">
        <v>6504</v>
      </c>
      <c r="I548" s="300"/>
      <c r="J548" s="300"/>
      <c r="K548" s="300"/>
      <c r="L548" s="300"/>
      <c r="M548" s="300"/>
      <c r="N548" s="300"/>
      <c r="O548" s="300"/>
      <c r="P548" s="300"/>
      <c r="Q548" s="300"/>
      <c r="R548" s="300"/>
      <c r="S548" s="300"/>
      <c r="T548" s="300"/>
      <c r="U548" s="300"/>
      <c r="V548" s="300"/>
      <c r="W548" s="300"/>
      <c r="X548" s="300"/>
      <c r="Y548" s="300"/>
      <c r="Z548" s="300"/>
    </row>
    <row r="549" spans="1:26">
      <c r="A549" s="215" t="s">
        <v>7775</v>
      </c>
      <c r="B549" s="207">
        <v>459</v>
      </c>
      <c r="C549" s="215" t="s">
        <v>7776</v>
      </c>
      <c r="D549" s="215" t="s">
        <v>7777</v>
      </c>
      <c r="E549" s="215" t="s">
        <v>7778</v>
      </c>
      <c r="F549" s="215" t="s">
        <v>7755</v>
      </c>
      <c r="G549" s="215" t="s">
        <v>7756</v>
      </c>
      <c r="H549" s="215" t="s">
        <v>6504</v>
      </c>
      <c r="I549" s="300"/>
      <c r="J549" s="300"/>
      <c r="K549" s="300"/>
      <c r="L549" s="300"/>
      <c r="M549" s="300"/>
      <c r="N549" s="300"/>
      <c r="O549" s="300"/>
      <c r="P549" s="300"/>
      <c r="Q549" s="300"/>
      <c r="R549" s="300"/>
      <c r="S549" s="300"/>
      <c r="T549" s="300"/>
      <c r="U549" s="300"/>
      <c r="V549" s="300"/>
      <c r="W549" s="300"/>
      <c r="X549" s="300"/>
      <c r="Y549" s="300"/>
      <c r="Z549" s="300"/>
    </row>
    <row r="550" spans="1:26">
      <c r="A550" s="215"/>
      <c r="B550" s="207">
        <v>460</v>
      </c>
      <c r="C550" s="215" t="s">
        <v>7779</v>
      </c>
      <c r="D550" s="215"/>
      <c r="E550" s="215"/>
      <c r="F550" s="215" t="s">
        <v>7755</v>
      </c>
      <c r="G550" s="215" t="s">
        <v>7756</v>
      </c>
      <c r="H550" s="215" t="s">
        <v>6548</v>
      </c>
      <c r="I550" s="300"/>
      <c r="J550" s="300"/>
      <c r="K550" s="300"/>
      <c r="L550" s="300"/>
      <c r="M550" s="300"/>
      <c r="N550" s="300"/>
      <c r="O550" s="300"/>
      <c r="P550" s="300"/>
      <c r="Q550" s="300"/>
      <c r="R550" s="300"/>
      <c r="S550" s="300"/>
      <c r="T550" s="300"/>
      <c r="U550" s="300"/>
      <c r="V550" s="300"/>
      <c r="W550" s="300"/>
      <c r="X550" s="300"/>
      <c r="Y550" s="300"/>
      <c r="Z550" s="300"/>
    </row>
    <row r="551" spans="1:26">
      <c r="A551" s="215" t="s">
        <v>7775</v>
      </c>
      <c r="B551" s="207">
        <v>461</v>
      </c>
      <c r="C551" s="215" t="s">
        <v>5238</v>
      </c>
      <c r="D551" s="215" t="s">
        <v>7780</v>
      </c>
      <c r="E551" s="215" t="s">
        <v>7780</v>
      </c>
      <c r="F551" s="215" t="s">
        <v>7755</v>
      </c>
      <c r="G551" s="215" t="s">
        <v>7756</v>
      </c>
      <c r="H551" s="215" t="s">
        <v>6500</v>
      </c>
      <c r="I551" s="300"/>
      <c r="J551" s="300"/>
      <c r="K551" s="300"/>
      <c r="L551" s="300"/>
      <c r="M551" s="300"/>
      <c r="N551" s="300"/>
      <c r="O551" s="300"/>
      <c r="P551" s="300"/>
      <c r="Q551" s="300"/>
      <c r="R551" s="300"/>
      <c r="S551" s="300"/>
      <c r="T551" s="300"/>
      <c r="U551" s="300"/>
      <c r="V551" s="300"/>
      <c r="W551" s="300"/>
      <c r="X551" s="300"/>
      <c r="Y551" s="300"/>
      <c r="Z551" s="300"/>
    </row>
    <row r="552" spans="1:26">
      <c r="A552" s="215" t="s">
        <v>4556</v>
      </c>
      <c r="B552" s="207">
        <v>515</v>
      </c>
      <c r="C552" s="215" t="s">
        <v>6467</v>
      </c>
      <c r="D552" s="215" t="s">
        <v>7781</v>
      </c>
      <c r="E552" s="215" t="s">
        <v>7781</v>
      </c>
      <c r="F552" s="215" t="s">
        <v>7755</v>
      </c>
      <c r="G552" s="215" t="s">
        <v>7756</v>
      </c>
      <c r="H552" s="215" t="s">
        <v>6497</v>
      </c>
      <c r="I552" s="300"/>
      <c r="J552" s="300"/>
      <c r="K552" s="300"/>
      <c r="L552" s="300"/>
      <c r="M552" s="300"/>
      <c r="N552" s="300"/>
      <c r="O552" s="300"/>
      <c r="P552" s="300"/>
      <c r="Q552" s="300"/>
      <c r="R552" s="300"/>
      <c r="S552" s="300"/>
      <c r="T552" s="300"/>
      <c r="U552" s="300"/>
      <c r="V552" s="300"/>
      <c r="W552" s="300"/>
      <c r="X552" s="300"/>
      <c r="Y552" s="300"/>
      <c r="Z552" s="300"/>
    </row>
    <row r="553" spans="1:26">
      <c r="A553" s="215" t="s">
        <v>3331</v>
      </c>
      <c r="B553" s="207">
        <v>523</v>
      </c>
      <c r="C553" s="215" t="s">
        <v>5455</v>
      </c>
      <c r="D553" s="215" t="s">
        <v>7782</v>
      </c>
      <c r="E553" s="215" t="s">
        <v>7783</v>
      </c>
      <c r="F553" s="215" t="s">
        <v>7755</v>
      </c>
      <c r="G553" s="215" t="s">
        <v>7756</v>
      </c>
      <c r="H553" s="215" t="s">
        <v>6500</v>
      </c>
      <c r="I553" s="300"/>
      <c r="J553" s="300"/>
      <c r="K553" s="300"/>
      <c r="L553" s="300"/>
      <c r="M553" s="300"/>
      <c r="N553" s="300"/>
      <c r="O553" s="300"/>
      <c r="P553" s="300"/>
      <c r="Q553" s="300"/>
      <c r="R553" s="300"/>
      <c r="S553" s="300"/>
      <c r="T553" s="300"/>
      <c r="U553" s="300"/>
      <c r="V553" s="300"/>
      <c r="W553" s="300"/>
      <c r="X553" s="300"/>
      <c r="Y553" s="300"/>
      <c r="Z553" s="300"/>
    </row>
    <row r="554" spans="1:26">
      <c r="A554" s="215" t="s">
        <v>4525</v>
      </c>
      <c r="B554" s="207">
        <v>529</v>
      </c>
      <c r="C554" s="215" t="s">
        <v>6439</v>
      </c>
      <c r="D554" s="215" t="s">
        <v>7784</v>
      </c>
      <c r="E554" s="215" t="s">
        <v>7785</v>
      </c>
      <c r="F554" s="215" t="s">
        <v>7755</v>
      </c>
      <c r="G554" s="215" t="s">
        <v>7756</v>
      </c>
      <c r="H554" s="215" t="s">
        <v>6500</v>
      </c>
      <c r="I554" s="300"/>
      <c r="J554" s="300"/>
      <c r="K554" s="300"/>
      <c r="L554" s="300"/>
      <c r="M554" s="300"/>
      <c r="N554" s="300"/>
      <c r="O554" s="300"/>
      <c r="P554" s="300"/>
      <c r="Q554" s="300"/>
      <c r="R554" s="300"/>
      <c r="S554" s="300"/>
      <c r="T554" s="300"/>
      <c r="U554" s="300"/>
      <c r="V554" s="300"/>
      <c r="W554" s="300"/>
      <c r="X554" s="300"/>
      <c r="Y554" s="300"/>
      <c r="Z554" s="300"/>
    </row>
    <row r="555" spans="1:26">
      <c r="A555" s="215" t="s">
        <v>3937</v>
      </c>
      <c r="B555" s="207">
        <v>533</v>
      </c>
      <c r="C555" s="215" t="s">
        <v>5125</v>
      </c>
      <c r="D555" s="215" t="s">
        <v>7786</v>
      </c>
      <c r="E555" s="215" t="s">
        <v>7787</v>
      </c>
      <c r="F555" s="215" t="s">
        <v>7755</v>
      </c>
      <c r="G555" s="215" t="s">
        <v>7756</v>
      </c>
      <c r="H555" s="215" t="s">
        <v>6500</v>
      </c>
      <c r="I555" s="300"/>
      <c r="J555" s="300"/>
      <c r="K555" s="300"/>
      <c r="L555" s="300"/>
      <c r="M555" s="300"/>
      <c r="N555" s="300"/>
      <c r="O555" s="300"/>
      <c r="P555" s="300"/>
      <c r="Q555" s="300"/>
      <c r="R555" s="300"/>
      <c r="S555" s="300"/>
      <c r="T555" s="300"/>
      <c r="U555" s="300"/>
      <c r="V555" s="300"/>
      <c r="W555" s="300"/>
      <c r="X555" s="300"/>
      <c r="Y555" s="300"/>
      <c r="Z555" s="300"/>
    </row>
    <row r="556" spans="1:26">
      <c r="A556" s="215" t="s">
        <v>7788</v>
      </c>
      <c r="B556" s="207">
        <v>534</v>
      </c>
      <c r="C556" s="215" t="s">
        <v>6465</v>
      </c>
      <c r="D556" s="215" t="s">
        <v>7789</v>
      </c>
      <c r="E556" s="215" t="s">
        <v>7789</v>
      </c>
      <c r="F556" s="215" t="s">
        <v>7755</v>
      </c>
      <c r="G556" s="215" t="s">
        <v>7756</v>
      </c>
      <c r="H556" s="215" t="s">
        <v>6521</v>
      </c>
      <c r="I556" s="300"/>
      <c r="J556" s="300"/>
      <c r="K556" s="300"/>
      <c r="L556" s="300"/>
      <c r="M556" s="300"/>
      <c r="N556" s="300"/>
      <c r="O556" s="300"/>
      <c r="P556" s="300"/>
      <c r="Q556" s="300"/>
      <c r="R556" s="300"/>
      <c r="S556" s="300"/>
      <c r="T556" s="300"/>
      <c r="U556" s="300"/>
      <c r="V556" s="300"/>
      <c r="W556" s="300"/>
      <c r="X556" s="300"/>
      <c r="Y556" s="300"/>
      <c r="Z556" s="300"/>
    </row>
    <row r="557" spans="1:26">
      <c r="A557" s="215" t="s">
        <v>3549</v>
      </c>
      <c r="B557" s="207">
        <v>536</v>
      </c>
      <c r="C557" s="215" t="s">
        <v>5657</v>
      </c>
      <c r="D557" s="215" t="s">
        <v>7790</v>
      </c>
      <c r="E557" s="215" t="s">
        <v>7790</v>
      </c>
      <c r="F557" s="215" t="s">
        <v>7755</v>
      </c>
      <c r="G557" s="215" t="s">
        <v>7756</v>
      </c>
      <c r="H557" s="215" t="s">
        <v>6497</v>
      </c>
      <c r="I557" s="300"/>
      <c r="J557" s="300"/>
      <c r="K557" s="300"/>
      <c r="L557" s="300"/>
      <c r="M557" s="300"/>
      <c r="N557" s="300"/>
      <c r="O557" s="300"/>
      <c r="P557" s="300"/>
      <c r="Q557" s="300"/>
      <c r="R557" s="300"/>
      <c r="S557" s="300"/>
      <c r="T557" s="300"/>
      <c r="U557" s="300"/>
      <c r="V557" s="300"/>
      <c r="W557" s="300"/>
      <c r="X557" s="300"/>
      <c r="Y557" s="300"/>
      <c r="Z557" s="300"/>
    </row>
    <row r="558" spans="1:26">
      <c r="A558" s="215" t="s">
        <v>3573</v>
      </c>
      <c r="B558" s="207">
        <v>538</v>
      </c>
      <c r="C558" s="215" t="s">
        <v>7791</v>
      </c>
      <c r="D558" s="215" t="s">
        <v>7792</v>
      </c>
      <c r="E558" s="215" t="s">
        <v>7793</v>
      </c>
      <c r="F558" s="215" t="s">
        <v>7755</v>
      </c>
      <c r="G558" s="215" t="s">
        <v>7756</v>
      </c>
      <c r="H558" s="215" t="s">
        <v>6500</v>
      </c>
      <c r="I558" s="300"/>
      <c r="J558" s="300"/>
      <c r="K558" s="300"/>
      <c r="L558" s="300"/>
      <c r="M558" s="300"/>
      <c r="N558" s="300"/>
      <c r="O558" s="300"/>
      <c r="P558" s="300"/>
      <c r="Q558" s="300"/>
      <c r="R558" s="300"/>
      <c r="S558" s="300"/>
      <c r="T558" s="300"/>
      <c r="U558" s="300"/>
      <c r="V558" s="300"/>
      <c r="W558" s="300"/>
      <c r="X558" s="300"/>
      <c r="Y558" s="300"/>
      <c r="Z558" s="300"/>
    </row>
    <row r="559" spans="1:26">
      <c r="A559" s="215" t="s">
        <v>3508</v>
      </c>
      <c r="B559" s="207">
        <v>549</v>
      </c>
      <c r="C559" s="215" t="s">
        <v>5614</v>
      </c>
      <c r="D559" s="215" t="s">
        <v>7794</v>
      </c>
      <c r="E559" s="215" t="s">
        <v>7794</v>
      </c>
      <c r="F559" s="215" t="s">
        <v>7755</v>
      </c>
      <c r="G559" s="215" t="s">
        <v>7756</v>
      </c>
      <c r="H559" s="215" t="s">
        <v>6500</v>
      </c>
      <c r="I559" s="300"/>
      <c r="J559" s="300"/>
      <c r="K559" s="300"/>
      <c r="L559" s="300"/>
      <c r="M559" s="300"/>
      <c r="N559" s="300"/>
      <c r="O559" s="300"/>
      <c r="P559" s="300"/>
      <c r="Q559" s="300"/>
      <c r="R559" s="300"/>
      <c r="S559" s="300"/>
      <c r="T559" s="300"/>
      <c r="U559" s="300"/>
      <c r="V559" s="300"/>
      <c r="W559" s="300"/>
      <c r="X559" s="300"/>
      <c r="Y559" s="300"/>
      <c r="Z559" s="300"/>
    </row>
    <row r="560" spans="1:26">
      <c r="A560" s="215" t="s">
        <v>4537</v>
      </c>
      <c r="B560" s="207">
        <v>555</v>
      </c>
      <c r="C560" s="215" t="s">
        <v>6448</v>
      </c>
      <c r="D560" s="215" t="s">
        <v>7795</v>
      </c>
      <c r="E560" s="215" t="s">
        <v>7796</v>
      </c>
      <c r="F560" s="215" t="s">
        <v>7755</v>
      </c>
      <c r="G560" s="215" t="s">
        <v>7756</v>
      </c>
      <c r="H560" s="215" t="s">
        <v>6497</v>
      </c>
      <c r="I560" s="300"/>
      <c r="J560" s="300"/>
      <c r="K560" s="300"/>
      <c r="L560" s="300"/>
      <c r="M560" s="300"/>
      <c r="N560" s="300"/>
      <c r="O560" s="300"/>
      <c r="P560" s="300"/>
      <c r="Q560" s="300"/>
      <c r="R560" s="300"/>
      <c r="S560" s="300"/>
      <c r="T560" s="300"/>
      <c r="U560" s="300"/>
      <c r="V560" s="300"/>
      <c r="W560" s="300"/>
      <c r="X560" s="300"/>
      <c r="Y560" s="300"/>
      <c r="Z560" s="300"/>
    </row>
    <row r="561" spans="1:26">
      <c r="A561" s="215" t="s">
        <v>4112</v>
      </c>
      <c r="B561" s="207">
        <v>556</v>
      </c>
      <c r="C561" s="215" t="s">
        <v>6114</v>
      </c>
      <c r="D561" s="215" t="s">
        <v>7797</v>
      </c>
      <c r="E561" s="215" t="s">
        <v>7798</v>
      </c>
      <c r="F561" s="215" t="s">
        <v>7755</v>
      </c>
      <c r="G561" s="215" t="s">
        <v>7756</v>
      </c>
      <c r="H561" s="215" t="s">
        <v>6504</v>
      </c>
      <c r="I561" s="300"/>
      <c r="J561" s="300"/>
      <c r="K561" s="300"/>
      <c r="L561" s="300"/>
      <c r="M561" s="300"/>
      <c r="N561" s="300"/>
      <c r="O561" s="300"/>
      <c r="P561" s="300"/>
      <c r="Q561" s="300"/>
      <c r="R561" s="300"/>
      <c r="S561" s="300"/>
      <c r="T561" s="300"/>
      <c r="U561" s="300"/>
      <c r="V561" s="300"/>
      <c r="W561" s="300"/>
      <c r="X561" s="300"/>
      <c r="Y561" s="300"/>
      <c r="Z561" s="300"/>
    </row>
    <row r="562" spans="1:26">
      <c r="A562" s="215" t="s">
        <v>4539</v>
      </c>
      <c r="B562" s="207">
        <v>557</v>
      </c>
      <c r="C562" s="215" t="s">
        <v>7799</v>
      </c>
      <c r="D562" s="215" t="s">
        <v>7800</v>
      </c>
      <c r="E562" s="215" t="s">
        <v>7801</v>
      </c>
      <c r="F562" s="215" t="s">
        <v>7755</v>
      </c>
      <c r="G562" s="215" t="s">
        <v>7756</v>
      </c>
      <c r="H562" s="215" t="s">
        <v>6504</v>
      </c>
      <c r="I562" s="300"/>
      <c r="J562" s="300"/>
      <c r="K562" s="300"/>
      <c r="L562" s="300"/>
      <c r="M562" s="300"/>
      <c r="N562" s="300"/>
      <c r="O562" s="300"/>
      <c r="P562" s="300"/>
      <c r="Q562" s="300"/>
      <c r="R562" s="300"/>
      <c r="S562" s="300"/>
      <c r="T562" s="300"/>
      <c r="U562" s="300"/>
      <c r="V562" s="300"/>
      <c r="W562" s="300"/>
      <c r="X562" s="300"/>
      <c r="Y562" s="300"/>
      <c r="Z562" s="300"/>
    </row>
    <row r="563" spans="1:26">
      <c r="A563" s="215" t="s">
        <v>4541</v>
      </c>
      <c r="B563" s="207">
        <v>561</v>
      </c>
      <c r="C563" s="215" t="s">
        <v>6451</v>
      </c>
      <c r="D563" s="215" t="s">
        <v>7802</v>
      </c>
      <c r="E563" s="215" t="s">
        <v>7802</v>
      </c>
      <c r="F563" s="215" t="s">
        <v>7755</v>
      </c>
      <c r="G563" s="215" t="s">
        <v>7756</v>
      </c>
      <c r="H563" s="215" t="s">
        <v>6521</v>
      </c>
      <c r="I563" s="300"/>
      <c r="J563" s="300"/>
      <c r="K563" s="300"/>
      <c r="L563" s="300"/>
      <c r="M563" s="300"/>
      <c r="N563" s="300"/>
      <c r="O563" s="300"/>
      <c r="P563" s="300"/>
      <c r="Q563" s="300"/>
      <c r="R563" s="300"/>
      <c r="S563" s="300"/>
      <c r="T563" s="300"/>
      <c r="U563" s="300"/>
      <c r="V563" s="300"/>
      <c r="W563" s="300"/>
      <c r="X563" s="300"/>
      <c r="Y563" s="300"/>
      <c r="Z563" s="300"/>
    </row>
    <row r="564" spans="1:26">
      <c r="A564" s="215" t="s">
        <v>4558</v>
      </c>
      <c r="B564" s="207">
        <v>564</v>
      </c>
      <c r="C564" s="215" t="s">
        <v>7803</v>
      </c>
      <c r="D564" s="215" t="s">
        <v>7804</v>
      </c>
      <c r="E564" s="215" t="s">
        <v>7804</v>
      </c>
      <c r="F564" s="215" t="s">
        <v>7755</v>
      </c>
      <c r="G564" s="215" t="s">
        <v>7756</v>
      </c>
      <c r="H564" s="215" t="s">
        <v>6521</v>
      </c>
      <c r="I564" s="300"/>
      <c r="J564" s="300"/>
      <c r="K564" s="300"/>
      <c r="L564" s="300"/>
      <c r="M564" s="300"/>
      <c r="N564" s="300"/>
      <c r="O564" s="300"/>
      <c r="P564" s="300"/>
      <c r="Q564" s="300"/>
      <c r="R564" s="300"/>
      <c r="S564" s="300"/>
      <c r="T564" s="300"/>
      <c r="U564" s="300"/>
      <c r="V564" s="300"/>
      <c r="W564" s="300"/>
      <c r="X564" s="300"/>
      <c r="Y564" s="300"/>
      <c r="Z564" s="300"/>
    </row>
    <row r="565" spans="1:26">
      <c r="A565" s="215" t="s">
        <v>7805</v>
      </c>
      <c r="B565" s="207">
        <v>1233</v>
      </c>
      <c r="C565" s="215" t="s">
        <v>5787</v>
      </c>
      <c r="D565" s="215" t="s">
        <v>7806</v>
      </c>
      <c r="E565" s="215" t="s">
        <v>7807</v>
      </c>
      <c r="F565" s="215" t="s">
        <v>7755</v>
      </c>
      <c r="G565" s="215" t="s">
        <v>7756</v>
      </c>
      <c r="H565" s="215" t="s">
        <v>6500</v>
      </c>
      <c r="I565" s="300"/>
      <c r="J565" s="300"/>
      <c r="K565" s="300"/>
      <c r="L565" s="300"/>
      <c r="M565" s="300"/>
      <c r="N565" s="300"/>
      <c r="O565" s="300"/>
      <c r="P565" s="300"/>
      <c r="Q565" s="300"/>
      <c r="R565" s="300"/>
      <c r="S565" s="300"/>
      <c r="T565" s="300"/>
      <c r="U565" s="300"/>
      <c r="V565" s="300"/>
      <c r="W565" s="300"/>
      <c r="X565" s="300"/>
      <c r="Y565" s="300"/>
      <c r="Z565" s="300"/>
    </row>
    <row r="566" spans="1:26">
      <c r="A566" s="215" t="s">
        <v>3490</v>
      </c>
      <c r="B566" s="207">
        <v>1421</v>
      </c>
      <c r="C566" s="215" t="s">
        <v>5599</v>
      </c>
      <c r="D566" s="215" t="s">
        <v>7808</v>
      </c>
      <c r="E566" s="215" t="s">
        <v>7808</v>
      </c>
      <c r="F566" s="215" t="s">
        <v>7755</v>
      </c>
      <c r="G566" s="215" t="s">
        <v>7756</v>
      </c>
      <c r="H566" s="215" t="s">
        <v>6504</v>
      </c>
      <c r="I566" s="300"/>
      <c r="J566" s="300"/>
      <c r="K566" s="300"/>
      <c r="L566" s="300"/>
      <c r="M566" s="300"/>
      <c r="N566" s="300"/>
      <c r="O566" s="300"/>
      <c r="P566" s="300"/>
      <c r="Q566" s="300"/>
      <c r="R566" s="300"/>
      <c r="S566" s="300"/>
      <c r="T566" s="300"/>
      <c r="U566" s="300"/>
      <c r="V566" s="300"/>
      <c r="W566" s="300"/>
      <c r="X566" s="300"/>
      <c r="Y566" s="300"/>
      <c r="Z566" s="300"/>
    </row>
    <row r="567" spans="1:26">
      <c r="A567" s="215" t="s">
        <v>3625</v>
      </c>
      <c r="B567" s="207">
        <v>1422</v>
      </c>
      <c r="C567" s="215" t="s">
        <v>7809</v>
      </c>
      <c r="D567" s="215" t="s">
        <v>7810</v>
      </c>
      <c r="E567" s="215" t="s">
        <v>7810</v>
      </c>
      <c r="F567" s="215" t="s">
        <v>7755</v>
      </c>
      <c r="G567" s="215" t="s">
        <v>7756</v>
      </c>
      <c r="H567" s="215" t="s">
        <v>6504</v>
      </c>
      <c r="I567" s="300"/>
      <c r="J567" s="300"/>
      <c r="K567" s="300"/>
      <c r="L567" s="300"/>
      <c r="M567" s="300"/>
      <c r="N567" s="300"/>
      <c r="O567" s="300"/>
      <c r="P567" s="300"/>
      <c r="Q567" s="300"/>
      <c r="R567" s="300"/>
      <c r="S567" s="300"/>
      <c r="T567" s="300"/>
      <c r="U567" s="300"/>
      <c r="V567" s="300"/>
      <c r="W567" s="300"/>
      <c r="X567" s="300"/>
      <c r="Y567" s="300"/>
      <c r="Z567" s="300"/>
    </row>
    <row r="568" spans="1:26">
      <c r="A568" s="215" t="s">
        <v>3625</v>
      </c>
      <c r="B568" s="207">
        <v>1423</v>
      </c>
      <c r="C568" s="215" t="s">
        <v>7811</v>
      </c>
      <c r="D568" s="215" t="s">
        <v>7812</v>
      </c>
      <c r="E568" s="215" t="s">
        <v>7813</v>
      </c>
      <c r="F568" s="215" t="s">
        <v>7755</v>
      </c>
      <c r="G568" s="215" t="s">
        <v>7756</v>
      </c>
      <c r="H568" s="215" t="s">
        <v>6500</v>
      </c>
      <c r="I568" s="300"/>
      <c r="J568" s="300"/>
      <c r="K568" s="300"/>
      <c r="L568" s="300"/>
      <c r="M568" s="300"/>
      <c r="N568" s="300"/>
      <c r="O568" s="300"/>
      <c r="P568" s="300"/>
      <c r="Q568" s="300"/>
      <c r="R568" s="300"/>
      <c r="S568" s="300"/>
      <c r="T568" s="300"/>
      <c r="U568" s="300"/>
      <c r="V568" s="300"/>
      <c r="W568" s="300"/>
      <c r="X568" s="300"/>
      <c r="Y568" s="300"/>
      <c r="Z568" s="300"/>
    </row>
    <row r="569" spans="1:26">
      <c r="A569" s="215" t="s">
        <v>4046</v>
      </c>
      <c r="B569" s="207">
        <v>1424</v>
      </c>
      <c r="C569" s="215" t="s">
        <v>5632</v>
      </c>
      <c r="D569" s="215" t="s">
        <v>7814</v>
      </c>
      <c r="E569" s="215" t="s">
        <v>7815</v>
      </c>
      <c r="F569" s="215" t="s">
        <v>7755</v>
      </c>
      <c r="G569" s="215" t="s">
        <v>7756</v>
      </c>
      <c r="H569" s="215" t="s">
        <v>6521</v>
      </c>
      <c r="I569" s="300"/>
      <c r="J569" s="300"/>
      <c r="K569" s="300"/>
      <c r="L569" s="300"/>
      <c r="M569" s="300"/>
      <c r="N569" s="300"/>
      <c r="O569" s="300"/>
      <c r="P569" s="300"/>
      <c r="Q569" s="300"/>
      <c r="R569" s="300"/>
      <c r="S569" s="300"/>
      <c r="T569" s="300"/>
      <c r="U569" s="300"/>
      <c r="V569" s="300"/>
      <c r="W569" s="300"/>
      <c r="X569" s="300"/>
      <c r="Y569" s="300"/>
      <c r="Z569" s="300"/>
    </row>
    <row r="570" spans="1:26">
      <c r="A570" s="215" t="s">
        <v>3903</v>
      </c>
      <c r="B570" s="207">
        <v>1425</v>
      </c>
      <c r="C570" s="215" t="s">
        <v>5960</v>
      </c>
      <c r="D570" s="215" t="s">
        <v>7816</v>
      </c>
      <c r="E570" s="215" t="s">
        <v>7816</v>
      </c>
      <c r="F570" s="215" t="s">
        <v>7755</v>
      </c>
      <c r="G570" s="215" t="s">
        <v>7756</v>
      </c>
      <c r="H570" s="215" t="s">
        <v>6500</v>
      </c>
      <c r="I570" s="300"/>
      <c r="J570" s="300"/>
      <c r="K570" s="300"/>
      <c r="L570" s="300"/>
      <c r="M570" s="300"/>
      <c r="N570" s="300"/>
      <c r="O570" s="300"/>
      <c r="P570" s="300"/>
      <c r="Q570" s="300"/>
      <c r="R570" s="300"/>
      <c r="S570" s="300"/>
      <c r="T570" s="300"/>
      <c r="U570" s="300"/>
      <c r="V570" s="300"/>
      <c r="W570" s="300"/>
      <c r="X570" s="300"/>
      <c r="Y570" s="300"/>
      <c r="Z570" s="300"/>
    </row>
    <row r="571" spans="1:26">
      <c r="A571" s="215" t="s">
        <v>4452</v>
      </c>
      <c r="B571" s="207">
        <v>1426</v>
      </c>
      <c r="C571" s="215" t="s">
        <v>5721</v>
      </c>
      <c r="D571" s="215" t="s">
        <v>7817</v>
      </c>
      <c r="E571" s="215" t="s">
        <v>7818</v>
      </c>
      <c r="F571" s="215" t="s">
        <v>7755</v>
      </c>
      <c r="G571" s="215" t="s">
        <v>7756</v>
      </c>
      <c r="H571" s="215" t="s">
        <v>6500</v>
      </c>
      <c r="I571" s="300"/>
      <c r="J571" s="300"/>
      <c r="K571" s="300"/>
      <c r="L571" s="300"/>
      <c r="M571" s="300"/>
      <c r="N571" s="300"/>
      <c r="O571" s="300"/>
      <c r="P571" s="300"/>
      <c r="Q571" s="300"/>
      <c r="R571" s="300"/>
      <c r="S571" s="300"/>
      <c r="T571" s="300"/>
      <c r="U571" s="300"/>
      <c r="V571" s="300"/>
      <c r="W571" s="300"/>
      <c r="X571" s="300"/>
      <c r="Y571" s="300"/>
      <c r="Z571" s="300"/>
    </row>
    <row r="572" spans="1:26">
      <c r="A572" s="215" t="s">
        <v>4510</v>
      </c>
      <c r="B572" s="207">
        <v>1427</v>
      </c>
      <c r="C572" s="215" t="s">
        <v>7819</v>
      </c>
      <c r="D572" s="215" t="s">
        <v>7820</v>
      </c>
      <c r="E572" s="215" t="s">
        <v>7821</v>
      </c>
      <c r="F572" s="215" t="s">
        <v>7755</v>
      </c>
      <c r="G572" s="215" t="s">
        <v>7756</v>
      </c>
      <c r="H572" s="215" t="s">
        <v>6504</v>
      </c>
      <c r="I572" s="300"/>
      <c r="J572" s="300"/>
      <c r="K572" s="300"/>
      <c r="L572" s="300"/>
      <c r="M572" s="300"/>
      <c r="N572" s="300"/>
      <c r="O572" s="300"/>
      <c r="P572" s="300"/>
      <c r="Q572" s="300"/>
      <c r="R572" s="300"/>
      <c r="S572" s="300"/>
      <c r="T572" s="300"/>
      <c r="U572" s="300"/>
      <c r="V572" s="300"/>
      <c r="W572" s="300"/>
      <c r="X572" s="300"/>
      <c r="Y572" s="300"/>
      <c r="Z572" s="300"/>
    </row>
    <row r="573" spans="1:26">
      <c r="A573" s="215" t="s">
        <v>4553</v>
      </c>
      <c r="B573" s="207">
        <v>1428</v>
      </c>
      <c r="C573" s="215" t="s">
        <v>7822</v>
      </c>
      <c r="D573" s="215" t="s">
        <v>7823</v>
      </c>
      <c r="E573" s="215" t="s">
        <v>7824</v>
      </c>
      <c r="F573" s="215" t="s">
        <v>7755</v>
      </c>
      <c r="G573" s="215" t="s">
        <v>7756</v>
      </c>
      <c r="H573" s="215" t="s">
        <v>6504</v>
      </c>
      <c r="I573" s="300"/>
      <c r="J573" s="300"/>
      <c r="K573" s="300"/>
      <c r="L573" s="300"/>
      <c r="M573" s="300"/>
      <c r="N573" s="300"/>
      <c r="O573" s="300"/>
      <c r="P573" s="300"/>
      <c r="Q573" s="300"/>
      <c r="R573" s="300"/>
      <c r="S573" s="300"/>
      <c r="T573" s="300"/>
      <c r="U573" s="300"/>
      <c r="V573" s="300"/>
      <c r="W573" s="300"/>
      <c r="X573" s="300"/>
      <c r="Y573" s="300"/>
      <c r="Z573" s="300"/>
    </row>
    <row r="574" spans="1:26">
      <c r="A574" s="215" t="s">
        <v>4106</v>
      </c>
      <c r="B574" s="207">
        <v>1429</v>
      </c>
      <c r="C574" s="215" t="s">
        <v>6112</v>
      </c>
      <c r="D574" s="215" t="s">
        <v>7825</v>
      </c>
      <c r="E574" s="215" t="s">
        <v>7825</v>
      </c>
      <c r="F574" s="215" t="s">
        <v>7755</v>
      </c>
      <c r="G574" s="215" t="s">
        <v>7756</v>
      </c>
      <c r="H574" s="215" t="s">
        <v>6521</v>
      </c>
      <c r="I574" s="300"/>
      <c r="J574" s="300"/>
      <c r="K574" s="300"/>
      <c r="L574" s="300"/>
      <c r="M574" s="300"/>
      <c r="N574" s="300"/>
      <c r="O574" s="300"/>
      <c r="P574" s="300"/>
      <c r="Q574" s="300"/>
      <c r="R574" s="300"/>
      <c r="S574" s="300"/>
      <c r="T574" s="300"/>
      <c r="U574" s="300"/>
      <c r="V574" s="300"/>
      <c r="W574" s="300"/>
      <c r="X574" s="300"/>
      <c r="Y574" s="300"/>
      <c r="Z574" s="300"/>
    </row>
    <row r="575" spans="1:26">
      <c r="A575" s="215" t="s">
        <v>4093</v>
      </c>
      <c r="B575" s="207">
        <v>1430</v>
      </c>
      <c r="C575" s="215" t="s">
        <v>5821</v>
      </c>
      <c r="D575" s="215" t="s">
        <v>7826</v>
      </c>
      <c r="E575" s="215" t="s">
        <v>7827</v>
      </c>
      <c r="F575" s="215" t="s">
        <v>7755</v>
      </c>
      <c r="G575" s="215" t="s">
        <v>7756</v>
      </c>
      <c r="H575" s="215" t="s">
        <v>6504</v>
      </c>
      <c r="I575" s="300"/>
      <c r="J575" s="300"/>
      <c r="K575" s="300"/>
      <c r="L575" s="300"/>
      <c r="M575" s="300"/>
      <c r="N575" s="300"/>
      <c r="O575" s="300"/>
      <c r="P575" s="300"/>
      <c r="Q575" s="300"/>
      <c r="R575" s="300"/>
      <c r="S575" s="300"/>
      <c r="T575" s="300"/>
      <c r="U575" s="300"/>
      <c r="V575" s="300"/>
      <c r="W575" s="300"/>
      <c r="X575" s="300"/>
      <c r="Y575" s="300"/>
      <c r="Z575" s="300"/>
    </row>
    <row r="576" spans="1:26">
      <c r="A576" s="215" t="s">
        <v>3071</v>
      </c>
      <c r="B576" s="207">
        <v>1431</v>
      </c>
      <c r="C576" s="215" t="s">
        <v>7828</v>
      </c>
      <c r="D576" s="215" t="s">
        <v>7829</v>
      </c>
      <c r="E576" s="215" t="s">
        <v>7830</v>
      </c>
      <c r="F576" s="215" t="s">
        <v>7755</v>
      </c>
      <c r="G576" s="215" t="s">
        <v>7756</v>
      </c>
      <c r="H576" s="215" t="s">
        <v>6500</v>
      </c>
      <c r="I576" s="300"/>
      <c r="J576" s="300"/>
      <c r="K576" s="300"/>
      <c r="L576" s="300"/>
      <c r="M576" s="300"/>
      <c r="N576" s="300"/>
      <c r="O576" s="300"/>
      <c r="P576" s="300"/>
      <c r="Q576" s="300"/>
      <c r="R576" s="300"/>
      <c r="S576" s="300"/>
      <c r="T576" s="300"/>
      <c r="U576" s="300"/>
      <c r="V576" s="300"/>
      <c r="W576" s="300"/>
      <c r="X576" s="300"/>
      <c r="Y576" s="300"/>
      <c r="Z576" s="300"/>
    </row>
    <row r="577" spans="1:26">
      <c r="A577" s="215" t="s">
        <v>7775</v>
      </c>
      <c r="B577" s="207">
        <v>1432</v>
      </c>
      <c r="C577" s="215" t="s">
        <v>7831</v>
      </c>
      <c r="D577" s="215" t="s">
        <v>7832</v>
      </c>
      <c r="E577" s="215" t="s">
        <v>7833</v>
      </c>
      <c r="F577" s="215" t="s">
        <v>7755</v>
      </c>
      <c r="G577" s="215" t="s">
        <v>7756</v>
      </c>
      <c r="H577" s="215" t="s">
        <v>6548</v>
      </c>
      <c r="I577" s="300"/>
      <c r="J577" s="300"/>
      <c r="K577" s="300"/>
      <c r="L577" s="300"/>
      <c r="M577" s="300"/>
      <c r="N577" s="300"/>
      <c r="O577" s="300"/>
      <c r="P577" s="300"/>
      <c r="Q577" s="300"/>
      <c r="R577" s="300"/>
      <c r="S577" s="300"/>
      <c r="T577" s="300"/>
      <c r="U577" s="300"/>
      <c r="V577" s="300"/>
      <c r="W577" s="300"/>
      <c r="X577" s="300"/>
      <c r="Y577" s="300"/>
      <c r="Z577" s="300"/>
    </row>
    <row r="578" spans="1:26">
      <c r="A578" s="215" t="s">
        <v>3271</v>
      </c>
      <c r="B578" s="207">
        <v>1433</v>
      </c>
      <c r="C578" s="215" t="s">
        <v>5397</v>
      </c>
      <c r="D578" s="215" t="s">
        <v>7834</v>
      </c>
      <c r="E578" s="215" t="s">
        <v>7834</v>
      </c>
      <c r="F578" s="215" t="s">
        <v>7755</v>
      </c>
      <c r="G578" s="215" t="s">
        <v>7756</v>
      </c>
      <c r="H578" s="215" t="s">
        <v>6504</v>
      </c>
      <c r="I578" s="300"/>
      <c r="J578" s="300"/>
      <c r="K578" s="300"/>
      <c r="L578" s="300"/>
      <c r="M578" s="300"/>
      <c r="N578" s="300"/>
      <c r="O578" s="300"/>
      <c r="P578" s="300"/>
      <c r="Q578" s="300"/>
      <c r="R578" s="300"/>
      <c r="S578" s="300"/>
      <c r="T578" s="300"/>
      <c r="U578" s="300"/>
      <c r="V578" s="300"/>
      <c r="W578" s="300"/>
      <c r="X578" s="300"/>
      <c r="Y578" s="300"/>
      <c r="Z578" s="300"/>
    </row>
    <row r="579" spans="1:26">
      <c r="A579" s="215" t="s">
        <v>4138</v>
      </c>
      <c r="B579" s="207">
        <v>1461</v>
      </c>
      <c r="C579" s="215" t="s">
        <v>6130</v>
      </c>
      <c r="D579" s="215" t="s">
        <v>7835</v>
      </c>
      <c r="E579" s="215" t="s">
        <v>7835</v>
      </c>
      <c r="F579" s="215" t="s">
        <v>7755</v>
      </c>
      <c r="G579" s="215" t="s">
        <v>7756</v>
      </c>
      <c r="H579" s="215" t="s">
        <v>6500</v>
      </c>
      <c r="I579" s="300"/>
      <c r="J579" s="300"/>
      <c r="K579" s="300"/>
      <c r="L579" s="300"/>
      <c r="M579" s="300"/>
      <c r="N579" s="300"/>
      <c r="O579" s="300"/>
      <c r="P579" s="300"/>
      <c r="Q579" s="300"/>
      <c r="R579" s="300"/>
      <c r="S579" s="300"/>
      <c r="T579" s="300"/>
      <c r="U579" s="300"/>
      <c r="V579" s="300"/>
      <c r="W579" s="300"/>
      <c r="X579" s="300"/>
      <c r="Y579" s="300"/>
      <c r="Z579" s="300"/>
    </row>
    <row r="580" spans="1:26">
      <c r="A580" s="215" t="s">
        <v>4454</v>
      </c>
      <c r="B580" s="207">
        <v>1479</v>
      </c>
      <c r="C580" s="215" t="s">
        <v>7836</v>
      </c>
      <c r="D580" s="215" t="s">
        <v>7837</v>
      </c>
      <c r="E580" s="215" t="s">
        <v>7838</v>
      </c>
      <c r="F580" s="215" t="s">
        <v>7755</v>
      </c>
      <c r="G580" s="215" t="s">
        <v>7756</v>
      </c>
      <c r="H580" s="215" t="s">
        <v>6521</v>
      </c>
      <c r="I580" s="300"/>
      <c r="J580" s="300"/>
      <c r="K580" s="300"/>
      <c r="L580" s="300"/>
      <c r="M580" s="300"/>
      <c r="N580" s="300"/>
      <c r="O580" s="300"/>
      <c r="P580" s="300"/>
      <c r="Q580" s="300"/>
      <c r="R580" s="300"/>
      <c r="S580" s="300"/>
      <c r="T580" s="300"/>
      <c r="U580" s="300"/>
      <c r="V580" s="300"/>
      <c r="W580" s="300"/>
      <c r="X580" s="300"/>
      <c r="Y580" s="300"/>
      <c r="Z580" s="300"/>
    </row>
    <row r="581" spans="1:26">
      <c r="A581" s="215" t="s">
        <v>3947</v>
      </c>
      <c r="B581" s="207">
        <v>1496</v>
      </c>
      <c r="C581" s="215" t="s">
        <v>7839</v>
      </c>
      <c r="D581" s="215" t="s">
        <v>7840</v>
      </c>
      <c r="E581" s="215" t="s">
        <v>7841</v>
      </c>
      <c r="F581" s="215" t="s">
        <v>7755</v>
      </c>
      <c r="G581" s="215" t="s">
        <v>7756</v>
      </c>
      <c r="H581" s="215" t="s">
        <v>6500</v>
      </c>
      <c r="I581" s="300"/>
      <c r="J581" s="300"/>
      <c r="K581" s="300"/>
      <c r="L581" s="300"/>
      <c r="M581" s="300"/>
      <c r="N581" s="300"/>
      <c r="O581" s="300"/>
      <c r="P581" s="300"/>
      <c r="Q581" s="300"/>
      <c r="R581" s="300"/>
      <c r="S581" s="300"/>
      <c r="T581" s="300"/>
      <c r="U581" s="300"/>
      <c r="V581" s="300"/>
      <c r="W581" s="300"/>
      <c r="X581" s="300"/>
      <c r="Y581" s="300"/>
      <c r="Z581" s="300"/>
    </row>
    <row r="582" spans="1:26">
      <c r="A582" s="215" t="s">
        <v>2932</v>
      </c>
      <c r="B582" s="207">
        <v>1501</v>
      </c>
      <c r="C582" s="215" t="s">
        <v>5090</v>
      </c>
      <c r="D582" s="215" t="s">
        <v>7842</v>
      </c>
      <c r="E582" s="215" t="s">
        <v>7842</v>
      </c>
      <c r="F582" s="215" t="s">
        <v>7755</v>
      </c>
      <c r="G582" s="215" t="s">
        <v>7756</v>
      </c>
      <c r="H582" s="215" t="s">
        <v>6500</v>
      </c>
      <c r="I582" s="300"/>
      <c r="J582" s="300"/>
      <c r="K582" s="300"/>
      <c r="L582" s="300"/>
      <c r="M582" s="300"/>
      <c r="N582" s="300"/>
      <c r="O582" s="300"/>
      <c r="P582" s="300"/>
      <c r="Q582" s="300"/>
      <c r="R582" s="300"/>
      <c r="S582" s="300"/>
      <c r="T582" s="300"/>
      <c r="U582" s="300"/>
      <c r="V582" s="300"/>
      <c r="W582" s="300"/>
      <c r="X582" s="300"/>
      <c r="Y582" s="300"/>
      <c r="Z582" s="300"/>
    </row>
    <row r="583" spans="1:26">
      <c r="A583" s="215"/>
      <c r="B583" s="207">
        <v>1502</v>
      </c>
      <c r="C583" s="215" t="s">
        <v>7843</v>
      </c>
      <c r="D583" s="215" t="s">
        <v>7844</v>
      </c>
      <c r="E583" s="215" t="s">
        <v>7844</v>
      </c>
      <c r="F583" s="215" t="s">
        <v>7755</v>
      </c>
      <c r="G583" s="215" t="s">
        <v>7756</v>
      </c>
      <c r="H583" s="215" t="s">
        <v>6500</v>
      </c>
      <c r="I583" s="300"/>
      <c r="J583" s="300"/>
      <c r="K583" s="300"/>
      <c r="L583" s="300"/>
      <c r="M583" s="300"/>
      <c r="N583" s="300"/>
      <c r="O583" s="300"/>
      <c r="P583" s="300"/>
      <c r="Q583" s="300"/>
      <c r="R583" s="300"/>
      <c r="S583" s="300"/>
      <c r="T583" s="300"/>
      <c r="U583" s="300"/>
      <c r="V583" s="300"/>
      <c r="W583" s="300"/>
      <c r="X583" s="300"/>
      <c r="Y583" s="300"/>
      <c r="Z583" s="300"/>
    </row>
    <row r="584" spans="1:26">
      <c r="A584" s="215" t="s">
        <v>4189</v>
      </c>
      <c r="B584" s="207">
        <v>2026</v>
      </c>
      <c r="C584" s="215" t="s">
        <v>6177</v>
      </c>
      <c r="D584" s="215" t="s">
        <v>7845</v>
      </c>
      <c r="E584" s="215" t="s">
        <v>7845</v>
      </c>
      <c r="F584" s="215" t="s">
        <v>7755</v>
      </c>
      <c r="G584" s="215" t="s">
        <v>7756</v>
      </c>
      <c r="H584" s="215" t="s">
        <v>6521</v>
      </c>
      <c r="I584" s="300"/>
      <c r="J584" s="300"/>
      <c r="K584" s="300"/>
      <c r="L584" s="300"/>
      <c r="M584" s="300"/>
      <c r="N584" s="300"/>
      <c r="O584" s="300"/>
      <c r="P584" s="300"/>
      <c r="Q584" s="300"/>
      <c r="R584" s="300"/>
      <c r="S584" s="300"/>
      <c r="T584" s="300"/>
      <c r="U584" s="300"/>
      <c r="V584" s="300"/>
      <c r="W584" s="300"/>
      <c r="X584" s="300"/>
      <c r="Y584" s="300"/>
      <c r="Z584" s="300"/>
    </row>
    <row r="585" spans="1:26">
      <c r="A585" s="215" t="s">
        <v>4195</v>
      </c>
      <c r="B585" s="207">
        <v>2027</v>
      </c>
      <c r="C585" s="215" t="s">
        <v>6180</v>
      </c>
      <c r="D585" s="215" t="s">
        <v>7846</v>
      </c>
      <c r="E585" s="215" t="s">
        <v>7847</v>
      </c>
      <c r="F585" s="215" t="s">
        <v>7755</v>
      </c>
      <c r="G585" s="215" t="s">
        <v>7756</v>
      </c>
      <c r="H585" s="215" t="s">
        <v>6521</v>
      </c>
      <c r="I585" s="300"/>
      <c r="J585" s="300"/>
      <c r="K585" s="300"/>
      <c r="L585" s="300"/>
      <c r="M585" s="300"/>
      <c r="N585" s="300"/>
      <c r="O585" s="300"/>
      <c r="P585" s="300"/>
      <c r="Q585" s="300"/>
      <c r="R585" s="300"/>
      <c r="S585" s="300"/>
      <c r="T585" s="300"/>
      <c r="U585" s="300"/>
      <c r="V585" s="300"/>
      <c r="W585" s="300"/>
      <c r="X585" s="300"/>
      <c r="Y585" s="300"/>
      <c r="Z585" s="300"/>
    </row>
    <row r="586" spans="1:26">
      <c r="A586" s="215" t="s">
        <v>4312</v>
      </c>
      <c r="B586" s="207">
        <v>2028</v>
      </c>
      <c r="C586" s="215" t="s">
        <v>6269</v>
      </c>
      <c r="D586" s="215" t="s">
        <v>7848</v>
      </c>
      <c r="E586" s="215" t="s">
        <v>7848</v>
      </c>
      <c r="F586" s="215" t="s">
        <v>7755</v>
      </c>
      <c r="G586" s="215" t="s">
        <v>7756</v>
      </c>
      <c r="H586" s="215" t="s">
        <v>6521</v>
      </c>
      <c r="I586" s="300"/>
      <c r="J586" s="300"/>
      <c r="K586" s="300"/>
      <c r="L586" s="300"/>
      <c r="M586" s="300"/>
      <c r="N586" s="300"/>
      <c r="O586" s="300"/>
      <c r="P586" s="300"/>
      <c r="Q586" s="300"/>
      <c r="R586" s="300"/>
      <c r="S586" s="300"/>
      <c r="T586" s="300"/>
      <c r="U586" s="300"/>
      <c r="V586" s="300"/>
      <c r="W586" s="300"/>
      <c r="X586" s="300"/>
      <c r="Y586" s="300"/>
      <c r="Z586" s="300"/>
    </row>
    <row r="587" spans="1:26">
      <c r="A587" s="215" t="s">
        <v>2825</v>
      </c>
      <c r="B587" s="207">
        <v>2029</v>
      </c>
      <c r="C587" s="215" t="s">
        <v>4988</v>
      </c>
      <c r="D587" s="215" t="s">
        <v>7849</v>
      </c>
      <c r="E587" s="215" t="s">
        <v>7850</v>
      </c>
      <c r="F587" s="215" t="s">
        <v>7755</v>
      </c>
      <c r="G587" s="215" t="s">
        <v>7756</v>
      </c>
      <c r="H587" s="215" t="s">
        <v>6521</v>
      </c>
      <c r="I587" s="300"/>
      <c r="J587" s="300"/>
      <c r="K587" s="300"/>
      <c r="L587" s="300"/>
      <c r="M587" s="300"/>
      <c r="N587" s="300"/>
      <c r="O587" s="300"/>
      <c r="P587" s="300"/>
      <c r="Q587" s="300"/>
      <c r="R587" s="300"/>
      <c r="S587" s="300"/>
      <c r="T587" s="300"/>
      <c r="U587" s="300"/>
      <c r="V587" s="300"/>
      <c r="W587" s="300"/>
      <c r="X587" s="300"/>
      <c r="Y587" s="300"/>
      <c r="Z587" s="300"/>
    </row>
    <row r="588" spans="1:26">
      <c r="A588" s="215" t="s">
        <v>2666</v>
      </c>
      <c r="B588" s="207">
        <v>2030</v>
      </c>
      <c r="C588" s="215" t="s">
        <v>4838</v>
      </c>
      <c r="D588" s="215" t="s">
        <v>7851</v>
      </c>
      <c r="E588" s="215" t="s">
        <v>2666</v>
      </c>
      <c r="F588" s="215" t="s">
        <v>7755</v>
      </c>
      <c r="G588" s="215" t="s">
        <v>7756</v>
      </c>
      <c r="H588" s="215" t="s">
        <v>6521</v>
      </c>
      <c r="I588" s="300"/>
      <c r="J588" s="300"/>
      <c r="K588" s="300"/>
      <c r="L588" s="300"/>
      <c r="M588" s="300"/>
      <c r="N588" s="300"/>
      <c r="O588" s="300"/>
      <c r="P588" s="300"/>
      <c r="Q588" s="300"/>
      <c r="R588" s="300"/>
      <c r="S588" s="300"/>
      <c r="T588" s="300"/>
      <c r="U588" s="300"/>
      <c r="V588" s="300"/>
      <c r="W588" s="300"/>
      <c r="X588" s="300"/>
      <c r="Y588" s="300"/>
      <c r="Z588" s="300"/>
    </row>
    <row r="589" spans="1:26">
      <c r="A589" s="215" t="s">
        <v>3976</v>
      </c>
      <c r="B589" s="207">
        <v>2031</v>
      </c>
      <c r="C589" s="215" t="s">
        <v>6012</v>
      </c>
      <c r="D589" s="215" t="s">
        <v>7852</v>
      </c>
      <c r="E589" s="215" t="s">
        <v>7852</v>
      </c>
      <c r="F589" s="215" t="s">
        <v>7755</v>
      </c>
      <c r="G589" s="215" t="s">
        <v>7756</v>
      </c>
      <c r="H589" s="215" t="s">
        <v>6521</v>
      </c>
      <c r="I589" s="300"/>
      <c r="J589" s="300"/>
      <c r="K589" s="300"/>
      <c r="L589" s="300"/>
      <c r="M589" s="300"/>
      <c r="N589" s="300"/>
      <c r="O589" s="300"/>
      <c r="P589" s="300"/>
      <c r="Q589" s="300"/>
      <c r="R589" s="300"/>
      <c r="S589" s="300"/>
      <c r="T589" s="300"/>
      <c r="U589" s="300"/>
      <c r="V589" s="300"/>
      <c r="W589" s="300"/>
      <c r="X589" s="300"/>
      <c r="Y589" s="300"/>
      <c r="Z589" s="300"/>
    </row>
    <row r="590" spans="1:26">
      <c r="A590" s="215" t="s">
        <v>3979</v>
      </c>
      <c r="B590" s="207">
        <v>2032</v>
      </c>
      <c r="C590" s="215" t="s">
        <v>6014</v>
      </c>
      <c r="D590" s="215" t="s">
        <v>7853</v>
      </c>
      <c r="E590" s="215" t="s">
        <v>7853</v>
      </c>
      <c r="F590" s="215" t="s">
        <v>7755</v>
      </c>
      <c r="G590" s="215" t="s">
        <v>7756</v>
      </c>
      <c r="H590" s="215" t="s">
        <v>6521</v>
      </c>
      <c r="I590" s="300"/>
      <c r="J590" s="300"/>
      <c r="K590" s="300"/>
      <c r="L590" s="300"/>
      <c r="M590" s="300"/>
      <c r="N590" s="300"/>
      <c r="O590" s="300"/>
      <c r="P590" s="300"/>
      <c r="Q590" s="300"/>
      <c r="R590" s="300"/>
      <c r="S590" s="300"/>
      <c r="T590" s="300"/>
      <c r="U590" s="300"/>
      <c r="V590" s="300"/>
      <c r="W590" s="300"/>
      <c r="X590" s="300"/>
      <c r="Y590" s="300"/>
      <c r="Z590" s="300"/>
    </row>
    <row r="591" spans="1:26">
      <c r="A591" s="215" t="s">
        <v>3068</v>
      </c>
      <c r="B591" s="207">
        <v>2033</v>
      </c>
      <c r="C591" s="215" t="s">
        <v>5203</v>
      </c>
      <c r="D591" s="215" t="s">
        <v>7854</v>
      </c>
      <c r="E591" s="215" t="s">
        <v>7855</v>
      </c>
      <c r="F591" s="215" t="s">
        <v>7755</v>
      </c>
      <c r="G591" s="215" t="s">
        <v>7756</v>
      </c>
      <c r="H591" s="215" t="s">
        <v>6521</v>
      </c>
      <c r="I591" s="300"/>
      <c r="J591" s="300"/>
      <c r="K591" s="300"/>
      <c r="L591" s="300"/>
      <c r="M591" s="300"/>
      <c r="N591" s="300"/>
      <c r="O591" s="300"/>
      <c r="P591" s="300"/>
      <c r="Q591" s="300"/>
      <c r="R591" s="300"/>
      <c r="S591" s="300"/>
      <c r="T591" s="300"/>
      <c r="U591" s="300"/>
      <c r="V591" s="300"/>
      <c r="W591" s="300"/>
      <c r="X591" s="300"/>
      <c r="Y591" s="300"/>
      <c r="Z591" s="300"/>
    </row>
    <row r="592" spans="1:26">
      <c r="A592" s="215" t="s">
        <v>4319</v>
      </c>
      <c r="B592" s="207">
        <v>2034</v>
      </c>
      <c r="C592" s="215" t="s">
        <v>6276</v>
      </c>
      <c r="D592" s="215" t="s">
        <v>7856</v>
      </c>
      <c r="E592" s="215" t="s">
        <v>7856</v>
      </c>
      <c r="F592" s="215" t="s">
        <v>7755</v>
      </c>
      <c r="G592" s="215" t="s">
        <v>7756</v>
      </c>
      <c r="H592" s="215" t="s">
        <v>6521</v>
      </c>
      <c r="I592" s="300"/>
      <c r="J592" s="300"/>
      <c r="K592" s="300"/>
      <c r="L592" s="300"/>
      <c r="M592" s="300"/>
      <c r="N592" s="300"/>
      <c r="O592" s="300"/>
      <c r="P592" s="300"/>
      <c r="Q592" s="300"/>
      <c r="R592" s="300"/>
      <c r="S592" s="300"/>
      <c r="T592" s="300"/>
      <c r="U592" s="300"/>
      <c r="V592" s="300"/>
      <c r="W592" s="300"/>
      <c r="X592" s="300"/>
      <c r="Y592" s="300"/>
      <c r="Z592" s="300"/>
    </row>
    <row r="593" spans="1:26">
      <c r="A593" s="215" t="s">
        <v>4494</v>
      </c>
      <c r="B593" s="207">
        <v>2035</v>
      </c>
      <c r="C593" s="215" t="s">
        <v>6413</v>
      </c>
      <c r="D593" s="215" t="s">
        <v>7857</v>
      </c>
      <c r="E593" s="215" t="s">
        <v>7857</v>
      </c>
      <c r="F593" s="215" t="s">
        <v>7755</v>
      </c>
      <c r="G593" s="215" t="s">
        <v>7756</v>
      </c>
      <c r="H593" s="215" t="s">
        <v>6504</v>
      </c>
      <c r="I593" s="300"/>
      <c r="J593" s="300"/>
      <c r="K593" s="300"/>
      <c r="L593" s="300"/>
      <c r="M593" s="300"/>
      <c r="N593" s="300"/>
      <c r="O593" s="300"/>
      <c r="P593" s="300"/>
      <c r="Q593" s="300"/>
      <c r="R593" s="300"/>
      <c r="S593" s="300"/>
      <c r="T593" s="300"/>
      <c r="U593" s="300"/>
      <c r="V593" s="300"/>
      <c r="W593" s="300"/>
      <c r="X593" s="300"/>
      <c r="Y593" s="300"/>
      <c r="Z593" s="300"/>
    </row>
    <row r="594" spans="1:26">
      <c r="A594" s="215" t="s">
        <v>7858</v>
      </c>
      <c r="B594" s="207">
        <v>2036</v>
      </c>
      <c r="C594" s="215" t="s">
        <v>7859</v>
      </c>
      <c r="D594" s="215" t="s">
        <v>7860</v>
      </c>
      <c r="E594" s="215" t="s">
        <v>7861</v>
      </c>
      <c r="F594" s="215" t="s">
        <v>7755</v>
      </c>
      <c r="G594" s="215" t="s">
        <v>7756</v>
      </c>
      <c r="H594" s="215" t="s">
        <v>6497</v>
      </c>
      <c r="I594" s="300"/>
      <c r="J594" s="300"/>
      <c r="K594" s="300"/>
      <c r="L594" s="300"/>
      <c r="M594" s="300"/>
      <c r="N594" s="300"/>
      <c r="O594" s="300"/>
      <c r="P594" s="300"/>
      <c r="Q594" s="300"/>
      <c r="R594" s="300"/>
      <c r="S594" s="300"/>
      <c r="T594" s="300"/>
      <c r="U594" s="300"/>
      <c r="V594" s="300"/>
      <c r="W594" s="300"/>
      <c r="X594" s="300"/>
      <c r="Y594" s="300"/>
      <c r="Z594" s="300"/>
    </row>
    <row r="595" spans="1:26">
      <c r="A595" s="215" t="s">
        <v>2967</v>
      </c>
      <c r="B595" s="207">
        <v>2037</v>
      </c>
      <c r="C595" s="215" t="s">
        <v>5117</v>
      </c>
      <c r="D595" s="215" t="s">
        <v>7862</v>
      </c>
      <c r="E595" s="215" t="s">
        <v>7863</v>
      </c>
      <c r="F595" s="215" t="s">
        <v>7755</v>
      </c>
      <c r="G595" s="215" t="s">
        <v>7756</v>
      </c>
      <c r="H595" s="215" t="s">
        <v>6497</v>
      </c>
      <c r="I595" s="300"/>
      <c r="J595" s="300"/>
      <c r="K595" s="300"/>
      <c r="L595" s="300"/>
      <c r="M595" s="300"/>
      <c r="N595" s="300"/>
      <c r="O595" s="300"/>
      <c r="P595" s="300"/>
      <c r="Q595" s="300"/>
      <c r="R595" s="300"/>
      <c r="S595" s="300"/>
      <c r="T595" s="300"/>
      <c r="U595" s="300"/>
      <c r="V595" s="300"/>
      <c r="W595" s="300"/>
      <c r="X595" s="300"/>
      <c r="Y595" s="300"/>
      <c r="Z595" s="300"/>
    </row>
    <row r="596" spans="1:26">
      <c r="A596" s="215" t="s">
        <v>4176</v>
      </c>
      <c r="B596" s="207">
        <v>2039</v>
      </c>
      <c r="C596" s="215" t="s">
        <v>6166</v>
      </c>
      <c r="D596" s="215" t="s">
        <v>7864</v>
      </c>
      <c r="E596" s="215" t="s">
        <v>7864</v>
      </c>
      <c r="F596" s="215" t="s">
        <v>7755</v>
      </c>
      <c r="G596" s="215" t="s">
        <v>7756</v>
      </c>
      <c r="H596" s="215" t="s">
        <v>6497</v>
      </c>
      <c r="I596" s="300"/>
      <c r="J596" s="300"/>
      <c r="K596" s="300"/>
      <c r="L596" s="300"/>
      <c r="M596" s="300"/>
      <c r="N596" s="300"/>
      <c r="O596" s="300"/>
      <c r="P596" s="300"/>
      <c r="Q596" s="300"/>
      <c r="R596" s="300"/>
      <c r="S596" s="300"/>
      <c r="T596" s="300"/>
      <c r="U596" s="300"/>
      <c r="V596" s="300"/>
      <c r="W596" s="300"/>
      <c r="X596" s="300"/>
      <c r="Y596" s="300"/>
      <c r="Z596" s="300"/>
    </row>
    <row r="597" spans="1:26">
      <c r="A597" s="215" t="s">
        <v>4481</v>
      </c>
      <c r="B597" s="207">
        <v>2040</v>
      </c>
      <c r="C597" s="215" t="s">
        <v>6407</v>
      </c>
      <c r="D597" s="215" t="s">
        <v>7865</v>
      </c>
      <c r="E597" s="215" t="s">
        <v>7865</v>
      </c>
      <c r="F597" s="215" t="s">
        <v>7755</v>
      </c>
      <c r="G597" s="215" t="s">
        <v>7756</v>
      </c>
      <c r="H597" s="215" t="s">
        <v>6497</v>
      </c>
      <c r="I597" s="300"/>
      <c r="J597" s="300"/>
      <c r="K597" s="300"/>
      <c r="L597" s="300"/>
      <c r="M597" s="300"/>
      <c r="N597" s="300"/>
      <c r="O597" s="300"/>
      <c r="P597" s="300"/>
      <c r="Q597" s="300"/>
      <c r="R597" s="300"/>
      <c r="S597" s="300"/>
      <c r="T597" s="300"/>
      <c r="U597" s="300"/>
      <c r="V597" s="300"/>
      <c r="W597" s="300"/>
      <c r="X597" s="300"/>
      <c r="Y597" s="300"/>
      <c r="Z597" s="300"/>
    </row>
    <row r="598" spans="1:26">
      <c r="A598" s="215" t="s">
        <v>4147</v>
      </c>
      <c r="B598" s="207">
        <v>2041</v>
      </c>
      <c r="C598" s="215" t="s">
        <v>6136</v>
      </c>
      <c r="D598" s="215" t="s">
        <v>7866</v>
      </c>
      <c r="E598" s="215" t="s">
        <v>7866</v>
      </c>
      <c r="F598" s="215" t="s">
        <v>7755</v>
      </c>
      <c r="G598" s="215" t="s">
        <v>7756</v>
      </c>
      <c r="H598" s="215" t="s">
        <v>6497</v>
      </c>
      <c r="I598" s="300"/>
      <c r="J598" s="300"/>
      <c r="K598" s="300"/>
      <c r="L598" s="300"/>
      <c r="M598" s="300"/>
      <c r="N598" s="300"/>
      <c r="O598" s="300"/>
      <c r="P598" s="300"/>
      <c r="Q598" s="300"/>
      <c r="R598" s="300"/>
      <c r="S598" s="300"/>
      <c r="T598" s="300"/>
      <c r="U598" s="300"/>
      <c r="V598" s="300"/>
      <c r="W598" s="300"/>
      <c r="X598" s="300"/>
      <c r="Y598" s="300"/>
      <c r="Z598" s="300"/>
    </row>
    <row r="599" spans="1:26">
      <c r="A599" s="215" t="s">
        <v>2899</v>
      </c>
      <c r="B599" s="207">
        <v>2042</v>
      </c>
      <c r="C599" s="215" t="s">
        <v>5061</v>
      </c>
      <c r="D599" s="215" t="s">
        <v>7867</v>
      </c>
      <c r="E599" s="215" t="s">
        <v>7867</v>
      </c>
      <c r="F599" s="215" t="s">
        <v>7755</v>
      </c>
      <c r="G599" s="215" t="s">
        <v>7756</v>
      </c>
      <c r="H599" s="215" t="s">
        <v>6548</v>
      </c>
      <c r="I599" s="300"/>
      <c r="J599" s="300"/>
      <c r="K599" s="300"/>
      <c r="L599" s="300"/>
      <c r="M599" s="300"/>
      <c r="N599" s="300"/>
      <c r="O599" s="300"/>
      <c r="P599" s="300"/>
      <c r="Q599" s="300"/>
      <c r="R599" s="300"/>
      <c r="S599" s="300"/>
      <c r="T599" s="300"/>
      <c r="U599" s="300"/>
      <c r="V599" s="300"/>
      <c r="W599" s="300"/>
      <c r="X599" s="300"/>
      <c r="Y599" s="300"/>
      <c r="Z599" s="300"/>
    </row>
    <row r="600" spans="1:26">
      <c r="A600" s="215" t="s">
        <v>2899</v>
      </c>
      <c r="B600" s="207">
        <v>2043</v>
      </c>
      <c r="C600" s="215" t="s">
        <v>5062</v>
      </c>
      <c r="D600" s="215" t="s">
        <v>7868</v>
      </c>
      <c r="E600" s="215" t="s">
        <v>7868</v>
      </c>
      <c r="F600" s="215" t="s">
        <v>7755</v>
      </c>
      <c r="G600" s="215" t="s">
        <v>7756</v>
      </c>
      <c r="H600" s="215" t="s">
        <v>6548</v>
      </c>
      <c r="I600" s="300"/>
      <c r="J600" s="300"/>
      <c r="K600" s="300"/>
      <c r="L600" s="300"/>
      <c r="M600" s="300"/>
      <c r="N600" s="300"/>
      <c r="O600" s="300"/>
      <c r="P600" s="300"/>
      <c r="Q600" s="300"/>
      <c r="R600" s="300"/>
      <c r="S600" s="300"/>
      <c r="T600" s="300"/>
      <c r="U600" s="300"/>
      <c r="V600" s="300"/>
      <c r="W600" s="300"/>
      <c r="X600" s="300"/>
      <c r="Y600" s="300"/>
      <c r="Z600" s="300"/>
    </row>
    <row r="601" spans="1:26">
      <c r="A601" s="215" t="s">
        <v>3961</v>
      </c>
      <c r="B601" s="207">
        <v>2044</v>
      </c>
      <c r="C601" s="215" t="s">
        <v>5994</v>
      </c>
      <c r="D601" s="215" t="s">
        <v>7869</v>
      </c>
      <c r="E601" s="215" t="s">
        <v>7869</v>
      </c>
      <c r="F601" s="215" t="s">
        <v>7755</v>
      </c>
      <c r="G601" s="215" t="s">
        <v>7756</v>
      </c>
      <c r="H601" s="215" t="s">
        <v>6548</v>
      </c>
      <c r="I601" s="300"/>
      <c r="J601" s="300"/>
      <c r="K601" s="300"/>
      <c r="L601" s="300"/>
      <c r="M601" s="300"/>
      <c r="N601" s="300"/>
      <c r="O601" s="300"/>
      <c r="P601" s="300"/>
      <c r="Q601" s="300"/>
      <c r="R601" s="300"/>
      <c r="S601" s="300"/>
      <c r="T601" s="300"/>
      <c r="U601" s="300"/>
      <c r="V601" s="300"/>
      <c r="W601" s="300"/>
      <c r="X601" s="300"/>
      <c r="Y601" s="300"/>
      <c r="Z601" s="300"/>
    </row>
    <row r="602" spans="1:26">
      <c r="A602" s="215" t="s">
        <v>3961</v>
      </c>
      <c r="B602" s="207">
        <v>2045</v>
      </c>
      <c r="C602" s="215" t="s">
        <v>5993</v>
      </c>
      <c r="D602" s="215" t="s">
        <v>7870</v>
      </c>
      <c r="E602" s="215" t="s">
        <v>7870</v>
      </c>
      <c r="F602" s="215" t="s">
        <v>7755</v>
      </c>
      <c r="G602" s="215" t="s">
        <v>7756</v>
      </c>
      <c r="H602" s="215" t="s">
        <v>6548</v>
      </c>
      <c r="I602" s="300"/>
      <c r="J602" s="300"/>
      <c r="K602" s="300"/>
      <c r="L602" s="300"/>
      <c r="M602" s="300"/>
      <c r="N602" s="300"/>
      <c r="O602" s="300"/>
      <c r="P602" s="300"/>
      <c r="Q602" s="300"/>
      <c r="R602" s="300"/>
      <c r="S602" s="300"/>
      <c r="T602" s="300"/>
      <c r="U602" s="300"/>
      <c r="V602" s="300"/>
      <c r="W602" s="300"/>
      <c r="X602" s="300"/>
      <c r="Y602" s="300"/>
      <c r="Z602" s="300"/>
    </row>
    <row r="603" spans="1:26">
      <c r="A603" s="215" t="s">
        <v>4384</v>
      </c>
      <c r="B603" s="207">
        <v>2046</v>
      </c>
      <c r="C603" s="215" t="s">
        <v>6328</v>
      </c>
      <c r="D603" s="215" t="s">
        <v>7871</v>
      </c>
      <c r="E603" s="215" t="s">
        <v>7871</v>
      </c>
      <c r="F603" s="215" t="s">
        <v>7755</v>
      </c>
      <c r="G603" s="215" t="s">
        <v>7756</v>
      </c>
      <c r="H603" s="215" t="s">
        <v>6548</v>
      </c>
      <c r="I603" s="300"/>
      <c r="J603" s="300"/>
      <c r="K603" s="300"/>
      <c r="L603" s="300"/>
      <c r="M603" s="300"/>
      <c r="N603" s="300"/>
      <c r="O603" s="300"/>
      <c r="P603" s="300"/>
      <c r="Q603" s="300"/>
      <c r="R603" s="300"/>
      <c r="S603" s="300"/>
      <c r="T603" s="300"/>
      <c r="U603" s="300"/>
      <c r="V603" s="300"/>
      <c r="W603" s="300"/>
      <c r="X603" s="300"/>
      <c r="Y603" s="300"/>
      <c r="Z603" s="300"/>
    </row>
    <row r="604" spans="1:26">
      <c r="A604" s="215" t="s">
        <v>4384</v>
      </c>
      <c r="B604" s="207">
        <v>2047</v>
      </c>
      <c r="C604" s="215" t="s">
        <v>6329</v>
      </c>
      <c r="D604" s="215" t="s">
        <v>7872</v>
      </c>
      <c r="E604" s="215" t="s">
        <v>7872</v>
      </c>
      <c r="F604" s="215" t="s">
        <v>7755</v>
      </c>
      <c r="G604" s="215" t="s">
        <v>7756</v>
      </c>
      <c r="H604" s="215" t="s">
        <v>6497</v>
      </c>
      <c r="I604" s="300"/>
      <c r="J604" s="300"/>
      <c r="K604" s="300"/>
      <c r="L604" s="300"/>
      <c r="M604" s="300"/>
      <c r="N604" s="300"/>
      <c r="O604" s="300"/>
      <c r="P604" s="300"/>
      <c r="Q604" s="300"/>
      <c r="R604" s="300"/>
      <c r="S604" s="300"/>
      <c r="T604" s="300"/>
      <c r="U604" s="300"/>
      <c r="V604" s="300"/>
      <c r="W604" s="300"/>
      <c r="X604" s="300"/>
      <c r="Y604" s="300"/>
      <c r="Z604" s="300"/>
    </row>
    <row r="605" spans="1:26">
      <c r="A605" s="215" t="s">
        <v>2895</v>
      </c>
      <c r="B605" s="207">
        <v>2048</v>
      </c>
      <c r="C605" s="215" t="s">
        <v>5056</v>
      </c>
      <c r="D605" s="215" t="s">
        <v>7873</v>
      </c>
      <c r="E605" s="215" t="s">
        <v>7873</v>
      </c>
      <c r="F605" s="215" t="s">
        <v>7755</v>
      </c>
      <c r="G605" s="215" t="s">
        <v>7756</v>
      </c>
      <c r="H605" s="215" t="s">
        <v>6548</v>
      </c>
      <c r="I605" s="300"/>
      <c r="J605" s="300"/>
      <c r="K605" s="300"/>
      <c r="L605" s="300"/>
      <c r="M605" s="300"/>
      <c r="N605" s="300"/>
      <c r="O605" s="300"/>
      <c r="P605" s="300"/>
      <c r="Q605" s="300"/>
      <c r="R605" s="300"/>
      <c r="S605" s="300"/>
      <c r="T605" s="300"/>
      <c r="U605" s="300"/>
      <c r="V605" s="300"/>
      <c r="W605" s="300"/>
      <c r="X605" s="300"/>
      <c r="Y605" s="300"/>
      <c r="Z605" s="300"/>
    </row>
    <row r="606" spans="1:26">
      <c r="A606" s="215" t="s">
        <v>3117</v>
      </c>
      <c r="B606" s="207">
        <v>2049</v>
      </c>
      <c r="C606" s="215" t="s">
        <v>5252</v>
      </c>
      <c r="D606" s="215" t="s">
        <v>7874</v>
      </c>
      <c r="E606" s="215" t="s">
        <v>7875</v>
      </c>
      <c r="F606" s="215" t="s">
        <v>7755</v>
      </c>
      <c r="G606" s="215" t="s">
        <v>7756</v>
      </c>
      <c r="H606" s="215" t="s">
        <v>6548</v>
      </c>
      <c r="I606" s="300"/>
      <c r="J606" s="300"/>
      <c r="K606" s="300"/>
      <c r="L606" s="300"/>
      <c r="M606" s="300"/>
      <c r="N606" s="300"/>
      <c r="O606" s="300"/>
      <c r="P606" s="300"/>
      <c r="Q606" s="300"/>
      <c r="R606" s="300"/>
      <c r="S606" s="300"/>
      <c r="T606" s="300"/>
      <c r="U606" s="300"/>
      <c r="V606" s="300"/>
      <c r="W606" s="300"/>
      <c r="X606" s="300"/>
      <c r="Y606" s="300"/>
      <c r="Z606" s="300"/>
    </row>
    <row r="607" spans="1:26">
      <c r="A607" s="215" t="s">
        <v>3330</v>
      </c>
      <c r="B607" s="207">
        <v>2050</v>
      </c>
      <c r="C607" s="215" t="s">
        <v>5057</v>
      </c>
      <c r="D607" s="215" t="s">
        <v>7876</v>
      </c>
      <c r="E607" s="215" t="s">
        <v>7877</v>
      </c>
      <c r="F607" s="215" t="s">
        <v>7755</v>
      </c>
      <c r="G607" s="215" t="s">
        <v>7756</v>
      </c>
      <c r="H607" s="215" t="s">
        <v>6548</v>
      </c>
      <c r="I607" s="300"/>
      <c r="J607" s="300"/>
      <c r="K607" s="300"/>
      <c r="L607" s="300"/>
      <c r="M607" s="300"/>
      <c r="N607" s="300"/>
      <c r="O607" s="300"/>
      <c r="P607" s="300"/>
      <c r="Q607" s="300"/>
      <c r="R607" s="300"/>
      <c r="S607" s="300"/>
      <c r="T607" s="300"/>
      <c r="U607" s="300"/>
      <c r="V607" s="300"/>
      <c r="W607" s="300"/>
      <c r="X607" s="300"/>
      <c r="Y607" s="300"/>
      <c r="Z607" s="300"/>
    </row>
    <row r="608" spans="1:26">
      <c r="A608" s="215" t="s">
        <v>4570</v>
      </c>
      <c r="B608" s="207">
        <v>2194</v>
      </c>
      <c r="C608" s="215" t="s">
        <v>7878</v>
      </c>
      <c r="D608" s="215" t="s">
        <v>7879</v>
      </c>
      <c r="E608" s="215" t="s">
        <v>7880</v>
      </c>
      <c r="F608" s="215" t="s">
        <v>7755</v>
      </c>
      <c r="G608" s="215" t="s">
        <v>7756</v>
      </c>
      <c r="H608" s="215" t="s">
        <v>6500</v>
      </c>
      <c r="I608" s="300"/>
      <c r="J608" s="300"/>
      <c r="K608" s="300"/>
      <c r="L608" s="300"/>
      <c r="M608" s="300"/>
      <c r="N608" s="300"/>
      <c r="O608" s="300"/>
      <c r="P608" s="300"/>
      <c r="Q608" s="300"/>
      <c r="R608" s="300"/>
      <c r="S608" s="300"/>
      <c r="T608" s="300"/>
      <c r="U608" s="300"/>
      <c r="V608" s="300"/>
      <c r="W608" s="300"/>
      <c r="X608" s="300"/>
      <c r="Y608" s="300"/>
      <c r="Z608" s="300"/>
    </row>
    <row r="609" spans="1:26">
      <c r="A609" s="215" t="s">
        <v>2791</v>
      </c>
      <c r="B609" s="207">
        <v>2206</v>
      </c>
      <c r="C609" s="215" t="s">
        <v>7881</v>
      </c>
      <c r="D609" s="215" t="s">
        <v>7882</v>
      </c>
      <c r="E609" s="215" t="s">
        <v>2801</v>
      </c>
      <c r="F609" s="215" t="s">
        <v>7755</v>
      </c>
      <c r="G609" s="215" t="s">
        <v>7756</v>
      </c>
      <c r="H609" s="215" t="s">
        <v>6521</v>
      </c>
      <c r="I609" s="300"/>
      <c r="J609" s="300"/>
      <c r="K609" s="300"/>
      <c r="L609" s="300"/>
      <c r="M609" s="300"/>
      <c r="N609" s="300"/>
      <c r="O609" s="300"/>
      <c r="P609" s="300"/>
      <c r="Q609" s="300"/>
      <c r="R609" s="300"/>
      <c r="S609" s="300"/>
      <c r="T609" s="300"/>
      <c r="U609" s="300"/>
      <c r="V609" s="300"/>
      <c r="W609" s="300"/>
      <c r="X609" s="300"/>
      <c r="Y609" s="300"/>
      <c r="Z609" s="300"/>
    </row>
    <row r="610" spans="1:26">
      <c r="A610" s="215" t="s">
        <v>3250</v>
      </c>
      <c r="B610" s="207">
        <v>2207</v>
      </c>
      <c r="C610" s="215" t="s">
        <v>5377</v>
      </c>
      <c r="D610" s="215" t="s">
        <v>7883</v>
      </c>
      <c r="E610" s="215" t="s">
        <v>7883</v>
      </c>
      <c r="F610" s="215" t="s">
        <v>7755</v>
      </c>
      <c r="G610" s="215" t="s">
        <v>7756</v>
      </c>
      <c r="H610" s="215" t="s">
        <v>6500</v>
      </c>
      <c r="I610" s="300"/>
      <c r="J610" s="300"/>
      <c r="K610" s="300"/>
      <c r="L610" s="300"/>
      <c r="M610" s="300"/>
      <c r="N610" s="300"/>
      <c r="O610" s="300"/>
      <c r="P610" s="300"/>
      <c r="Q610" s="300"/>
      <c r="R610" s="300"/>
      <c r="S610" s="300"/>
      <c r="T610" s="300"/>
      <c r="U610" s="300"/>
      <c r="V610" s="300"/>
      <c r="W610" s="300"/>
      <c r="X610" s="300"/>
      <c r="Y610" s="300"/>
      <c r="Z610" s="300"/>
    </row>
    <row r="611" spans="1:26">
      <c r="A611" s="215" t="s">
        <v>4385</v>
      </c>
      <c r="B611" s="207">
        <v>2209</v>
      </c>
      <c r="C611" s="215" t="s">
        <v>2656</v>
      </c>
      <c r="D611" s="215" t="s">
        <v>7884</v>
      </c>
      <c r="E611" s="215" t="s">
        <v>7884</v>
      </c>
      <c r="F611" s="215" t="s">
        <v>7755</v>
      </c>
      <c r="G611" s="215" t="s">
        <v>7756</v>
      </c>
      <c r="H611" s="215" t="s">
        <v>6500</v>
      </c>
      <c r="I611" s="300"/>
      <c r="J611" s="300"/>
      <c r="K611" s="300"/>
      <c r="L611" s="300"/>
      <c r="M611" s="300"/>
      <c r="N611" s="300"/>
      <c r="O611" s="300"/>
      <c r="P611" s="300"/>
      <c r="Q611" s="300"/>
      <c r="R611" s="300"/>
      <c r="S611" s="300"/>
      <c r="T611" s="300"/>
      <c r="U611" s="300"/>
      <c r="V611" s="300"/>
      <c r="W611" s="300"/>
      <c r="X611" s="300"/>
      <c r="Y611" s="300"/>
      <c r="Z611" s="300"/>
    </row>
    <row r="612" spans="1:26">
      <c r="A612" s="215" t="s">
        <v>3543</v>
      </c>
      <c r="B612" s="207">
        <v>2241</v>
      </c>
      <c r="C612" s="215" t="s">
        <v>7885</v>
      </c>
      <c r="D612" s="215" t="s">
        <v>7886</v>
      </c>
      <c r="E612" s="215" t="s">
        <v>7887</v>
      </c>
      <c r="F612" s="215" t="s">
        <v>7755</v>
      </c>
      <c r="G612" s="215" t="s">
        <v>7756</v>
      </c>
      <c r="H612" s="215" t="s">
        <v>6500</v>
      </c>
      <c r="I612" s="300"/>
      <c r="J612" s="300"/>
      <c r="K612" s="300"/>
      <c r="L612" s="300"/>
      <c r="M612" s="300"/>
      <c r="N612" s="300"/>
      <c r="O612" s="300"/>
      <c r="P612" s="300"/>
      <c r="Q612" s="300"/>
      <c r="R612" s="300"/>
      <c r="S612" s="300"/>
      <c r="T612" s="300"/>
      <c r="U612" s="300"/>
      <c r="V612" s="300"/>
      <c r="W612" s="300"/>
      <c r="X612" s="300"/>
      <c r="Y612" s="300"/>
      <c r="Z612" s="300"/>
    </row>
    <row r="613" spans="1:26">
      <c r="A613" s="215" t="s">
        <v>7888</v>
      </c>
      <c r="B613" s="207">
        <v>2245</v>
      </c>
      <c r="C613" s="215" t="s">
        <v>7889</v>
      </c>
      <c r="D613" s="215" t="s">
        <v>7890</v>
      </c>
      <c r="E613" s="215" t="s">
        <v>7891</v>
      </c>
      <c r="F613" s="215" t="s">
        <v>7755</v>
      </c>
      <c r="G613" s="215" t="s">
        <v>7756</v>
      </c>
      <c r="H613" s="215" t="s">
        <v>6521</v>
      </c>
      <c r="I613" s="300"/>
      <c r="J613" s="300"/>
      <c r="K613" s="300"/>
      <c r="L613" s="300"/>
      <c r="M613" s="300"/>
      <c r="N613" s="300"/>
      <c r="O613" s="300"/>
      <c r="P613" s="300"/>
      <c r="Q613" s="300"/>
      <c r="R613" s="300"/>
      <c r="S613" s="300"/>
      <c r="T613" s="300"/>
      <c r="U613" s="300"/>
      <c r="V613" s="300"/>
      <c r="W613" s="300"/>
      <c r="X613" s="300"/>
      <c r="Y613" s="300"/>
      <c r="Z613" s="300"/>
    </row>
    <row r="614" spans="1:26">
      <c r="A614" s="215" t="s">
        <v>3912</v>
      </c>
      <c r="B614" s="207">
        <v>2249</v>
      </c>
      <c r="C614" s="215" t="s">
        <v>7892</v>
      </c>
      <c r="D614" s="215" t="s">
        <v>7893</v>
      </c>
      <c r="E614" s="215" t="s">
        <v>7894</v>
      </c>
      <c r="F614" s="215" t="s">
        <v>7755</v>
      </c>
      <c r="G614" s="215" t="s">
        <v>7756</v>
      </c>
      <c r="H614" s="215" t="s">
        <v>6521</v>
      </c>
      <c r="I614" s="300"/>
      <c r="J614" s="300"/>
      <c r="K614" s="300"/>
      <c r="L614" s="300"/>
      <c r="M614" s="300"/>
      <c r="N614" s="300"/>
      <c r="O614" s="300"/>
      <c r="P614" s="300"/>
      <c r="Q614" s="300"/>
      <c r="R614" s="300"/>
      <c r="S614" s="300"/>
      <c r="T614" s="300"/>
      <c r="U614" s="300"/>
      <c r="V614" s="300"/>
      <c r="W614" s="300"/>
      <c r="X614" s="300"/>
      <c r="Y614" s="300"/>
      <c r="Z614" s="300"/>
    </row>
    <row r="615" spans="1:26">
      <c r="A615" s="215" t="s">
        <v>2883</v>
      </c>
      <c r="B615" s="207">
        <v>2402</v>
      </c>
      <c r="C615" s="215" t="s">
        <v>7895</v>
      </c>
      <c r="D615" s="215" t="s">
        <v>7896</v>
      </c>
      <c r="E615" s="215" t="s">
        <v>7897</v>
      </c>
      <c r="F615" s="215" t="s">
        <v>7755</v>
      </c>
      <c r="G615" s="215" t="s">
        <v>7756</v>
      </c>
      <c r="H615" s="215" t="s">
        <v>6500</v>
      </c>
      <c r="I615" s="300"/>
      <c r="J615" s="300"/>
      <c r="K615" s="300"/>
      <c r="L615" s="300"/>
      <c r="M615" s="300"/>
      <c r="N615" s="300"/>
      <c r="O615" s="300"/>
      <c r="P615" s="300"/>
      <c r="Q615" s="300"/>
      <c r="R615" s="300"/>
      <c r="S615" s="300"/>
      <c r="T615" s="300"/>
      <c r="U615" s="300"/>
      <c r="V615" s="300"/>
      <c r="W615" s="300"/>
      <c r="X615" s="300"/>
      <c r="Y615" s="300"/>
      <c r="Z615" s="300"/>
    </row>
    <row r="616" spans="1:26">
      <c r="A616" s="215" t="s">
        <v>2885</v>
      </c>
      <c r="B616" s="207">
        <v>2403</v>
      </c>
      <c r="C616" s="215" t="s">
        <v>7898</v>
      </c>
      <c r="D616" s="215" t="s">
        <v>7899</v>
      </c>
      <c r="E616" s="215" t="s">
        <v>7900</v>
      </c>
      <c r="F616" s="215" t="s">
        <v>7755</v>
      </c>
      <c r="G616" s="215" t="s">
        <v>7756</v>
      </c>
      <c r="H616" s="215" t="s">
        <v>6500</v>
      </c>
      <c r="I616" s="300"/>
      <c r="J616" s="300"/>
      <c r="K616" s="300"/>
      <c r="L616" s="300"/>
      <c r="M616" s="300"/>
      <c r="N616" s="300"/>
      <c r="O616" s="300"/>
      <c r="P616" s="300"/>
      <c r="Q616" s="300"/>
      <c r="R616" s="300"/>
      <c r="S616" s="300"/>
      <c r="T616" s="300"/>
      <c r="U616" s="300"/>
      <c r="V616" s="300"/>
      <c r="W616" s="300"/>
      <c r="X616" s="300"/>
      <c r="Y616" s="300"/>
      <c r="Z616" s="300"/>
    </row>
    <row r="617" spans="1:26">
      <c r="A617" s="215" t="s">
        <v>2873</v>
      </c>
      <c r="B617" s="207">
        <v>2404</v>
      </c>
      <c r="C617" s="215" t="s">
        <v>7901</v>
      </c>
      <c r="D617" s="215" t="s">
        <v>7902</v>
      </c>
      <c r="E617" s="215" t="s">
        <v>7903</v>
      </c>
      <c r="F617" s="215" t="s">
        <v>7755</v>
      </c>
      <c r="G617" s="215" t="s">
        <v>7756</v>
      </c>
      <c r="H617" s="215" t="s">
        <v>6500</v>
      </c>
      <c r="I617" s="300"/>
      <c r="J617" s="300"/>
      <c r="K617" s="300"/>
      <c r="L617" s="300"/>
      <c r="M617" s="300"/>
      <c r="N617" s="300"/>
      <c r="O617" s="300"/>
      <c r="P617" s="300"/>
      <c r="Q617" s="300"/>
      <c r="R617" s="300"/>
      <c r="S617" s="300"/>
      <c r="T617" s="300"/>
      <c r="U617" s="300"/>
      <c r="V617" s="300"/>
      <c r="W617" s="300"/>
      <c r="X617" s="300"/>
      <c r="Y617" s="300"/>
      <c r="Z617" s="300"/>
    </row>
    <row r="618" spans="1:26">
      <c r="A618" s="215" t="s">
        <v>4081</v>
      </c>
      <c r="B618" s="207">
        <v>2405</v>
      </c>
      <c r="C618" s="215" t="s">
        <v>4927</v>
      </c>
      <c r="D618" s="215" t="s">
        <v>4072</v>
      </c>
      <c r="E618" s="215" t="s">
        <v>2942</v>
      </c>
      <c r="F618" s="215" t="s">
        <v>7755</v>
      </c>
      <c r="G618" s="215" t="s">
        <v>7756</v>
      </c>
      <c r="H618" s="215" t="s">
        <v>6497</v>
      </c>
      <c r="I618" s="300"/>
      <c r="J618" s="300"/>
      <c r="K618" s="300"/>
      <c r="L618" s="300"/>
      <c r="M618" s="300"/>
      <c r="N618" s="300"/>
      <c r="O618" s="300"/>
      <c r="P618" s="300"/>
      <c r="Q618" s="300"/>
      <c r="R618" s="300"/>
      <c r="S618" s="300"/>
      <c r="T618" s="300"/>
      <c r="U618" s="300"/>
      <c r="V618" s="300"/>
      <c r="W618" s="300"/>
      <c r="X618" s="300"/>
      <c r="Y618" s="300"/>
      <c r="Z618" s="300"/>
    </row>
    <row r="619" spans="1:26">
      <c r="A619" s="215" t="s">
        <v>4272</v>
      </c>
      <c r="B619" s="207">
        <v>2406</v>
      </c>
      <c r="C619" s="215" t="s">
        <v>7904</v>
      </c>
      <c r="D619" s="215" t="s">
        <v>7905</v>
      </c>
      <c r="E619" s="215" t="s">
        <v>7906</v>
      </c>
      <c r="F619" s="215" t="s">
        <v>7755</v>
      </c>
      <c r="G619" s="215" t="s">
        <v>7756</v>
      </c>
      <c r="H619" s="215" t="s">
        <v>6500</v>
      </c>
      <c r="I619" s="300"/>
      <c r="J619" s="300"/>
      <c r="K619" s="300"/>
      <c r="L619" s="300"/>
      <c r="M619" s="300"/>
      <c r="N619" s="300"/>
      <c r="O619" s="300"/>
      <c r="P619" s="300"/>
      <c r="Q619" s="300"/>
      <c r="R619" s="300"/>
      <c r="S619" s="300"/>
      <c r="T619" s="300"/>
      <c r="U619" s="300"/>
      <c r="V619" s="300"/>
      <c r="W619" s="300"/>
      <c r="X619" s="300"/>
      <c r="Y619" s="300"/>
      <c r="Z619" s="300"/>
    </row>
    <row r="620" spans="1:26">
      <c r="A620" s="215" t="s">
        <v>2761</v>
      </c>
      <c r="B620" s="207">
        <v>2407</v>
      </c>
      <c r="C620" s="215" t="s">
        <v>4915</v>
      </c>
      <c r="D620" s="215" t="s">
        <v>7907</v>
      </c>
      <c r="E620" s="215" t="s">
        <v>7908</v>
      </c>
      <c r="F620" s="215" t="s">
        <v>7755</v>
      </c>
      <c r="G620" s="215" t="s">
        <v>7756</v>
      </c>
      <c r="H620" s="215" t="s">
        <v>6500</v>
      </c>
      <c r="I620" s="300"/>
      <c r="J620" s="300"/>
      <c r="K620" s="300"/>
      <c r="L620" s="300"/>
      <c r="M620" s="300"/>
      <c r="N620" s="300"/>
      <c r="O620" s="300"/>
      <c r="P620" s="300"/>
      <c r="Q620" s="300"/>
      <c r="R620" s="300"/>
      <c r="S620" s="300"/>
      <c r="T620" s="300"/>
      <c r="U620" s="300"/>
      <c r="V620" s="300"/>
      <c r="W620" s="300"/>
      <c r="X620" s="300"/>
      <c r="Y620" s="300"/>
      <c r="Z620" s="300"/>
    </row>
    <row r="621" spans="1:26">
      <c r="A621" s="215" t="s">
        <v>3082</v>
      </c>
      <c r="B621" s="207">
        <v>2408</v>
      </c>
      <c r="C621" s="215" t="s">
        <v>7909</v>
      </c>
      <c r="D621" s="215" t="s">
        <v>7910</v>
      </c>
      <c r="E621" s="215" t="s">
        <v>7911</v>
      </c>
      <c r="F621" s="215" t="s">
        <v>7755</v>
      </c>
      <c r="G621" s="215" t="s">
        <v>7756</v>
      </c>
      <c r="H621" s="215" t="s">
        <v>6521</v>
      </c>
      <c r="I621" s="300"/>
      <c r="J621" s="300"/>
      <c r="K621" s="300"/>
      <c r="L621" s="300"/>
      <c r="M621" s="300"/>
      <c r="N621" s="300"/>
      <c r="O621" s="300"/>
      <c r="P621" s="300"/>
      <c r="Q621" s="300"/>
      <c r="R621" s="300"/>
      <c r="S621" s="300"/>
      <c r="T621" s="300"/>
      <c r="U621" s="300"/>
      <c r="V621" s="300"/>
      <c r="W621" s="300"/>
      <c r="X621" s="300"/>
      <c r="Y621" s="300"/>
      <c r="Z621" s="300"/>
    </row>
    <row r="622" spans="1:26">
      <c r="A622" s="215" t="s">
        <v>3723</v>
      </c>
      <c r="B622" s="207">
        <v>2409</v>
      </c>
      <c r="C622" s="215" t="s">
        <v>5426</v>
      </c>
      <c r="D622" s="215" t="s">
        <v>7912</v>
      </c>
      <c r="E622" s="215" t="s">
        <v>7913</v>
      </c>
      <c r="F622" s="215" t="s">
        <v>7755</v>
      </c>
      <c r="G622" s="215" t="s">
        <v>7756</v>
      </c>
      <c r="H622" s="215" t="s">
        <v>6497</v>
      </c>
      <c r="I622" s="300"/>
      <c r="J622" s="300"/>
      <c r="K622" s="300"/>
      <c r="L622" s="300"/>
      <c r="M622" s="300"/>
      <c r="N622" s="300"/>
      <c r="O622" s="300"/>
      <c r="P622" s="300"/>
      <c r="Q622" s="300"/>
      <c r="R622" s="300"/>
      <c r="S622" s="300"/>
      <c r="T622" s="300"/>
      <c r="U622" s="300"/>
      <c r="V622" s="300"/>
      <c r="W622" s="300"/>
      <c r="X622" s="300"/>
      <c r="Y622" s="300"/>
      <c r="Z622" s="300"/>
    </row>
    <row r="623" spans="1:26">
      <c r="A623" s="215" t="s">
        <v>4540</v>
      </c>
      <c r="B623" s="207">
        <v>2410</v>
      </c>
      <c r="C623" s="215" t="s">
        <v>6450</v>
      </c>
      <c r="D623" s="215" t="s">
        <v>7914</v>
      </c>
      <c r="E623" s="215" t="s">
        <v>7914</v>
      </c>
      <c r="F623" s="215" t="s">
        <v>7755</v>
      </c>
      <c r="G623" s="215" t="s">
        <v>7756</v>
      </c>
      <c r="H623" s="215" t="s">
        <v>6521</v>
      </c>
      <c r="I623" s="300"/>
      <c r="J623" s="300"/>
      <c r="K623" s="300"/>
      <c r="L623" s="300"/>
      <c r="M623" s="300"/>
      <c r="N623" s="300"/>
      <c r="O623" s="300"/>
      <c r="P623" s="300"/>
      <c r="Q623" s="300"/>
      <c r="R623" s="300"/>
      <c r="S623" s="300"/>
      <c r="T623" s="300"/>
      <c r="U623" s="300"/>
      <c r="V623" s="300"/>
      <c r="W623" s="300"/>
      <c r="X623" s="300"/>
      <c r="Y623" s="300"/>
      <c r="Z623" s="300"/>
    </row>
    <row r="624" spans="1:26">
      <c r="A624" s="215" t="s">
        <v>4066</v>
      </c>
      <c r="B624" s="207">
        <v>2411</v>
      </c>
      <c r="C624" s="215" t="s">
        <v>6088</v>
      </c>
      <c r="D624" s="215" t="s">
        <v>7915</v>
      </c>
      <c r="E624" s="215" t="s">
        <v>7915</v>
      </c>
      <c r="F624" s="215" t="s">
        <v>7755</v>
      </c>
      <c r="G624" s="215" t="s">
        <v>7756</v>
      </c>
      <c r="H624" s="215" t="s">
        <v>6521</v>
      </c>
      <c r="I624" s="300"/>
      <c r="J624" s="300"/>
      <c r="K624" s="300"/>
      <c r="L624" s="300"/>
      <c r="M624" s="300"/>
      <c r="N624" s="300"/>
      <c r="O624" s="300"/>
      <c r="P624" s="300"/>
      <c r="Q624" s="300"/>
      <c r="R624" s="300"/>
      <c r="S624" s="300"/>
      <c r="T624" s="300"/>
      <c r="U624" s="300"/>
      <c r="V624" s="300"/>
      <c r="W624" s="300"/>
      <c r="X624" s="300"/>
      <c r="Y624" s="300"/>
      <c r="Z624" s="300"/>
    </row>
    <row r="625" spans="1:26">
      <c r="A625" s="215" t="s">
        <v>4527</v>
      </c>
      <c r="B625" s="207">
        <v>2412</v>
      </c>
      <c r="C625" s="215" t="s">
        <v>5271</v>
      </c>
      <c r="D625" s="215" t="s">
        <v>7916</v>
      </c>
      <c r="E625" s="215" t="s">
        <v>7916</v>
      </c>
      <c r="F625" s="215" t="s">
        <v>7755</v>
      </c>
      <c r="G625" s="215" t="s">
        <v>7756</v>
      </c>
      <c r="H625" s="215" t="s">
        <v>6521</v>
      </c>
      <c r="I625" s="300"/>
      <c r="J625" s="300"/>
      <c r="K625" s="300"/>
      <c r="L625" s="300"/>
      <c r="M625" s="300"/>
      <c r="N625" s="300"/>
      <c r="O625" s="300"/>
      <c r="P625" s="300"/>
      <c r="Q625" s="300"/>
      <c r="R625" s="300"/>
      <c r="S625" s="300"/>
      <c r="T625" s="300"/>
      <c r="U625" s="300"/>
      <c r="V625" s="300"/>
      <c r="W625" s="300"/>
      <c r="X625" s="300"/>
      <c r="Y625" s="300"/>
      <c r="Z625" s="300"/>
    </row>
    <row r="626" spans="1:26">
      <c r="A626" s="215"/>
      <c r="B626" s="207">
        <v>2413</v>
      </c>
      <c r="C626" s="215" t="s">
        <v>7917</v>
      </c>
      <c r="D626" s="215" t="s">
        <v>7918</v>
      </c>
      <c r="E626" s="215" t="s">
        <v>7919</v>
      </c>
      <c r="F626" s="215" t="s">
        <v>7755</v>
      </c>
      <c r="G626" s="215" t="s">
        <v>7756</v>
      </c>
      <c r="H626" s="215" t="s">
        <v>6500</v>
      </c>
      <c r="I626" s="300"/>
      <c r="J626" s="300"/>
      <c r="K626" s="300"/>
      <c r="L626" s="300"/>
      <c r="M626" s="300"/>
      <c r="N626" s="300"/>
      <c r="O626" s="300"/>
      <c r="P626" s="300"/>
      <c r="Q626" s="300"/>
      <c r="R626" s="300"/>
      <c r="S626" s="300"/>
      <c r="T626" s="300"/>
      <c r="U626" s="300"/>
      <c r="V626" s="300"/>
      <c r="W626" s="300"/>
      <c r="X626" s="300"/>
      <c r="Y626" s="300"/>
      <c r="Z626" s="300"/>
    </row>
    <row r="627" spans="1:26">
      <c r="A627" s="215" t="s">
        <v>7920</v>
      </c>
      <c r="B627" s="207">
        <v>2414</v>
      </c>
      <c r="C627" s="215" t="s">
        <v>4890</v>
      </c>
      <c r="D627" s="215" t="s">
        <v>7921</v>
      </c>
      <c r="E627" s="215" t="s">
        <v>7922</v>
      </c>
      <c r="F627" s="215" t="s">
        <v>7755</v>
      </c>
      <c r="G627" s="215" t="s">
        <v>7756</v>
      </c>
      <c r="H627" s="215" t="s">
        <v>6500</v>
      </c>
      <c r="I627" s="300"/>
      <c r="J627" s="300"/>
      <c r="K627" s="300"/>
      <c r="L627" s="300"/>
      <c r="M627" s="300"/>
      <c r="N627" s="300"/>
      <c r="O627" s="300"/>
      <c r="P627" s="300"/>
      <c r="Q627" s="300"/>
      <c r="R627" s="300"/>
      <c r="S627" s="300"/>
      <c r="T627" s="300"/>
      <c r="U627" s="300"/>
      <c r="V627" s="300"/>
      <c r="W627" s="300"/>
      <c r="X627" s="300"/>
      <c r="Y627" s="300"/>
      <c r="Z627" s="300"/>
    </row>
    <row r="628" spans="1:26">
      <c r="A628" s="215" t="s">
        <v>3252</v>
      </c>
      <c r="B628" s="207">
        <v>2415</v>
      </c>
      <c r="C628" s="215" t="s">
        <v>5379</v>
      </c>
      <c r="D628" s="215" t="s">
        <v>7923</v>
      </c>
      <c r="E628" s="215" t="s">
        <v>7923</v>
      </c>
      <c r="F628" s="215" t="s">
        <v>7755</v>
      </c>
      <c r="G628" s="215" t="s">
        <v>7756</v>
      </c>
      <c r="H628" s="215" t="s">
        <v>6500</v>
      </c>
      <c r="I628" s="300"/>
      <c r="J628" s="300"/>
      <c r="K628" s="300"/>
      <c r="L628" s="300"/>
      <c r="M628" s="300"/>
      <c r="N628" s="300"/>
      <c r="O628" s="300"/>
      <c r="P628" s="300"/>
      <c r="Q628" s="300"/>
      <c r="R628" s="300"/>
      <c r="S628" s="300"/>
      <c r="T628" s="300"/>
      <c r="U628" s="300"/>
      <c r="V628" s="300"/>
      <c r="W628" s="300"/>
      <c r="X628" s="300"/>
      <c r="Y628" s="300"/>
      <c r="Z628" s="300"/>
    </row>
    <row r="629" spans="1:26">
      <c r="A629" s="215" t="s">
        <v>7924</v>
      </c>
      <c r="B629" s="207">
        <v>2416</v>
      </c>
      <c r="C629" s="215" t="s">
        <v>6434</v>
      </c>
      <c r="D629" s="215" t="s">
        <v>7925</v>
      </c>
      <c r="E629" s="215" t="s">
        <v>7926</v>
      </c>
      <c r="F629" s="215" t="s">
        <v>7755</v>
      </c>
      <c r="G629" s="215" t="s">
        <v>7756</v>
      </c>
      <c r="H629" s="215" t="s">
        <v>6504</v>
      </c>
      <c r="I629" s="300"/>
      <c r="J629" s="300"/>
      <c r="K629" s="300"/>
      <c r="L629" s="300"/>
      <c r="M629" s="300"/>
      <c r="N629" s="300"/>
      <c r="O629" s="300"/>
      <c r="P629" s="300"/>
      <c r="Q629" s="300"/>
      <c r="R629" s="300"/>
      <c r="S629" s="300"/>
      <c r="T629" s="300"/>
      <c r="U629" s="300"/>
      <c r="V629" s="300"/>
      <c r="W629" s="300"/>
      <c r="X629" s="300"/>
      <c r="Y629" s="300"/>
      <c r="Z629" s="300"/>
    </row>
    <row r="630" spans="1:26">
      <c r="A630" s="215" t="s">
        <v>7927</v>
      </c>
      <c r="B630" s="207">
        <v>2417</v>
      </c>
      <c r="C630" s="215" t="s">
        <v>7928</v>
      </c>
      <c r="D630" s="215" t="s">
        <v>7929</v>
      </c>
      <c r="E630" s="215" t="s">
        <v>7930</v>
      </c>
      <c r="F630" s="215" t="s">
        <v>7755</v>
      </c>
      <c r="G630" s="215" t="s">
        <v>7756</v>
      </c>
      <c r="H630" s="215" t="s">
        <v>6497</v>
      </c>
      <c r="I630" s="300"/>
      <c r="J630" s="300"/>
      <c r="K630" s="300"/>
      <c r="L630" s="300"/>
      <c r="M630" s="300"/>
      <c r="N630" s="300"/>
      <c r="O630" s="300"/>
      <c r="P630" s="300"/>
      <c r="Q630" s="300"/>
      <c r="R630" s="300"/>
      <c r="S630" s="300"/>
      <c r="T630" s="300"/>
      <c r="U630" s="300"/>
      <c r="V630" s="300"/>
      <c r="W630" s="300"/>
      <c r="X630" s="300"/>
      <c r="Y630" s="300"/>
      <c r="Z630" s="300"/>
    </row>
    <row r="631" spans="1:26">
      <c r="A631" s="215" t="s">
        <v>3153</v>
      </c>
      <c r="B631" s="207">
        <v>2418</v>
      </c>
      <c r="C631" s="215" t="s">
        <v>7931</v>
      </c>
      <c r="D631" s="215" t="s">
        <v>7932</v>
      </c>
      <c r="E631" s="215" t="s">
        <v>7933</v>
      </c>
      <c r="F631" s="215" t="s">
        <v>7755</v>
      </c>
      <c r="G631" s="215" t="s">
        <v>7756</v>
      </c>
      <c r="H631" s="215" t="s">
        <v>6497</v>
      </c>
      <c r="I631" s="300"/>
      <c r="J631" s="300"/>
      <c r="K631" s="300"/>
      <c r="L631" s="300"/>
      <c r="M631" s="300"/>
      <c r="N631" s="300"/>
      <c r="O631" s="300"/>
      <c r="P631" s="300"/>
      <c r="Q631" s="300"/>
      <c r="R631" s="300"/>
      <c r="S631" s="300"/>
      <c r="T631" s="300"/>
      <c r="U631" s="300"/>
      <c r="V631" s="300"/>
      <c r="W631" s="300"/>
      <c r="X631" s="300"/>
      <c r="Y631" s="300"/>
      <c r="Z631" s="300"/>
    </row>
    <row r="632" spans="1:26">
      <c r="A632" s="215" t="s">
        <v>3154</v>
      </c>
      <c r="B632" s="207">
        <v>2419</v>
      </c>
      <c r="C632" s="215" t="s">
        <v>7934</v>
      </c>
      <c r="D632" s="215" t="s">
        <v>7935</v>
      </c>
      <c r="E632" s="215" t="s">
        <v>7936</v>
      </c>
      <c r="F632" s="215" t="s">
        <v>7755</v>
      </c>
      <c r="G632" s="215" t="s">
        <v>7756</v>
      </c>
      <c r="H632" s="215" t="s">
        <v>6497</v>
      </c>
      <c r="I632" s="300"/>
      <c r="J632" s="300"/>
      <c r="K632" s="300"/>
      <c r="L632" s="300"/>
      <c r="M632" s="300"/>
      <c r="N632" s="300"/>
      <c r="O632" s="300"/>
      <c r="P632" s="300"/>
      <c r="Q632" s="300"/>
      <c r="R632" s="300"/>
      <c r="S632" s="300"/>
      <c r="T632" s="300"/>
      <c r="U632" s="300"/>
      <c r="V632" s="300"/>
      <c r="W632" s="300"/>
      <c r="X632" s="300"/>
      <c r="Y632" s="300"/>
      <c r="Z632" s="300"/>
    </row>
    <row r="633" spans="1:26">
      <c r="A633" s="215" t="s">
        <v>3156</v>
      </c>
      <c r="B633" s="207">
        <v>2420</v>
      </c>
      <c r="C633" s="215" t="s">
        <v>7937</v>
      </c>
      <c r="D633" s="215" t="s">
        <v>7938</v>
      </c>
      <c r="E633" s="215" t="s">
        <v>7939</v>
      </c>
      <c r="F633" s="215" t="s">
        <v>7755</v>
      </c>
      <c r="G633" s="215" t="s">
        <v>7756</v>
      </c>
      <c r="H633" s="215" t="s">
        <v>6504</v>
      </c>
      <c r="I633" s="300"/>
      <c r="J633" s="300"/>
      <c r="K633" s="300"/>
      <c r="L633" s="300"/>
      <c r="M633" s="300"/>
      <c r="N633" s="300"/>
      <c r="O633" s="300"/>
      <c r="P633" s="300"/>
      <c r="Q633" s="300"/>
      <c r="R633" s="300"/>
      <c r="S633" s="300"/>
      <c r="T633" s="300"/>
      <c r="U633" s="300"/>
      <c r="V633" s="300"/>
      <c r="W633" s="300"/>
      <c r="X633" s="300"/>
      <c r="Y633" s="300"/>
      <c r="Z633" s="300"/>
    </row>
    <row r="634" spans="1:26">
      <c r="A634" s="215" t="s">
        <v>3515</v>
      </c>
      <c r="B634" s="207">
        <v>2421</v>
      </c>
      <c r="C634" s="215" t="s">
        <v>5624</v>
      </c>
      <c r="D634" s="215" t="s">
        <v>7940</v>
      </c>
      <c r="E634" s="215" t="s">
        <v>7941</v>
      </c>
      <c r="F634" s="215" t="s">
        <v>7755</v>
      </c>
      <c r="G634" s="215" t="s">
        <v>7756</v>
      </c>
      <c r="H634" s="215" t="s">
        <v>6497</v>
      </c>
      <c r="I634" s="300"/>
      <c r="J634" s="300"/>
      <c r="K634" s="300"/>
      <c r="L634" s="300"/>
      <c r="M634" s="300"/>
      <c r="N634" s="300"/>
      <c r="O634" s="300"/>
      <c r="P634" s="300"/>
      <c r="Q634" s="300"/>
      <c r="R634" s="300"/>
      <c r="S634" s="300"/>
      <c r="T634" s="300"/>
      <c r="U634" s="300"/>
      <c r="V634" s="300"/>
      <c r="W634" s="300"/>
      <c r="X634" s="300"/>
      <c r="Y634" s="300"/>
      <c r="Z634" s="300"/>
    </row>
    <row r="635" spans="1:26">
      <c r="A635" s="215"/>
      <c r="B635" s="207">
        <v>2422</v>
      </c>
      <c r="C635" s="215" t="s">
        <v>5288</v>
      </c>
      <c r="D635" s="215" t="s">
        <v>7942</v>
      </c>
      <c r="E635" s="215" t="s">
        <v>7942</v>
      </c>
      <c r="F635" s="215" t="s">
        <v>7755</v>
      </c>
      <c r="G635" s="215" t="s">
        <v>7756</v>
      </c>
      <c r="H635" s="215" t="s">
        <v>6504</v>
      </c>
      <c r="I635" s="300"/>
      <c r="J635" s="300"/>
      <c r="K635" s="300"/>
      <c r="L635" s="300"/>
      <c r="M635" s="300"/>
      <c r="N635" s="300"/>
      <c r="O635" s="300"/>
      <c r="P635" s="300"/>
      <c r="Q635" s="300"/>
      <c r="R635" s="300"/>
      <c r="S635" s="300"/>
      <c r="T635" s="300"/>
      <c r="U635" s="300"/>
      <c r="V635" s="300"/>
      <c r="W635" s="300"/>
      <c r="X635" s="300"/>
      <c r="Y635" s="300"/>
      <c r="Z635" s="300"/>
    </row>
    <row r="636" spans="1:26">
      <c r="A636" s="215" t="s">
        <v>4535</v>
      </c>
      <c r="B636" s="207">
        <v>2423</v>
      </c>
      <c r="C636" s="215" t="s">
        <v>6446</v>
      </c>
      <c r="D636" s="215" t="s">
        <v>7943</v>
      </c>
      <c r="E636" s="215" t="s">
        <v>7944</v>
      </c>
      <c r="F636" s="215" t="s">
        <v>7755</v>
      </c>
      <c r="G636" s="215" t="s">
        <v>7756</v>
      </c>
      <c r="H636" s="215" t="s">
        <v>6504</v>
      </c>
      <c r="I636" s="300"/>
      <c r="J636" s="300"/>
      <c r="K636" s="300"/>
      <c r="L636" s="300"/>
      <c r="M636" s="300"/>
      <c r="N636" s="300"/>
      <c r="O636" s="300"/>
      <c r="P636" s="300"/>
      <c r="Q636" s="300"/>
      <c r="R636" s="300"/>
      <c r="S636" s="300"/>
      <c r="T636" s="300"/>
      <c r="U636" s="300"/>
      <c r="V636" s="300"/>
      <c r="W636" s="300"/>
      <c r="X636" s="300"/>
      <c r="Y636" s="300"/>
      <c r="Z636" s="300"/>
    </row>
    <row r="637" spans="1:26">
      <c r="A637" s="215" t="s">
        <v>3512</v>
      </c>
      <c r="B637" s="207">
        <v>2424</v>
      </c>
      <c r="C637" s="215" t="s">
        <v>5619</v>
      </c>
      <c r="D637" s="215" t="s">
        <v>7945</v>
      </c>
      <c r="E637" s="215" t="s">
        <v>7946</v>
      </c>
      <c r="F637" s="215" t="s">
        <v>7755</v>
      </c>
      <c r="G637" s="215" t="s">
        <v>7756</v>
      </c>
      <c r="H637" s="215" t="s">
        <v>6500</v>
      </c>
      <c r="I637" s="300"/>
      <c r="J637" s="300"/>
      <c r="K637" s="300"/>
      <c r="L637" s="300"/>
      <c r="M637" s="300"/>
      <c r="N637" s="300"/>
      <c r="O637" s="300"/>
      <c r="P637" s="300"/>
      <c r="Q637" s="300"/>
      <c r="R637" s="300"/>
      <c r="S637" s="300"/>
      <c r="T637" s="300"/>
      <c r="U637" s="300"/>
      <c r="V637" s="300"/>
      <c r="W637" s="300"/>
      <c r="X637" s="300"/>
      <c r="Y637" s="300"/>
      <c r="Z637" s="300"/>
    </row>
    <row r="638" spans="1:26">
      <c r="A638" s="215" t="s">
        <v>3634</v>
      </c>
      <c r="B638" s="207">
        <v>2425</v>
      </c>
      <c r="C638" s="215" t="s">
        <v>5730</v>
      </c>
      <c r="D638" s="215" t="s">
        <v>7947</v>
      </c>
      <c r="E638" s="215" t="s">
        <v>7948</v>
      </c>
      <c r="F638" s="215" t="s">
        <v>7755</v>
      </c>
      <c r="G638" s="215" t="s">
        <v>7756</v>
      </c>
      <c r="H638" s="215" t="s">
        <v>6521</v>
      </c>
      <c r="I638" s="300"/>
      <c r="J638" s="300"/>
      <c r="K638" s="300"/>
      <c r="L638" s="300"/>
      <c r="M638" s="300"/>
      <c r="N638" s="300"/>
      <c r="O638" s="300"/>
      <c r="P638" s="300"/>
      <c r="Q638" s="300"/>
      <c r="R638" s="300"/>
      <c r="S638" s="300"/>
      <c r="T638" s="300"/>
      <c r="U638" s="300"/>
      <c r="V638" s="300"/>
      <c r="W638" s="300"/>
      <c r="X638" s="300"/>
      <c r="Y638" s="300"/>
      <c r="Z638" s="300"/>
    </row>
    <row r="639" spans="1:26">
      <c r="A639" s="215" t="s">
        <v>3629</v>
      </c>
      <c r="B639" s="207">
        <v>2426</v>
      </c>
      <c r="C639" s="215" t="s">
        <v>5725</v>
      </c>
      <c r="D639" s="215" t="s">
        <v>3579</v>
      </c>
      <c r="E639" s="215" t="s">
        <v>7949</v>
      </c>
      <c r="F639" s="215" t="s">
        <v>7755</v>
      </c>
      <c r="G639" s="215" t="s">
        <v>7756</v>
      </c>
      <c r="H639" s="215" t="s">
        <v>6500</v>
      </c>
      <c r="I639" s="300"/>
      <c r="J639" s="300"/>
      <c r="K639" s="300"/>
      <c r="L639" s="300"/>
      <c r="M639" s="300"/>
      <c r="N639" s="300"/>
      <c r="O639" s="300"/>
      <c r="P639" s="300"/>
      <c r="Q639" s="300"/>
      <c r="R639" s="300"/>
      <c r="S639" s="300"/>
      <c r="T639" s="300"/>
      <c r="U639" s="300"/>
      <c r="V639" s="300"/>
      <c r="W639" s="300"/>
      <c r="X639" s="300"/>
      <c r="Y639" s="300"/>
      <c r="Z639" s="300"/>
    </row>
    <row r="640" spans="1:26">
      <c r="A640" s="215" t="s">
        <v>3637</v>
      </c>
      <c r="B640" s="207">
        <v>2427</v>
      </c>
      <c r="C640" s="215" t="s">
        <v>5734</v>
      </c>
      <c r="D640" s="215" t="s">
        <v>7950</v>
      </c>
      <c r="E640" s="215" t="s">
        <v>7950</v>
      </c>
      <c r="F640" s="215" t="s">
        <v>7755</v>
      </c>
      <c r="G640" s="215" t="s">
        <v>7756</v>
      </c>
      <c r="H640" s="215" t="s">
        <v>6521</v>
      </c>
      <c r="I640" s="300"/>
      <c r="J640" s="300"/>
      <c r="K640" s="300"/>
      <c r="L640" s="300"/>
      <c r="M640" s="300"/>
      <c r="N640" s="300"/>
      <c r="O640" s="300"/>
      <c r="P640" s="300"/>
      <c r="Q640" s="300"/>
      <c r="R640" s="300"/>
      <c r="S640" s="300"/>
      <c r="T640" s="300"/>
      <c r="U640" s="300"/>
      <c r="V640" s="300"/>
      <c r="W640" s="300"/>
      <c r="X640" s="300"/>
      <c r="Y640" s="300"/>
      <c r="Z640" s="300"/>
    </row>
    <row r="641" spans="1:26">
      <c r="A641" s="215" t="s">
        <v>4211</v>
      </c>
      <c r="B641" s="207">
        <v>2428</v>
      </c>
      <c r="C641" s="215" t="s">
        <v>6026</v>
      </c>
      <c r="D641" s="215" t="s">
        <v>3999</v>
      </c>
      <c r="E641" s="215" t="s">
        <v>3999</v>
      </c>
      <c r="F641" s="215" t="s">
        <v>7755</v>
      </c>
      <c r="G641" s="215" t="s">
        <v>7756</v>
      </c>
      <c r="H641" s="215" t="s">
        <v>6500</v>
      </c>
      <c r="I641" s="300"/>
      <c r="J641" s="300"/>
      <c r="K641" s="300"/>
      <c r="L641" s="300"/>
      <c r="M641" s="300"/>
      <c r="N641" s="300"/>
      <c r="O641" s="300"/>
      <c r="P641" s="300"/>
      <c r="Q641" s="300"/>
      <c r="R641" s="300"/>
      <c r="S641" s="300"/>
      <c r="T641" s="300"/>
      <c r="U641" s="300"/>
      <c r="V641" s="300"/>
      <c r="W641" s="300"/>
      <c r="X641" s="300"/>
      <c r="Y641" s="300"/>
      <c r="Z641" s="300"/>
    </row>
    <row r="642" spans="1:26">
      <c r="A642" s="215" t="s">
        <v>3817</v>
      </c>
      <c r="B642" s="207">
        <v>2429</v>
      </c>
      <c r="C642" s="215" t="s">
        <v>7951</v>
      </c>
      <c r="D642" s="215" t="s">
        <v>7952</v>
      </c>
      <c r="E642" s="215" t="s">
        <v>7953</v>
      </c>
      <c r="F642" s="215" t="s">
        <v>7755</v>
      </c>
      <c r="G642" s="215" t="s">
        <v>7756</v>
      </c>
      <c r="H642" s="215" t="s">
        <v>6497</v>
      </c>
      <c r="I642" s="300"/>
      <c r="J642" s="300"/>
      <c r="K642" s="300"/>
      <c r="L642" s="300"/>
      <c r="M642" s="300"/>
      <c r="N642" s="300"/>
      <c r="O642" s="300"/>
      <c r="P642" s="300"/>
      <c r="Q642" s="300"/>
      <c r="R642" s="300"/>
      <c r="S642" s="300"/>
      <c r="T642" s="300"/>
      <c r="U642" s="300"/>
      <c r="V642" s="300"/>
      <c r="W642" s="300"/>
      <c r="X642" s="300"/>
      <c r="Y642" s="300"/>
      <c r="Z642" s="300"/>
    </row>
    <row r="643" spans="1:26">
      <c r="A643" s="215" t="s">
        <v>2843</v>
      </c>
      <c r="B643" s="207">
        <v>2430</v>
      </c>
      <c r="C643" s="215" t="s">
        <v>5006</v>
      </c>
      <c r="D643" s="215" t="s">
        <v>7954</v>
      </c>
      <c r="E643" s="215" t="s">
        <v>7954</v>
      </c>
      <c r="F643" s="215" t="s">
        <v>7755</v>
      </c>
      <c r="G643" s="215" t="s">
        <v>7756</v>
      </c>
      <c r="H643" s="215" t="s">
        <v>6521</v>
      </c>
      <c r="I643" s="300"/>
      <c r="J643" s="300"/>
      <c r="K643" s="300"/>
      <c r="L643" s="300"/>
      <c r="M643" s="300"/>
      <c r="N643" s="300"/>
      <c r="O643" s="300"/>
      <c r="P643" s="300"/>
      <c r="Q643" s="300"/>
      <c r="R643" s="300"/>
      <c r="S643" s="300"/>
      <c r="T643" s="300"/>
      <c r="U643" s="300"/>
      <c r="V643" s="300"/>
      <c r="W643" s="300"/>
      <c r="X643" s="300"/>
      <c r="Y643" s="300"/>
      <c r="Z643" s="300"/>
    </row>
    <row r="644" spans="1:26">
      <c r="A644" s="215" t="s">
        <v>3994</v>
      </c>
      <c r="B644" s="207">
        <v>2431</v>
      </c>
      <c r="C644" s="215" t="s">
        <v>7955</v>
      </c>
      <c r="D644" s="215" t="s">
        <v>7956</v>
      </c>
      <c r="E644" s="215" t="s">
        <v>7957</v>
      </c>
      <c r="F644" s="215" t="s">
        <v>7755</v>
      </c>
      <c r="G644" s="215" t="s">
        <v>7756</v>
      </c>
      <c r="H644" s="215" t="s">
        <v>6500</v>
      </c>
      <c r="I644" s="300"/>
      <c r="J644" s="300"/>
      <c r="K644" s="300"/>
      <c r="L644" s="300"/>
      <c r="M644" s="300"/>
      <c r="N644" s="300"/>
      <c r="O644" s="300"/>
      <c r="P644" s="300"/>
      <c r="Q644" s="300"/>
      <c r="R644" s="300"/>
      <c r="S644" s="300"/>
      <c r="T644" s="300"/>
      <c r="U644" s="300"/>
      <c r="V644" s="300"/>
      <c r="W644" s="300"/>
      <c r="X644" s="300"/>
      <c r="Y644" s="300"/>
      <c r="Z644" s="300"/>
    </row>
    <row r="645" spans="1:26">
      <c r="A645" s="215" t="s">
        <v>3098</v>
      </c>
      <c r="B645" s="207">
        <v>2432</v>
      </c>
      <c r="C645" s="215" t="s">
        <v>5233</v>
      </c>
      <c r="D645" s="215" t="s">
        <v>7958</v>
      </c>
      <c r="E645" s="215" t="s">
        <v>7958</v>
      </c>
      <c r="F645" s="215" t="s">
        <v>7755</v>
      </c>
      <c r="G645" s="215" t="s">
        <v>7756</v>
      </c>
      <c r="H645" s="215" t="s">
        <v>6500</v>
      </c>
      <c r="I645" s="300"/>
      <c r="J645" s="300"/>
      <c r="K645" s="300"/>
      <c r="L645" s="300"/>
      <c r="M645" s="300"/>
      <c r="N645" s="300"/>
      <c r="O645" s="300"/>
      <c r="P645" s="300"/>
      <c r="Q645" s="300"/>
      <c r="R645" s="300"/>
      <c r="S645" s="300"/>
      <c r="T645" s="300"/>
      <c r="U645" s="300"/>
      <c r="V645" s="300"/>
      <c r="W645" s="300"/>
      <c r="X645" s="300"/>
      <c r="Y645" s="300"/>
      <c r="Z645" s="300"/>
    </row>
    <row r="646" spans="1:26">
      <c r="A646" s="215" t="s">
        <v>3170</v>
      </c>
      <c r="B646" s="207">
        <v>2433</v>
      </c>
      <c r="C646" s="215" t="s">
        <v>5305</v>
      </c>
      <c r="D646" s="215" t="s">
        <v>7959</v>
      </c>
      <c r="E646" s="215" t="s">
        <v>7960</v>
      </c>
      <c r="F646" s="215" t="s">
        <v>7755</v>
      </c>
      <c r="G646" s="215" t="s">
        <v>7756</v>
      </c>
      <c r="H646" s="215" t="s">
        <v>6521</v>
      </c>
      <c r="I646" s="300"/>
      <c r="J646" s="300"/>
      <c r="K646" s="300"/>
      <c r="L646" s="300"/>
      <c r="M646" s="300"/>
      <c r="N646" s="300"/>
      <c r="O646" s="300"/>
      <c r="P646" s="300"/>
      <c r="Q646" s="300"/>
      <c r="R646" s="300"/>
      <c r="S646" s="300"/>
      <c r="T646" s="300"/>
      <c r="U646" s="300"/>
      <c r="V646" s="300"/>
      <c r="W646" s="300"/>
      <c r="X646" s="300"/>
      <c r="Y646" s="300"/>
      <c r="Z646" s="300"/>
    </row>
    <row r="647" spans="1:26">
      <c r="A647" s="215"/>
      <c r="B647" s="207">
        <v>2434</v>
      </c>
      <c r="C647" s="215" t="s">
        <v>7961</v>
      </c>
      <c r="D647" s="215" t="s">
        <v>7962</v>
      </c>
      <c r="E647" s="215" t="s">
        <v>7963</v>
      </c>
      <c r="F647" s="215" t="s">
        <v>7755</v>
      </c>
      <c r="G647" s="215" t="s">
        <v>7756</v>
      </c>
      <c r="H647" s="215" t="s">
        <v>6504</v>
      </c>
      <c r="I647" s="300"/>
      <c r="J647" s="300"/>
      <c r="K647" s="300"/>
      <c r="L647" s="300"/>
      <c r="M647" s="300"/>
      <c r="N647" s="300"/>
      <c r="O647" s="300"/>
      <c r="P647" s="300"/>
      <c r="Q647" s="300"/>
      <c r="R647" s="300"/>
      <c r="S647" s="300"/>
      <c r="T647" s="300"/>
      <c r="U647" s="300"/>
      <c r="V647" s="300"/>
      <c r="W647" s="300"/>
      <c r="X647" s="300"/>
      <c r="Y647" s="300"/>
      <c r="Z647" s="300"/>
    </row>
    <row r="648" spans="1:26">
      <c r="A648" s="215" t="s">
        <v>7964</v>
      </c>
      <c r="B648" s="207">
        <v>2435</v>
      </c>
      <c r="C648" s="215" t="s">
        <v>5226</v>
      </c>
      <c r="D648" s="215" t="s">
        <v>7965</v>
      </c>
      <c r="E648" s="215" t="s">
        <v>7965</v>
      </c>
      <c r="F648" s="215" t="s">
        <v>7755</v>
      </c>
      <c r="G648" s="215" t="s">
        <v>7756</v>
      </c>
      <c r="H648" s="215" t="s">
        <v>6521</v>
      </c>
      <c r="I648" s="300"/>
      <c r="J648" s="300"/>
      <c r="K648" s="300"/>
      <c r="L648" s="300"/>
      <c r="M648" s="300"/>
      <c r="N648" s="300"/>
      <c r="O648" s="300"/>
      <c r="P648" s="300"/>
      <c r="Q648" s="300"/>
      <c r="R648" s="300"/>
      <c r="S648" s="300"/>
      <c r="T648" s="300"/>
      <c r="U648" s="300"/>
      <c r="V648" s="300"/>
      <c r="W648" s="300"/>
      <c r="X648" s="300"/>
      <c r="Y648" s="300"/>
      <c r="Z648" s="300"/>
    </row>
    <row r="649" spans="1:26">
      <c r="A649" s="215" t="s">
        <v>3788</v>
      </c>
      <c r="B649" s="207">
        <v>2436</v>
      </c>
      <c r="C649" s="215" t="s">
        <v>5863</v>
      </c>
      <c r="D649" s="215" t="s">
        <v>7966</v>
      </c>
      <c r="E649" s="215" t="s">
        <v>7966</v>
      </c>
      <c r="F649" s="215" t="s">
        <v>7755</v>
      </c>
      <c r="G649" s="215" t="s">
        <v>7756</v>
      </c>
      <c r="H649" s="215" t="s">
        <v>6521</v>
      </c>
      <c r="I649" s="300"/>
      <c r="J649" s="300"/>
      <c r="K649" s="300"/>
      <c r="L649" s="300"/>
      <c r="M649" s="300"/>
      <c r="N649" s="300"/>
      <c r="O649" s="300"/>
      <c r="P649" s="300"/>
      <c r="Q649" s="300"/>
      <c r="R649" s="300"/>
      <c r="S649" s="300"/>
      <c r="T649" s="300"/>
      <c r="U649" s="300"/>
      <c r="V649" s="300"/>
      <c r="W649" s="300"/>
      <c r="X649" s="300"/>
      <c r="Y649" s="300"/>
      <c r="Z649" s="300"/>
    </row>
    <row r="650" spans="1:26">
      <c r="A650" s="215" t="s">
        <v>4174</v>
      </c>
      <c r="B650" s="207">
        <v>2437</v>
      </c>
      <c r="C650" s="215" t="s">
        <v>6164</v>
      </c>
      <c r="D650" s="215" t="s">
        <v>7967</v>
      </c>
      <c r="E650" s="215" t="s">
        <v>7968</v>
      </c>
      <c r="F650" s="215" t="s">
        <v>7755</v>
      </c>
      <c r="G650" s="215" t="s">
        <v>7756</v>
      </c>
      <c r="H650" s="215" t="s">
        <v>6500</v>
      </c>
      <c r="I650" s="300"/>
      <c r="J650" s="300"/>
      <c r="K650" s="300"/>
      <c r="L650" s="300"/>
      <c r="M650" s="300"/>
      <c r="N650" s="300"/>
      <c r="O650" s="300"/>
      <c r="P650" s="300"/>
      <c r="Q650" s="300"/>
      <c r="R650" s="300"/>
      <c r="S650" s="300"/>
      <c r="T650" s="300"/>
      <c r="U650" s="300"/>
      <c r="V650" s="300"/>
      <c r="W650" s="300"/>
      <c r="X650" s="300"/>
      <c r="Y650" s="300"/>
      <c r="Z650" s="300"/>
    </row>
    <row r="651" spans="1:26">
      <c r="A651" s="215" t="s">
        <v>4563</v>
      </c>
      <c r="B651" s="207">
        <v>2438</v>
      </c>
      <c r="C651" s="215" t="s">
        <v>6021</v>
      </c>
      <c r="D651" s="215" t="s">
        <v>7969</v>
      </c>
      <c r="E651" s="215" t="s">
        <v>7970</v>
      </c>
      <c r="F651" s="215" t="s">
        <v>7755</v>
      </c>
      <c r="G651" s="215" t="s">
        <v>7756</v>
      </c>
      <c r="H651" s="215" t="s">
        <v>6521</v>
      </c>
      <c r="I651" s="300"/>
      <c r="J651" s="300"/>
      <c r="K651" s="300"/>
      <c r="L651" s="300"/>
      <c r="M651" s="300"/>
      <c r="N651" s="300"/>
      <c r="O651" s="300"/>
      <c r="P651" s="300"/>
      <c r="Q651" s="300"/>
      <c r="R651" s="300"/>
      <c r="S651" s="300"/>
      <c r="T651" s="300"/>
      <c r="U651" s="300"/>
      <c r="V651" s="300"/>
      <c r="W651" s="300"/>
      <c r="X651" s="300"/>
      <c r="Y651" s="300"/>
      <c r="Z651" s="300"/>
    </row>
    <row r="652" spans="1:26">
      <c r="A652" s="215" t="s">
        <v>4254</v>
      </c>
      <c r="B652" s="207">
        <v>2439</v>
      </c>
      <c r="C652" s="215" t="s">
        <v>7971</v>
      </c>
      <c r="D652" s="215" t="s">
        <v>7972</v>
      </c>
      <c r="E652" s="215" t="s">
        <v>7973</v>
      </c>
      <c r="F652" s="215" t="s">
        <v>7755</v>
      </c>
      <c r="G652" s="215" t="s">
        <v>7756</v>
      </c>
      <c r="H652" s="215" t="s">
        <v>6504</v>
      </c>
      <c r="I652" s="300"/>
      <c r="J652" s="300"/>
      <c r="K652" s="300"/>
      <c r="L652" s="300"/>
      <c r="M652" s="300"/>
      <c r="N652" s="300"/>
      <c r="O652" s="300"/>
      <c r="P652" s="300"/>
      <c r="Q652" s="300"/>
      <c r="R652" s="300"/>
      <c r="S652" s="300"/>
      <c r="T652" s="300"/>
      <c r="U652" s="300"/>
      <c r="V652" s="300"/>
      <c r="W652" s="300"/>
      <c r="X652" s="300"/>
      <c r="Y652" s="300"/>
      <c r="Z652" s="300"/>
    </row>
    <row r="653" spans="1:26">
      <c r="A653" s="215" t="s">
        <v>4257</v>
      </c>
      <c r="B653" s="207">
        <v>2440</v>
      </c>
      <c r="C653" s="215" t="s">
        <v>7974</v>
      </c>
      <c r="D653" s="215" t="s">
        <v>7975</v>
      </c>
      <c r="E653" s="215" t="s">
        <v>7976</v>
      </c>
      <c r="F653" s="215" t="s">
        <v>7755</v>
      </c>
      <c r="G653" s="215" t="s">
        <v>7756</v>
      </c>
      <c r="H653" s="215" t="s">
        <v>6504</v>
      </c>
      <c r="I653" s="300"/>
      <c r="J653" s="300"/>
      <c r="K653" s="300"/>
      <c r="L653" s="300"/>
      <c r="M653" s="300"/>
      <c r="N653" s="300"/>
      <c r="O653" s="300"/>
      <c r="P653" s="300"/>
      <c r="Q653" s="300"/>
      <c r="R653" s="300"/>
      <c r="S653" s="300"/>
      <c r="T653" s="300"/>
      <c r="U653" s="300"/>
      <c r="V653" s="300"/>
      <c r="W653" s="300"/>
      <c r="X653" s="300"/>
      <c r="Y653" s="300"/>
      <c r="Z653" s="300"/>
    </row>
    <row r="654" spans="1:26">
      <c r="A654" s="215" t="s">
        <v>2888</v>
      </c>
      <c r="B654" s="207">
        <v>2441</v>
      </c>
      <c r="C654" s="215" t="s">
        <v>4989</v>
      </c>
      <c r="D654" s="215" t="s">
        <v>7977</v>
      </c>
      <c r="E654" s="215" t="s">
        <v>7978</v>
      </c>
      <c r="F654" s="215" t="s">
        <v>7755</v>
      </c>
      <c r="G654" s="215" t="s">
        <v>7756</v>
      </c>
      <c r="H654" s="215" t="s">
        <v>6500</v>
      </c>
      <c r="I654" s="300"/>
      <c r="J654" s="300"/>
      <c r="K654" s="300"/>
      <c r="L654" s="300"/>
      <c r="M654" s="300"/>
      <c r="N654" s="300"/>
      <c r="O654" s="300"/>
      <c r="P654" s="300"/>
      <c r="Q654" s="300"/>
      <c r="R654" s="300"/>
      <c r="S654" s="300"/>
      <c r="T654" s="300"/>
      <c r="U654" s="300"/>
      <c r="V654" s="300"/>
      <c r="W654" s="300"/>
      <c r="X654" s="300"/>
      <c r="Y654" s="300"/>
      <c r="Z654" s="300"/>
    </row>
    <row r="655" spans="1:26">
      <c r="A655" s="215" t="s">
        <v>7979</v>
      </c>
      <c r="B655" s="207">
        <v>2442</v>
      </c>
      <c r="C655" s="215" t="s">
        <v>4779</v>
      </c>
      <c r="D655" s="215" t="s">
        <v>7980</v>
      </c>
      <c r="E655" s="215" t="s">
        <v>7981</v>
      </c>
      <c r="F655" s="215" t="s">
        <v>7755</v>
      </c>
      <c r="G655" s="215" t="s">
        <v>7756</v>
      </c>
      <c r="H655" s="215" t="s">
        <v>6497</v>
      </c>
      <c r="I655" s="300"/>
      <c r="J655" s="300"/>
      <c r="K655" s="300"/>
      <c r="L655" s="300"/>
      <c r="M655" s="300"/>
      <c r="N655" s="300"/>
      <c r="O655" s="300"/>
      <c r="P655" s="300"/>
      <c r="Q655" s="300"/>
      <c r="R655" s="300"/>
      <c r="S655" s="300"/>
      <c r="T655" s="300"/>
      <c r="U655" s="300"/>
      <c r="V655" s="300"/>
      <c r="W655" s="300"/>
      <c r="X655" s="300"/>
      <c r="Y655" s="300"/>
      <c r="Z655" s="300"/>
    </row>
    <row r="656" spans="1:26">
      <c r="A656" s="215" t="s">
        <v>4529</v>
      </c>
      <c r="B656" s="207">
        <v>2443</v>
      </c>
      <c r="C656" s="215" t="s">
        <v>6442</v>
      </c>
      <c r="D656" s="215" t="s">
        <v>7982</v>
      </c>
      <c r="E656" s="215" t="s">
        <v>7983</v>
      </c>
      <c r="F656" s="215" t="s">
        <v>7755</v>
      </c>
      <c r="G656" s="215" t="s">
        <v>7756</v>
      </c>
      <c r="H656" s="215" t="s">
        <v>6500</v>
      </c>
      <c r="I656" s="300"/>
      <c r="J656" s="300"/>
      <c r="K656" s="300"/>
      <c r="L656" s="300"/>
      <c r="M656" s="300"/>
      <c r="N656" s="300"/>
      <c r="O656" s="300"/>
      <c r="P656" s="300"/>
      <c r="Q656" s="300"/>
      <c r="R656" s="300"/>
      <c r="S656" s="300"/>
      <c r="T656" s="300"/>
      <c r="U656" s="300"/>
      <c r="V656" s="300"/>
      <c r="W656" s="300"/>
      <c r="X656" s="300"/>
      <c r="Y656" s="300"/>
      <c r="Z656" s="300"/>
    </row>
    <row r="657" spans="1:26">
      <c r="A657" s="215" t="s">
        <v>4512</v>
      </c>
      <c r="B657" s="207">
        <v>2444</v>
      </c>
      <c r="C657" s="215" t="s">
        <v>6427</v>
      </c>
      <c r="D657" s="215" t="s">
        <v>7984</v>
      </c>
      <c r="E657" s="215" t="s">
        <v>7984</v>
      </c>
      <c r="F657" s="215" t="s">
        <v>7755</v>
      </c>
      <c r="G657" s="215" t="s">
        <v>7756</v>
      </c>
      <c r="H657" s="215" t="s">
        <v>6500</v>
      </c>
      <c r="I657" s="300"/>
      <c r="J657" s="300"/>
      <c r="K657" s="300"/>
      <c r="L657" s="300"/>
      <c r="M657" s="300"/>
      <c r="N657" s="300"/>
      <c r="O657" s="300"/>
      <c r="P657" s="300"/>
      <c r="Q657" s="300"/>
      <c r="R657" s="300"/>
      <c r="S657" s="300"/>
      <c r="T657" s="300"/>
      <c r="U657" s="300"/>
      <c r="V657" s="300"/>
      <c r="W657" s="300"/>
      <c r="X657" s="300"/>
      <c r="Y657" s="300"/>
      <c r="Z657" s="300"/>
    </row>
    <row r="658" spans="1:26">
      <c r="A658" s="215" t="s">
        <v>3225</v>
      </c>
      <c r="B658" s="207">
        <v>2445</v>
      </c>
      <c r="C658" s="215" t="s">
        <v>5355</v>
      </c>
      <c r="D658" s="215" t="s">
        <v>7985</v>
      </c>
      <c r="E658" s="215" t="s">
        <v>7986</v>
      </c>
      <c r="F658" s="215" t="s">
        <v>7755</v>
      </c>
      <c r="G658" s="215" t="s">
        <v>7756</v>
      </c>
      <c r="H658" s="215" t="s">
        <v>6521</v>
      </c>
      <c r="I658" s="300"/>
      <c r="J658" s="300"/>
      <c r="K658" s="300"/>
      <c r="L658" s="300"/>
      <c r="M658" s="300"/>
      <c r="N658" s="300"/>
      <c r="O658" s="300"/>
      <c r="P658" s="300"/>
      <c r="Q658" s="300"/>
      <c r="R658" s="300"/>
      <c r="S658" s="300"/>
      <c r="T658" s="300"/>
      <c r="U658" s="300"/>
      <c r="V658" s="300"/>
      <c r="W658" s="300"/>
      <c r="X658" s="300"/>
      <c r="Y658" s="300"/>
      <c r="Z658" s="300"/>
    </row>
    <row r="659" spans="1:26">
      <c r="A659" s="215" t="s">
        <v>7987</v>
      </c>
      <c r="B659" s="207">
        <v>2446</v>
      </c>
      <c r="C659" s="215" t="s">
        <v>7988</v>
      </c>
      <c r="D659" s="215" t="s">
        <v>7989</v>
      </c>
      <c r="E659" s="215" t="s">
        <v>7990</v>
      </c>
      <c r="F659" s="215" t="s">
        <v>7755</v>
      </c>
      <c r="G659" s="215" t="s">
        <v>7756</v>
      </c>
      <c r="H659" s="215" t="s">
        <v>6500</v>
      </c>
      <c r="I659" s="300"/>
      <c r="J659" s="300"/>
      <c r="K659" s="300"/>
      <c r="L659" s="300"/>
      <c r="M659" s="300"/>
      <c r="N659" s="300"/>
      <c r="O659" s="300"/>
      <c r="P659" s="300"/>
      <c r="Q659" s="300"/>
      <c r="R659" s="300"/>
      <c r="S659" s="300"/>
      <c r="T659" s="300"/>
      <c r="U659" s="300"/>
      <c r="V659" s="300"/>
      <c r="W659" s="300"/>
      <c r="X659" s="300"/>
      <c r="Y659" s="300"/>
      <c r="Z659" s="300"/>
    </row>
    <row r="660" spans="1:26">
      <c r="A660" s="215" t="s">
        <v>4522</v>
      </c>
      <c r="B660" s="207">
        <v>2447</v>
      </c>
      <c r="C660" s="215" t="s">
        <v>6436</v>
      </c>
      <c r="D660" s="215" t="s">
        <v>7991</v>
      </c>
      <c r="E660" s="215" t="s">
        <v>7992</v>
      </c>
      <c r="F660" s="215" t="s">
        <v>7755</v>
      </c>
      <c r="G660" s="215" t="s">
        <v>7756</v>
      </c>
      <c r="H660" s="215" t="s">
        <v>6500</v>
      </c>
      <c r="I660" s="300"/>
      <c r="J660" s="300"/>
      <c r="K660" s="300"/>
      <c r="L660" s="300"/>
      <c r="M660" s="300"/>
      <c r="N660" s="300"/>
      <c r="O660" s="300"/>
      <c r="P660" s="300"/>
      <c r="Q660" s="300"/>
      <c r="R660" s="300"/>
      <c r="S660" s="300"/>
      <c r="T660" s="300"/>
      <c r="U660" s="300"/>
      <c r="V660" s="300"/>
      <c r="W660" s="300"/>
      <c r="X660" s="300"/>
      <c r="Y660" s="300"/>
      <c r="Z660" s="300"/>
    </row>
    <row r="661" spans="1:26">
      <c r="A661" s="215" t="s">
        <v>4526</v>
      </c>
      <c r="B661" s="207">
        <v>2448</v>
      </c>
      <c r="C661" s="215" t="s">
        <v>6440</v>
      </c>
      <c r="D661" s="215" t="s">
        <v>7993</v>
      </c>
      <c r="E661" s="215" t="s">
        <v>7993</v>
      </c>
      <c r="F661" s="215" t="s">
        <v>7755</v>
      </c>
      <c r="G661" s="215" t="s">
        <v>7756</v>
      </c>
      <c r="H661" s="215" t="s">
        <v>6521</v>
      </c>
      <c r="I661" s="300"/>
      <c r="J661" s="300"/>
      <c r="K661" s="300"/>
      <c r="L661" s="300"/>
      <c r="M661" s="300"/>
      <c r="N661" s="300"/>
      <c r="O661" s="300"/>
      <c r="P661" s="300"/>
      <c r="Q661" s="300"/>
      <c r="R661" s="300"/>
      <c r="S661" s="300"/>
      <c r="T661" s="300"/>
      <c r="U661" s="300"/>
      <c r="V661" s="300"/>
      <c r="W661" s="300"/>
      <c r="X661" s="300"/>
      <c r="Y661" s="300"/>
      <c r="Z661" s="300"/>
    </row>
    <row r="662" spans="1:26">
      <c r="A662" s="215"/>
      <c r="B662" s="207">
        <v>2449</v>
      </c>
      <c r="C662" s="215" t="s">
        <v>7994</v>
      </c>
      <c r="D662" s="215" t="s">
        <v>7995</v>
      </c>
      <c r="E662" s="215" t="s">
        <v>7995</v>
      </c>
      <c r="F662" s="215" t="s">
        <v>7755</v>
      </c>
      <c r="G662" s="215" t="s">
        <v>7756</v>
      </c>
      <c r="H662" s="215" t="s">
        <v>6497</v>
      </c>
      <c r="I662" s="300"/>
      <c r="J662" s="300"/>
      <c r="K662" s="300"/>
      <c r="L662" s="300"/>
      <c r="M662" s="300"/>
      <c r="N662" s="300"/>
      <c r="O662" s="300"/>
      <c r="P662" s="300"/>
      <c r="Q662" s="300"/>
      <c r="R662" s="300"/>
      <c r="S662" s="300"/>
      <c r="T662" s="300"/>
      <c r="U662" s="300"/>
      <c r="V662" s="300"/>
      <c r="W662" s="300"/>
      <c r="X662" s="300"/>
      <c r="Y662" s="300"/>
      <c r="Z662" s="300"/>
    </row>
    <row r="663" spans="1:26">
      <c r="A663" s="215"/>
      <c r="B663" s="207">
        <v>2456</v>
      </c>
      <c r="C663" s="215" t="s">
        <v>7996</v>
      </c>
      <c r="D663" s="215" t="s">
        <v>7997</v>
      </c>
      <c r="E663" s="215" t="s">
        <v>7997</v>
      </c>
      <c r="F663" s="215" t="s">
        <v>7755</v>
      </c>
      <c r="G663" s="215" t="s">
        <v>7756</v>
      </c>
      <c r="H663" s="215" t="s">
        <v>6504</v>
      </c>
      <c r="I663" s="300"/>
      <c r="J663" s="300"/>
      <c r="K663" s="300"/>
      <c r="L663" s="300"/>
      <c r="M663" s="300"/>
      <c r="N663" s="300"/>
      <c r="O663" s="300"/>
      <c r="P663" s="300"/>
      <c r="Q663" s="300"/>
      <c r="R663" s="300"/>
      <c r="S663" s="300"/>
      <c r="T663" s="300"/>
      <c r="U663" s="300"/>
      <c r="V663" s="300"/>
      <c r="W663" s="300"/>
      <c r="X663" s="300"/>
      <c r="Y663" s="300"/>
      <c r="Z663" s="300"/>
    </row>
    <row r="664" spans="1:26">
      <c r="A664" s="215" t="s">
        <v>2518</v>
      </c>
      <c r="B664" s="207">
        <v>981</v>
      </c>
      <c r="C664" s="215" t="s">
        <v>4785</v>
      </c>
      <c r="D664" s="215" t="s">
        <v>2518</v>
      </c>
      <c r="E664" s="215" t="s">
        <v>2518</v>
      </c>
      <c r="F664" s="215" t="s">
        <v>7998</v>
      </c>
      <c r="G664" s="215" t="s">
        <v>7999</v>
      </c>
      <c r="H664" s="215" t="s">
        <v>6521</v>
      </c>
      <c r="I664" s="300"/>
      <c r="J664" s="300"/>
      <c r="K664" s="300"/>
      <c r="L664" s="300"/>
      <c r="M664" s="300"/>
      <c r="N664" s="300"/>
      <c r="O664" s="300"/>
      <c r="P664" s="300"/>
      <c r="Q664" s="300"/>
      <c r="R664" s="300"/>
      <c r="S664" s="300"/>
      <c r="T664" s="300"/>
      <c r="U664" s="300"/>
      <c r="V664" s="300"/>
      <c r="W664" s="300"/>
      <c r="X664" s="300"/>
      <c r="Y664" s="300"/>
      <c r="Z664" s="300"/>
    </row>
    <row r="665" spans="1:26">
      <c r="A665" s="215" t="s">
        <v>2518</v>
      </c>
      <c r="B665" s="207">
        <v>983</v>
      </c>
      <c r="C665" s="215" t="s">
        <v>4786</v>
      </c>
      <c r="D665" s="215" t="s">
        <v>8000</v>
      </c>
      <c r="E665" s="215" t="s">
        <v>8000</v>
      </c>
      <c r="F665" s="215" t="s">
        <v>7998</v>
      </c>
      <c r="G665" s="215" t="s">
        <v>7999</v>
      </c>
      <c r="H665" s="215" t="s">
        <v>6521</v>
      </c>
      <c r="I665" s="300"/>
      <c r="J665" s="300"/>
      <c r="K665" s="300"/>
      <c r="L665" s="300"/>
      <c r="M665" s="300"/>
      <c r="N665" s="300"/>
      <c r="O665" s="300"/>
      <c r="P665" s="300"/>
      <c r="Q665" s="300"/>
      <c r="R665" s="300"/>
      <c r="S665" s="300"/>
      <c r="T665" s="300"/>
      <c r="U665" s="300"/>
      <c r="V665" s="300"/>
      <c r="W665" s="300"/>
      <c r="X665" s="300"/>
      <c r="Y665" s="300"/>
      <c r="Z665" s="300"/>
    </row>
    <row r="666" spans="1:26">
      <c r="A666" s="215" t="s">
        <v>2518</v>
      </c>
      <c r="B666" s="207">
        <v>984</v>
      </c>
      <c r="C666" s="215" t="s">
        <v>4787</v>
      </c>
      <c r="D666" s="215" t="s">
        <v>8001</v>
      </c>
      <c r="E666" s="215" t="s">
        <v>8001</v>
      </c>
      <c r="F666" s="215" t="s">
        <v>7998</v>
      </c>
      <c r="G666" s="215" t="s">
        <v>7999</v>
      </c>
      <c r="H666" s="215" t="s">
        <v>6500</v>
      </c>
      <c r="I666" s="300"/>
      <c r="J666" s="300"/>
      <c r="K666" s="300"/>
      <c r="L666" s="300"/>
      <c r="M666" s="300"/>
      <c r="N666" s="300"/>
      <c r="O666" s="300"/>
      <c r="P666" s="300"/>
      <c r="Q666" s="300"/>
      <c r="R666" s="300"/>
      <c r="S666" s="300"/>
      <c r="T666" s="300"/>
      <c r="U666" s="300"/>
      <c r="V666" s="300"/>
      <c r="W666" s="300"/>
      <c r="X666" s="300"/>
      <c r="Y666" s="300"/>
      <c r="Z666" s="300"/>
    </row>
    <row r="667" spans="1:26">
      <c r="A667" s="215" t="s">
        <v>2970</v>
      </c>
      <c r="B667" s="207">
        <v>1084</v>
      </c>
      <c r="C667" s="215" t="s">
        <v>5120</v>
      </c>
      <c r="D667" s="215" t="s">
        <v>3266</v>
      </c>
      <c r="E667" s="215" t="s">
        <v>8002</v>
      </c>
      <c r="F667" s="215" t="s">
        <v>7998</v>
      </c>
      <c r="G667" s="215" t="s">
        <v>7999</v>
      </c>
      <c r="H667" s="215" t="s">
        <v>6500</v>
      </c>
      <c r="I667" s="300"/>
      <c r="J667" s="300"/>
      <c r="K667" s="300"/>
      <c r="L667" s="300"/>
      <c r="M667" s="300"/>
      <c r="N667" s="300"/>
      <c r="O667" s="300"/>
      <c r="P667" s="300"/>
      <c r="Q667" s="300"/>
      <c r="R667" s="300"/>
      <c r="S667" s="300"/>
      <c r="T667" s="300"/>
      <c r="U667" s="300"/>
      <c r="V667" s="300"/>
      <c r="W667" s="300"/>
      <c r="X667" s="300"/>
      <c r="Y667" s="300"/>
      <c r="Z667" s="300"/>
    </row>
    <row r="668" spans="1:26">
      <c r="A668" s="215" t="s">
        <v>3707</v>
      </c>
      <c r="B668" s="207">
        <v>1087</v>
      </c>
      <c r="C668" s="215" t="s">
        <v>5793</v>
      </c>
      <c r="D668" s="215" t="s">
        <v>8003</v>
      </c>
      <c r="E668" s="215" t="s">
        <v>8003</v>
      </c>
      <c r="F668" s="215" t="s">
        <v>7998</v>
      </c>
      <c r="G668" s="215" t="s">
        <v>7999</v>
      </c>
      <c r="H668" s="215" t="s">
        <v>6521</v>
      </c>
      <c r="I668" s="300"/>
      <c r="J668" s="300"/>
      <c r="K668" s="300"/>
      <c r="L668" s="300"/>
      <c r="M668" s="300"/>
      <c r="N668" s="300"/>
      <c r="O668" s="300"/>
      <c r="P668" s="300"/>
      <c r="Q668" s="300"/>
      <c r="R668" s="300"/>
      <c r="S668" s="300"/>
      <c r="T668" s="300"/>
      <c r="U668" s="300"/>
      <c r="V668" s="300"/>
      <c r="W668" s="300"/>
      <c r="X668" s="300"/>
      <c r="Y668" s="300"/>
      <c r="Z668" s="300"/>
    </row>
    <row r="669" spans="1:26">
      <c r="A669" s="215" t="s">
        <v>4162</v>
      </c>
      <c r="B669" s="207">
        <v>1100</v>
      </c>
      <c r="C669" s="215" t="s">
        <v>6150</v>
      </c>
      <c r="D669" s="215" t="s">
        <v>8004</v>
      </c>
      <c r="E669" s="215" t="s">
        <v>8004</v>
      </c>
      <c r="F669" s="215" t="s">
        <v>7998</v>
      </c>
      <c r="G669" s="215" t="s">
        <v>7999</v>
      </c>
      <c r="H669" s="215" t="s">
        <v>6500</v>
      </c>
      <c r="I669" s="300"/>
      <c r="J669" s="300"/>
      <c r="K669" s="300"/>
      <c r="L669" s="300"/>
      <c r="M669" s="300"/>
      <c r="N669" s="300"/>
      <c r="O669" s="300"/>
      <c r="P669" s="300"/>
      <c r="Q669" s="300"/>
      <c r="R669" s="300"/>
      <c r="S669" s="300"/>
      <c r="T669" s="300"/>
      <c r="U669" s="300"/>
      <c r="V669" s="300"/>
      <c r="W669" s="300"/>
      <c r="X669" s="300"/>
      <c r="Y669" s="300"/>
      <c r="Z669" s="300"/>
    </row>
    <row r="670" spans="1:26">
      <c r="A670" s="215" t="s">
        <v>8005</v>
      </c>
      <c r="B670" s="207">
        <v>1179</v>
      </c>
      <c r="C670" s="215" t="s">
        <v>5621</v>
      </c>
      <c r="D670" s="215" t="s">
        <v>8006</v>
      </c>
      <c r="E670" s="215" t="s">
        <v>8006</v>
      </c>
      <c r="F670" s="215" t="s">
        <v>7998</v>
      </c>
      <c r="G670" s="215" t="s">
        <v>7999</v>
      </c>
      <c r="H670" s="215" t="s">
        <v>6521</v>
      </c>
      <c r="I670" s="300"/>
      <c r="J670" s="300"/>
      <c r="K670" s="300"/>
      <c r="L670" s="300"/>
      <c r="M670" s="300"/>
      <c r="N670" s="300"/>
      <c r="O670" s="300"/>
      <c r="P670" s="300"/>
      <c r="Q670" s="300"/>
      <c r="R670" s="300"/>
      <c r="S670" s="300"/>
      <c r="T670" s="300"/>
      <c r="U670" s="300"/>
      <c r="V670" s="300"/>
      <c r="W670" s="300"/>
      <c r="X670" s="300"/>
      <c r="Y670" s="300"/>
      <c r="Z670" s="300"/>
    </row>
    <row r="671" spans="1:26">
      <c r="A671" s="215"/>
      <c r="B671" s="207">
        <v>1191</v>
      </c>
      <c r="C671" s="215" t="s">
        <v>5594</v>
      </c>
      <c r="D671" s="215" t="s">
        <v>8007</v>
      </c>
      <c r="E671" s="215" t="s">
        <v>8007</v>
      </c>
      <c r="F671" s="215" t="s">
        <v>7998</v>
      </c>
      <c r="G671" s="215" t="s">
        <v>7999</v>
      </c>
      <c r="H671" s="215" t="s">
        <v>6497</v>
      </c>
      <c r="I671" s="300"/>
      <c r="J671" s="300"/>
      <c r="K671" s="300"/>
      <c r="L671" s="300"/>
      <c r="M671" s="300"/>
      <c r="N671" s="300"/>
      <c r="O671" s="300"/>
      <c r="P671" s="300"/>
      <c r="Q671" s="300"/>
      <c r="R671" s="300"/>
      <c r="S671" s="300"/>
      <c r="T671" s="300"/>
      <c r="U671" s="300"/>
      <c r="V671" s="300"/>
      <c r="W671" s="300"/>
      <c r="X671" s="300"/>
      <c r="Y671" s="300"/>
      <c r="Z671" s="300"/>
    </row>
    <row r="672" spans="1:26">
      <c r="A672" s="215" t="s">
        <v>3514</v>
      </c>
      <c r="B672" s="207">
        <v>1194</v>
      </c>
      <c r="C672" s="215" t="s">
        <v>8008</v>
      </c>
      <c r="D672" s="215" t="s">
        <v>8009</v>
      </c>
      <c r="E672" s="215" t="s">
        <v>8009</v>
      </c>
      <c r="F672" s="215" t="s">
        <v>7998</v>
      </c>
      <c r="G672" s="215" t="s">
        <v>7999</v>
      </c>
      <c r="H672" s="215" t="s">
        <v>6500</v>
      </c>
      <c r="I672" s="300"/>
      <c r="J672" s="300"/>
      <c r="K672" s="300"/>
      <c r="L672" s="300"/>
      <c r="M672" s="300"/>
      <c r="N672" s="300"/>
      <c r="O672" s="300"/>
      <c r="P672" s="300"/>
      <c r="Q672" s="300"/>
      <c r="R672" s="300"/>
      <c r="S672" s="300"/>
      <c r="T672" s="300"/>
      <c r="U672" s="300"/>
      <c r="V672" s="300"/>
      <c r="W672" s="300"/>
      <c r="X672" s="300"/>
      <c r="Y672" s="300"/>
      <c r="Z672" s="300"/>
    </row>
    <row r="673" spans="1:26">
      <c r="A673" s="215" t="s">
        <v>4318</v>
      </c>
      <c r="B673" s="207">
        <v>1219</v>
      </c>
      <c r="C673" s="215" t="s">
        <v>6274</v>
      </c>
      <c r="D673" s="215" t="s">
        <v>8010</v>
      </c>
      <c r="E673" s="215" t="s">
        <v>8011</v>
      </c>
      <c r="F673" s="215" t="s">
        <v>7998</v>
      </c>
      <c r="G673" s="215" t="s">
        <v>7999</v>
      </c>
      <c r="H673" s="215" t="s">
        <v>6500</v>
      </c>
      <c r="I673" s="300"/>
      <c r="J673" s="300"/>
      <c r="K673" s="300"/>
      <c r="L673" s="300"/>
      <c r="M673" s="300"/>
      <c r="N673" s="300"/>
      <c r="O673" s="300"/>
      <c r="P673" s="300"/>
      <c r="Q673" s="300"/>
      <c r="R673" s="300"/>
      <c r="S673" s="300"/>
      <c r="T673" s="300"/>
      <c r="U673" s="300"/>
      <c r="V673" s="300"/>
      <c r="W673" s="300"/>
      <c r="X673" s="300"/>
      <c r="Y673" s="300"/>
      <c r="Z673" s="300"/>
    </row>
    <row r="674" spans="1:26">
      <c r="A674" s="215" t="s">
        <v>3341</v>
      </c>
      <c r="B674" s="207">
        <v>1221</v>
      </c>
      <c r="C674" s="215" t="s">
        <v>5464</v>
      </c>
      <c r="D674" s="215" t="s">
        <v>8012</v>
      </c>
      <c r="E674" s="215" t="s">
        <v>8012</v>
      </c>
      <c r="F674" s="215" t="s">
        <v>7998</v>
      </c>
      <c r="G674" s="215" t="s">
        <v>7999</v>
      </c>
      <c r="H674" s="215" t="s">
        <v>6500</v>
      </c>
      <c r="I674" s="300"/>
      <c r="J674" s="300"/>
      <c r="K674" s="300"/>
      <c r="L674" s="300"/>
      <c r="M674" s="300"/>
      <c r="N674" s="300"/>
      <c r="O674" s="300"/>
      <c r="P674" s="300"/>
      <c r="Q674" s="300"/>
      <c r="R674" s="300"/>
      <c r="S674" s="300"/>
      <c r="T674" s="300"/>
      <c r="U674" s="300"/>
      <c r="V674" s="300"/>
      <c r="W674" s="300"/>
      <c r="X674" s="300"/>
      <c r="Y674" s="300"/>
      <c r="Z674" s="300"/>
    </row>
    <row r="675" spans="1:26">
      <c r="A675" s="215"/>
      <c r="B675" s="207">
        <v>1512</v>
      </c>
      <c r="C675" s="215" t="s">
        <v>8013</v>
      </c>
      <c r="D675" s="215" t="s">
        <v>3675</v>
      </c>
      <c r="E675" s="215" t="s">
        <v>3675</v>
      </c>
      <c r="F675" s="215" t="s">
        <v>7998</v>
      </c>
      <c r="G675" s="215" t="s">
        <v>7999</v>
      </c>
      <c r="H675" s="215" t="s">
        <v>6497</v>
      </c>
      <c r="I675" s="300"/>
      <c r="J675" s="300"/>
      <c r="K675" s="300"/>
      <c r="L675" s="300"/>
      <c r="M675" s="300"/>
      <c r="N675" s="300"/>
      <c r="O675" s="300"/>
      <c r="P675" s="300"/>
      <c r="Q675" s="300"/>
      <c r="R675" s="300"/>
      <c r="S675" s="300"/>
      <c r="T675" s="300"/>
      <c r="U675" s="300"/>
      <c r="V675" s="300"/>
      <c r="W675" s="300"/>
      <c r="X675" s="300"/>
      <c r="Y675" s="300"/>
      <c r="Z675" s="300"/>
    </row>
    <row r="676" spans="1:26">
      <c r="A676" s="215" t="s">
        <v>4564</v>
      </c>
      <c r="B676" s="207">
        <v>2260</v>
      </c>
      <c r="C676" s="215" t="s">
        <v>4880</v>
      </c>
      <c r="D676" s="215" t="s">
        <v>8014</v>
      </c>
      <c r="E676" s="215" t="s">
        <v>8014</v>
      </c>
      <c r="F676" s="215" t="s">
        <v>7998</v>
      </c>
      <c r="G676" s="215" t="s">
        <v>7999</v>
      </c>
      <c r="H676" s="215" t="s">
        <v>6500</v>
      </c>
      <c r="I676" s="300"/>
      <c r="J676" s="300"/>
      <c r="K676" s="300"/>
      <c r="L676" s="300"/>
      <c r="M676" s="300"/>
      <c r="N676" s="300"/>
      <c r="O676" s="300"/>
      <c r="P676" s="300"/>
      <c r="Q676" s="300"/>
      <c r="R676" s="300"/>
      <c r="S676" s="300"/>
      <c r="T676" s="300"/>
      <c r="U676" s="300"/>
      <c r="V676" s="300"/>
      <c r="W676" s="300"/>
      <c r="X676" s="300"/>
      <c r="Y676" s="300"/>
      <c r="Z676" s="300"/>
    </row>
    <row r="677" spans="1:26">
      <c r="A677" s="215" t="s">
        <v>3619</v>
      </c>
      <c r="B677" s="207">
        <v>2259</v>
      </c>
      <c r="C677" s="215" t="s">
        <v>8015</v>
      </c>
      <c r="D677" s="215" t="s">
        <v>8016</v>
      </c>
      <c r="E677" s="215" t="s">
        <v>8017</v>
      </c>
      <c r="F677" s="215" t="s">
        <v>8018</v>
      </c>
      <c r="G677" s="215" t="s">
        <v>8019</v>
      </c>
      <c r="H677" s="215" t="s">
        <v>6521</v>
      </c>
      <c r="I677" s="300"/>
      <c r="J677" s="300"/>
      <c r="K677" s="300"/>
      <c r="L677" s="300"/>
      <c r="M677" s="300"/>
      <c r="N677" s="300"/>
      <c r="O677" s="300"/>
      <c r="P677" s="300"/>
      <c r="Q677" s="300"/>
      <c r="R677" s="300"/>
      <c r="S677" s="300"/>
      <c r="T677" s="300"/>
      <c r="U677" s="300"/>
      <c r="V677" s="300"/>
      <c r="W677" s="300"/>
      <c r="X677" s="300"/>
      <c r="Y677" s="300"/>
      <c r="Z677" s="300"/>
    </row>
    <row r="678" spans="1:26">
      <c r="A678" s="215" t="s">
        <v>4492</v>
      </c>
      <c r="B678" s="207">
        <v>1128</v>
      </c>
      <c r="C678" s="215" t="s">
        <v>6412</v>
      </c>
      <c r="D678" s="215" t="s">
        <v>8020</v>
      </c>
      <c r="E678" s="215" t="s">
        <v>8020</v>
      </c>
      <c r="F678" s="215" t="s">
        <v>8021</v>
      </c>
      <c r="G678" s="215" t="s">
        <v>8022</v>
      </c>
      <c r="H678" s="215" t="s">
        <v>6521</v>
      </c>
      <c r="I678" s="300"/>
      <c r="J678" s="300"/>
      <c r="K678" s="300"/>
      <c r="L678" s="300"/>
      <c r="M678" s="300"/>
      <c r="N678" s="300"/>
      <c r="O678" s="300"/>
      <c r="P678" s="300"/>
      <c r="Q678" s="300"/>
      <c r="R678" s="300"/>
      <c r="S678" s="300"/>
      <c r="T678" s="300"/>
      <c r="U678" s="300"/>
      <c r="V678" s="300"/>
      <c r="W678" s="300"/>
      <c r="X678" s="300"/>
      <c r="Y678" s="300"/>
      <c r="Z678" s="300"/>
    </row>
    <row r="679" spans="1:26">
      <c r="A679" s="215" t="s">
        <v>4460</v>
      </c>
      <c r="B679" s="207">
        <v>1434</v>
      </c>
      <c r="C679" s="215" t="s">
        <v>6389</v>
      </c>
      <c r="D679" s="215" t="s">
        <v>8023</v>
      </c>
      <c r="E679" s="215" t="s">
        <v>7774</v>
      </c>
      <c r="F679" s="215" t="s">
        <v>8024</v>
      </c>
      <c r="G679" s="215" t="s">
        <v>8025</v>
      </c>
      <c r="H679" s="215" t="s">
        <v>6500</v>
      </c>
      <c r="I679" s="300"/>
      <c r="J679" s="300"/>
      <c r="K679" s="300"/>
      <c r="L679" s="300"/>
      <c r="M679" s="300"/>
      <c r="N679" s="300"/>
      <c r="O679" s="300"/>
      <c r="P679" s="300"/>
      <c r="Q679" s="300"/>
      <c r="R679" s="300"/>
      <c r="S679" s="300"/>
      <c r="T679" s="300"/>
      <c r="U679" s="300"/>
      <c r="V679" s="300"/>
      <c r="W679" s="300"/>
      <c r="X679" s="300"/>
      <c r="Y679" s="300"/>
      <c r="Z679" s="300"/>
    </row>
    <row r="680" spans="1:26">
      <c r="A680" s="215" t="s">
        <v>3673</v>
      </c>
      <c r="B680" s="207">
        <v>2477</v>
      </c>
      <c r="C680" s="215" t="s">
        <v>8026</v>
      </c>
      <c r="D680" s="215" t="s">
        <v>8027</v>
      </c>
      <c r="E680" s="215" t="s">
        <v>8027</v>
      </c>
      <c r="F680" s="215" t="s">
        <v>8028</v>
      </c>
      <c r="G680" s="215" t="s">
        <v>8029</v>
      </c>
      <c r="H680" s="215" t="s">
        <v>6497</v>
      </c>
      <c r="I680" s="300"/>
      <c r="J680" s="300"/>
      <c r="K680" s="300"/>
      <c r="L680" s="300"/>
      <c r="M680" s="300"/>
      <c r="N680" s="300"/>
      <c r="O680" s="300"/>
      <c r="P680" s="300"/>
      <c r="Q680" s="300"/>
      <c r="R680" s="300"/>
      <c r="S680" s="300"/>
      <c r="T680" s="300"/>
      <c r="U680" s="300"/>
      <c r="V680" s="300"/>
      <c r="W680" s="300"/>
      <c r="X680" s="300"/>
      <c r="Y680" s="300"/>
      <c r="Z680" s="300"/>
    </row>
    <row r="681" spans="1:26">
      <c r="A681" s="215" t="s">
        <v>8030</v>
      </c>
      <c r="B681" s="207">
        <v>458</v>
      </c>
      <c r="C681" s="215" t="s">
        <v>8031</v>
      </c>
      <c r="D681" s="215" t="s">
        <v>8032</v>
      </c>
      <c r="E681" s="215" t="s">
        <v>8033</v>
      </c>
      <c r="F681" s="215" t="s">
        <v>8034</v>
      </c>
      <c r="G681" s="215" t="s">
        <v>8035</v>
      </c>
      <c r="H681" s="215" t="s">
        <v>6500</v>
      </c>
      <c r="I681" s="300"/>
      <c r="J681" s="300"/>
      <c r="K681" s="300"/>
      <c r="L681" s="300"/>
      <c r="M681" s="300"/>
      <c r="N681" s="300"/>
      <c r="O681" s="300"/>
      <c r="P681" s="300"/>
      <c r="Q681" s="300"/>
      <c r="R681" s="300"/>
      <c r="S681" s="300"/>
      <c r="T681" s="300"/>
      <c r="U681" s="300"/>
      <c r="V681" s="300"/>
      <c r="W681" s="300"/>
      <c r="X681" s="300"/>
      <c r="Y681" s="300"/>
      <c r="Z681" s="300"/>
    </row>
    <row r="682" spans="1:26">
      <c r="A682" s="215"/>
      <c r="B682" s="207">
        <v>675</v>
      </c>
      <c r="C682" s="215" t="s">
        <v>5237</v>
      </c>
      <c r="D682" s="215" t="s">
        <v>8036</v>
      </c>
      <c r="E682" s="215" t="s">
        <v>8037</v>
      </c>
      <c r="F682" s="215" t="s">
        <v>8038</v>
      </c>
      <c r="G682" s="215" t="s">
        <v>8039</v>
      </c>
      <c r="H682" s="215" t="s">
        <v>6500</v>
      </c>
      <c r="I682" s="300"/>
      <c r="J682" s="300"/>
      <c r="K682" s="300"/>
      <c r="L682" s="300"/>
      <c r="M682" s="300"/>
      <c r="N682" s="300"/>
      <c r="O682" s="300"/>
      <c r="P682" s="300"/>
      <c r="Q682" s="300"/>
      <c r="R682" s="300"/>
      <c r="S682" s="300"/>
      <c r="T682" s="300"/>
      <c r="U682" s="300"/>
      <c r="V682" s="300"/>
      <c r="W682" s="300"/>
      <c r="X682" s="300"/>
      <c r="Y682" s="300"/>
      <c r="Z682" s="300"/>
    </row>
    <row r="683" spans="1:26">
      <c r="A683" s="215" t="s">
        <v>4350</v>
      </c>
      <c r="B683" s="207">
        <v>1234</v>
      </c>
      <c r="C683" s="215" t="s">
        <v>6302</v>
      </c>
      <c r="D683" s="215" t="s">
        <v>8040</v>
      </c>
      <c r="E683" s="215" t="s">
        <v>8041</v>
      </c>
      <c r="F683" s="215" t="s">
        <v>8038</v>
      </c>
      <c r="G683" s="215" t="s">
        <v>8039</v>
      </c>
      <c r="H683" s="215" t="s">
        <v>6521</v>
      </c>
      <c r="I683" s="300"/>
      <c r="J683" s="300"/>
      <c r="K683" s="300"/>
      <c r="L683" s="300"/>
      <c r="M683" s="300"/>
      <c r="N683" s="300"/>
      <c r="O683" s="300"/>
      <c r="P683" s="300"/>
      <c r="Q683" s="300"/>
      <c r="R683" s="300"/>
      <c r="S683" s="300"/>
      <c r="T683" s="300"/>
      <c r="U683" s="300"/>
      <c r="V683" s="300"/>
      <c r="W683" s="300"/>
      <c r="X683" s="300"/>
      <c r="Y683" s="300"/>
      <c r="Z683" s="300"/>
    </row>
    <row r="684" spans="1:26">
      <c r="A684" s="215" t="s">
        <v>3532</v>
      </c>
      <c r="B684" s="207">
        <v>1127</v>
      </c>
      <c r="C684" s="215" t="s">
        <v>8042</v>
      </c>
      <c r="D684" s="215" t="s">
        <v>8043</v>
      </c>
      <c r="E684" s="215" t="s">
        <v>8043</v>
      </c>
      <c r="F684" s="215" t="s">
        <v>8044</v>
      </c>
      <c r="G684" s="215" t="s">
        <v>8045</v>
      </c>
      <c r="H684" s="215" t="s">
        <v>6521</v>
      </c>
      <c r="I684" s="300"/>
      <c r="J684" s="300"/>
      <c r="K684" s="300"/>
      <c r="L684" s="300"/>
      <c r="M684" s="300"/>
      <c r="N684" s="300"/>
      <c r="O684" s="300"/>
      <c r="P684" s="300"/>
      <c r="Q684" s="300"/>
      <c r="R684" s="300"/>
      <c r="S684" s="300"/>
      <c r="T684" s="300"/>
      <c r="U684" s="300"/>
      <c r="V684" s="300"/>
      <c r="W684" s="300"/>
      <c r="X684" s="300"/>
      <c r="Y684" s="300"/>
      <c r="Z684" s="300"/>
    </row>
    <row r="685" spans="1:26">
      <c r="A685" s="215" t="s">
        <v>4419</v>
      </c>
      <c r="B685" s="207">
        <v>1379</v>
      </c>
      <c r="C685" s="215" t="s">
        <v>6356</v>
      </c>
      <c r="D685" s="215" t="s">
        <v>8046</v>
      </c>
      <c r="E685" s="215" t="s">
        <v>8047</v>
      </c>
      <c r="F685" s="215" t="s">
        <v>8048</v>
      </c>
      <c r="G685" s="215" t="s">
        <v>8049</v>
      </c>
      <c r="H685" s="215" t="s">
        <v>6500</v>
      </c>
      <c r="I685" s="300"/>
      <c r="J685" s="300"/>
      <c r="K685" s="300"/>
      <c r="L685" s="300"/>
      <c r="M685" s="300"/>
      <c r="N685" s="300"/>
      <c r="O685" s="300"/>
      <c r="P685" s="300"/>
      <c r="Q685" s="300"/>
      <c r="R685" s="300"/>
      <c r="S685" s="300"/>
      <c r="T685" s="300"/>
      <c r="U685" s="300"/>
      <c r="V685" s="300"/>
      <c r="W685" s="300"/>
      <c r="X685" s="300"/>
      <c r="Y685" s="300"/>
      <c r="Z685" s="300"/>
    </row>
    <row r="686" spans="1:26">
      <c r="A686" s="215" t="s">
        <v>3159</v>
      </c>
      <c r="B686" s="207">
        <v>452</v>
      </c>
      <c r="C686" s="215" t="s">
        <v>5291</v>
      </c>
      <c r="D686" s="215" t="s">
        <v>8050</v>
      </c>
      <c r="E686" s="215" t="s">
        <v>8050</v>
      </c>
      <c r="F686" s="215" t="s">
        <v>8051</v>
      </c>
      <c r="G686" s="215" t="s">
        <v>8052</v>
      </c>
      <c r="H686" s="215" t="s">
        <v>6497</v>
      </c>
      <c r="I686" s="300"/>
      <c r="J686" s="300"/>
      <c r="K686" s="300"/>
      <c r="L686" s="300"/>
      <c r="M686" s="300"/>
      <c r="N686" s="300"/>
      <c r="O686" s="300"/>
      <c r="P686" s="300"/>
      <c r="Q686" s="300"/>
      <c r="R686" s="300"/>
      <c r="S686" s="300"/>
      <c r="T686" s="300"/>
      <c r="U686" s="300"/>
      <c r="V686" s="300"/>
      <c r="W686" s="300"/>
      <c r="X686" s="300"/>
      <c r="Y686" s="300"/>
      <c r="Z686" s="300"/>
    </row>
    <row r="687" spans="1:26">
      <c r="A687" s="215" t="s">
        <v>3159</v>
      </c>
      <c r="B687" s="207">
        <v>489</v>
      </c>
      <c r="C687" s="215" t="s">
        <v>5293</v>
      </c>
      <c r="D687" s="215" t="s">
        <v>8053</v>
      </c>
      <c r="E687" s="215" t="s">
        <v>8054</v>
      </c>
      <c r="F687" s="215" t="s">
        <v>8051</v>
      </c>
      <c r="G687" s="215" t="s">
        <v>8052</v>
      </c>
      <c r="H687" s="215" t="s">
        <v>6504</v>
      </c>
      <c r="I687" s="300"/>
      <c r="J687" s="300"/>
      <c r="K687" s="300"/>
      <c r="L687" s="300"/>
      <c r="M687" s="300"/>
      <c r="N687" s="300"/>
      <c r="O687" s="300"/>
      <c r="P687" s="300"/>
      <c r="Q687" s="300"/>
      <c r="R687" s="300"/>
      <c r="S687" s="300"/>
      <c r="T687" s="300"/>
      <c r="U687" s="300"/>
      <c r="V687" s="300"/>
      <c r="W687" s="300"/>
      <c r="X687" s="300"/>
      <c r="Y687" s="300"/>
      <c r="Z687" s="300"/>
    </row>
    <row r="688" spans="1:26">
      <c r="A688" s="215" t="s">
        <v>3306</v>
      </c>
      <c r="B688" s="207">
        <v>15</v>
      </c>
      <c r="C688" s="215" t="s">
        <v>8055</v>
      </c>
      <c r="D688" s="215" t="s">
        <v>8056</v>
      </c>
      <c r="E688" s="215" t="s">
        <v>8057</v>
      </c>
      <c r="F688" s="215" t="s">
        <v>8058</v>
      </c>
      <c r="G688" s="215" t="s">
        <v>8059</v>
      </c>
      <c r="H688" s="215" t="s">
        <v>6504</v>
      </c>
      <c r="I688" s="300"/>
      <c r="J688" s="300"/>
      <c r="K688" s="300"/>
      <c r="L688" s="300"/>
      <c r="M688" s="300"/>
      <c r="N688" s="300"/>
      <c r="O688" s="300"/>
      <c r="P688" s="300"/>
      <c r="Q688" s="300"/>
      <c r="R688" s="300"/>
      <c r="S688" s="300"/>
      <c r="T688" s="300"/>
      <c r="U688" s="300"/>
      <c r="V688" s="300"/>
      <c r="W688" s="300"/>
      <c r="X688" s="300"/>
      <c r="Y688" s="300"/>
      <c r="Z688" s="300"/>
    </row>
    <row r="689" spans="1:26">
      <c r="A689" s="215" t="s">
        <v>4255</v>
      </c>
      <c r="B689" s="207">
        <v>16</v>
      </c>
      <c r="C689" s="215" t="s">
        <v>6227</v>
      </c>
      <c r="D689" s="215" t="s">
        <v>8060</v>
      </c>
      <c r="E689" s="215" t="s">
        <v>8060</v>
      </c>
      <c r="F689" s="215" t="s">
        <v>8058</v>
      </c>
      <c r="G689" s="215" t="s">
        <v>8059</v>
      </c>
      <c r="H689" s="215" t="s">
        <v>6548</v>
      </c>
      <c r="I689" s="300"/>
      <c r="J689" s="300"/>
      <c r="K689" s="300"/>
      <c r="L689" s="300"/>
      <c r="M689" s="300"/>
      <c r="N689" s="300"/>
      <c r="O689" s="300"/>
      <c r="P689" s="300"/>
      <c r="Q689" s="300"/>
      <c r="R689" s="300"/>
      <c r="S689" s="300"/>
      <c r="T689" s="300"/>
      <c r="U689" s="300"/>
      <c r="V689" s="300"/>
      <c r="W689" s="300"/>
      <c r="X689" s="300"/>
      <c r="Y689" s="300"/>
      <c r="Z689" s="300"/>
    </row>
    <row r="690" spans="1:26">
      <c r="A690" s="215" t="s">
        <v>3083</v>
      </c>
      <c r="B690" s="207">
        <v>1320</v>
      </c>
      <c r="C690" s="215" t="s">
        <v>5216</v>
      </c>
      <c r="D690" s="215" t="s">
        <v>3083</v>
      </c>
      <c r="E690" s="215" t="s">
        <v>3083</v>
      </c>
      <c r="F690" s="215" t="s">
        <v>8058</v>
      </c>
      <c r="G690" s="215" t="s">
        <v>8059</v>
      </c>
      <c r="H690" s="215" t="s">
        <v>6504</v>
      </c>
      <c r="I690" s="300"/>
      <c r="J690" s="300"/>
      <c r="K690" s="300"/>
      <c r="L690" s="300"/>
      <c r="M690" s="300"/>
      <c r="N690" s="300"/>
      <c r="O690" s="300"/>
      <c r="P690" s="300"/>
      <c r="Q690" s="300"/>
      <c r="R690" s="300"/>
      <c r="S690" s="300"/>
      <c r="T690" s="300"/>
      <c r="U690" s="300"/>
      <c r="V690" s="300"/>
      <c r="W690" s="300"/>
      <c r="X690" s="300"/>
      <c r="Y690" s="300"/>
      <c r="Z690" s="300"/>
    </row>
    <row r="691" spans="1:26">
      <c r="A691" s="215" t="s">
        <v>3097</v>
      </c>
      <c r="B691" s="207">
        <v>1321</v>
      </c>
      <c r="C691" s="215" t="s">
        <v>5232</v>
      </c>
      <c r="D691" s="215" t="s">
        <v>8061</v>
      </c>
      <c r="E691" s="215" t="s">
        <v>8062</v>
      </c>
      <c r="F691" s="215" t="s">
        <v>8058</v>
      </c>
      <c r="G691" s="215" t="s">
        <v>8059</v>
      </c>
      <c r="H691" s="215" t="s">
        <v>6548</v>
      </c>
      <c r="I691" s="300"/>
      <c r="J691" s="300"/>
      <c r="K691" s="300"/>
      <c r="L691" s="300"/>
      <c r="M691" s="300"/>
      <c r="N691" s="300"/>
      <c r="O691" s="300"/>
      <c r="P691" s="300"/>
      <c r="Q691" s="300"/>
      <c r="R691" s="300"/>
      <c r="S691" s="300"/>
      <c r="T691" s="300"/>
      <c r="U691" s="300"/>
      <c r="V691" s="300"/>
      <c r="W691" s="300"/>
      <c r="X691" s="300"/>
      <c r="Y691" s="300"/>
      <c r="Z691" s="300"/>
    </row>
    <row r="692" spans="1:26">
      <c r="A692" s="215" t="s">
        <v>2868</v>
      </c>
      <c r="B692" s="207">
        <v>33</v>
      </c>
      <c r="C692" s="215" t="s">
        <v>5035</v>
      </c>
      <c r="D692" s="215" t="s">
        <v>8063</v>
      </c>
      <c r="E692" s="215" t="s">
        <v>8063</v>
      </c>
      <c r="F692" s="215" t="s">
        <v>8064</v>
      </c>
      <c r="G692" s="215" t="s">
        <v>8065</v>
      </c>
      <c r="H692" s="215" t="s">
        <v>6504</v>
      </c>
      <c r="I692" s="300"/>
      <c r="J692" s="300"/>
      <c r="K692" s="300"/>
      <c r="L692" s="300"/>
      <c r="M692" s="300"/>
      <c r="N692" s="300"/>
      <c r="O692" s="300"/>
      <c r="P692" s="300"/>
      <c r="Q692" s="300"/>
      <c r="R692" s="300"/>
      <c r="S692" s="300"/>
      <c r="T692" s="300"/>
      <c r="U692" s="300"/>
      <c r="V692" s="300"/>
      <c r="W692" s="300"/>
      <c r="X692" s="300"/>
      <c r="Y692" s="300"/>
      <c r="Z692" s="300"/>
    </row>
    <row r="693" spans="1:26">
      <c r="A693" s="215" t="s">
        <v>4182</v>
      </c>
      <c r="B693" s="207">
        <v>34</v>
      </c>
      <c r="C693" s="215" t="s">
        <v>5412</v>
      </c>
      <c r="D693" s="215" t="s">
        <v>3282</v>
      </c>
      <c r="E693" s="215" t="s">
        <v>3282</v>
      </c>
      <c r="F693" s="215" t="s">
        <v>8064</v>
      </c>
      <c r="G693" s="215" t="s">
        <v>8065</v>
      </c>
      <c r="H693" s="215" t="s">
        <v>6504</v>
      </c>
      <c r="I693" s="300"/>
      <c r="J693" s="300"/>
      <c r="K693" s="300"/>
      <c r="L693" s="300"/>
      <c r="M693" s="300"/>
      <c r="N693" s="300"/>
      <c r="O693" s="300"/>
      <c r="P693" s="300"/>
      <c r="Q693" s="300"/>
      <c r="R693" s="300"/>
      <c r="S693" s="300"/>
      <c r="T693" s="300"/>
      <c r="U693" s="300"/>
      <c r="V693" s="300"/>
      <c r="W693" s="300"/>
      <c r="X693" s="300"/>
      <c r="Y693" s="300"/>
      <c r="Z693" s="300"/>
    </row>
    <row r="694" spans="1:26">
      <c r="A694" s="215" t="s">
        <v>3752</v>
      </c>
      <c r="B694" s="207">
        <v>35</v>
      </c>
      <c r="C694" s="215" t="s">
        <v>5832</v>
      </c>
      <c r="D694" s="215" t="s">
        <v>8066</v>
      </c>
      <c r="E694" s="215" t="s">
        <v>8066</v>
      </c>
      <c r="F694" s="215" t="s">
        <v>8064</v>
      </c>
      <c r="G694" s="215" t="s">
        <v>8065</v>
      </c>
      <c r="H694" s="215" t="s">
        <v>6548</v>
      </c>
      <c r="I694" s="300"/>
      <c r="J694" s="300"/>
      <c r="K694" s="300"/>
      <c r="L694" s="300"/>
      <c r="M694" s="300"/>
      <c r="N694" s="300"/>
      <c r="O694" s="300"/>
      <c r="P694" s="300"/>
      <c r="Q694" s="300"/>
      <c r="R694" s="300"/>
      <c r="S694" s="300"/>
      <c r="T694" s="300"/>
      <c r="U694" s="300"/>
      <c r="V694" s="300"/>
      <c r="W694" s="300"/>
      <c r="X694" s="300"/>
      <c r="Y694" s="300"/>
      <c r="Z694" s="300"/>
    </row>
    <row r="695" spans="1:26">
      <c r="A695" s="215" t="s">
        <v>4342</v>
      </c>
      <c r="B695" s="207">
        <v>36</v>
      </c>
      <c r="C695" s="215" t="s">
        <v>6294</v>
      </c>
      <c r="D695" s="215" t="s">
        <v>8067</v>
      </c>
      <c r="E695" s="215" t="s">
        <v>8067</v>
      </c>
      <c r="F695" s="215" t="s">
        <v>8064</v>
      </c>
      <c r="G695" s="215" t="s">
        <v>8065</v>
      </c>
      <c r="H695" s="215" t="s">
        <v>6497</v>
      </c>
      <c r="I695" s="300"/>
      <c r="J695" s="300"/>
      <c r="K695" s="300"/>
      <c r="L695" s="300"/>
      <c r="M695" s="300"/>
      <c r="N695" s="300"/>
      <c r="O695" s="300"/>
      <c r="P695" s="300"/>
      <c r="Q695" s="300"/>
      <c r="R695" s="300"/>
      <c r="S695" s="300"/>
      <c r="T695" s="300"/>
      <c r="U695" s="300"/>
      <c r="V695" s="300"/>
      <c r="W695" s="300"/>
      <c r="X695" s="300"/>
      <c r="Y695" s="300"/>
      <c r="Z695" s="300"/>
    </row>
    <row r="696" spans="1:26">
      <c r="A696" s="215" t="s">
        <v>2842</v>
      </c>
      <c r="B696" s="207">
        <v>37</v>
      </c>
      <c r="C696" s="215" t="s">
        <v>5005</v>
      </c>
      <c r="D696" s="215" t="s">
        <v>8068</v>
      </c>
      <c r="E696" s="215" t="s">
        <v>8068</v>
      </c>
      <c r="F696" s="215" t="s">
        <v>8064</v>
      </c>
      <c r="G696" s="215" t="s">
        <v>8065</v>
      </c>
      <c r="H696" s="215" t="s">
        <v>6497</v>
      </c>
      <c r="I696" s="300"/>
      <c r="J696" s="300"/>
      <c r="K696" s="300"/>
      <c r="L696" s="300"/>
      <c r="M696" s="300"/>
      <c r="N696" s="300"/>
      <c r="O696" s="300"/>
      <c r="P696" s="300"/>
      <c r="Q696" s="300"/>
      <c r="R696" s="300"/>
      <c r="S696" s="300"/>
      <c r="T696" s="300"/>
      <c r="U696" s="300"/>
      <c r="V696" s="300"/>
      <c r="W696" s="300"/>
      <c r="X696" s="300"/>
      <c r="Y696" s="300"/>
      <c r="Z696" s="300"/>
    </row>
    <row r="697" spans="1:26">
      <c r="A697" s="215"/>
      <c r="B697" s="207">
        <v>38</v>
      </c>
      <c r="C697" s="215" t="s">
        <v>5848</v>
      </c>
      <c r="D697" s="215" t="s">
        <v>8069</v>
      </c>
      <c r="E697" s="215" t="s">
        <v>8070</v>
      </c>
      <c r="F697" s="215" t="s">
        <v>8064</v>
      </c>
      <c r="G697" s="215" t="s">
        <v>8065</v>
      </c>
      <c r="H697" s="215" t="s">
        <v>6497</v>
      </c>
      <c r="I697" s="300"/>
      <c r="J697" s="300"/>
      <c r="K697" s="300"/>
      <c r="L697" s="300"/>
      <c r="M697" s="300"/>
      <c r="N697" s="300"/>
      <c r="O697" s="300"/>
      <c r="P697" s="300"/>
      <c r="Q697" s="300"/>
      <c r="R697" s="300"/>
      <c r="S697" s="300"/>
      <c r="T697" s="300"/>
      <c r="U697" s="300"/>
      <c r="V697" s="300"/>
      <c r="W697" s="300"/>
      <c r="X697" s="300"/>
      <c r="Y697" s="300"/>
      <c r="Z697" s="300"/>
    </row>
    <row r="698" spans="1:26">
      <c r="A698" s="215" t="s">
        <v>8071</v>
      </c>
      <c r="B698" s="207">
        <v>39</v>
      </c>
      <c r="C698" s="215" t="s">
        <v>5833</v>
      </c>
      <c r="D698" s="215" t="s">
        <v>8072</v>
      </c>
      <c r="E698" s="215" t="s">
        <v>8072</v>
      </c>
      <c r="F698" s="215" t="s">
        <v>8064</v>
      </c>
      <c r="G698" s="215" t="s">
        <v>8065</v>
      </c>
      <c r="H698" s="215" t="s">
        <v>6548</v>
      </c>
      <c r="I698" s="300"/>
      <c r="J698" s="300"/>
      <c r="K698" s="300"/>
      <c r="L698" s="300"/>
      <c r="M698" s="300"/>
      <c r="N698" s="300"/>
      <c r="O698" s="300"/>
      <c r="P698" s="300"/>
      <c r="Q698" s="300"/>
      <c r="R698" s="300"/>
      <c r="S698" s="300"/>
      <c r="T698" s="300"/>
      <c r="U698" s="300"/>
      <c r="V698" s="300"/>
      <c r="W698" s="300"/>
      <c r="X698" s="300"/>
      <c r="Y698" s="300"/>
      <c r="Z698" s="300"/>
    </row>
    <row r="699" spans="1:26">
      <c r="A699" s="215" t="s">
        <v>3157</v>
      </c>
      <c r="B699" s="207">
        <v>40</v>
      </c>
      <c r="C699" s="215" t="s">
        <v>5289</v>
      </c>
      <c r="D699" s="215" t="s">
        <v>8073</v>
      </c>
      <c r="E699" s="215" t="s">
        <v>8073</v>
      </c>
      <c r="F699" s="215" t="s">
        <v>8064</v>
      </c>
      <c r="G699" s="215" t="s">
        <v>8065</v>
      </c>
      <c r="H699" s="215" t="s">
        <v>6497</v>
      </c>
      <c r="I699" s="300"/>
      <c r="J699" s="300"/>
      <c r="K699" s="300"/>
      <c r="L699" s="300"/>
      <c r="M699" s="300"/>
      <c r="N699" s="300"/>
      <c r="O699" s="300"/>
      <c r="P699" s="300"/>
      <c r="Q699" s="300"/>
      <c r="R699" s="300"/>
      <c r="S699" s="300"/>
      <c r="T699" s="300"/>
      <c r="U699" s="300"/>
      <c r="V699" s="300"/>
      <c r="W699" s="300"/>
      <c r="X699" s="300"/>
      <c r="Y699" s="300"/>
      <c r="Z699" s="300"/>
    </row>
    <row r="700" spans="1:26">
      <c r="A700" s="215" t="s">
        <v>3078</v>
      </c>
      <c r="B700" s="207">
        <v>41</v>
      </c>
      <c r="C700" s="215" t="s">
        <v>5210</v>
      </c>
      <c r="D700" s="215" t="s">
        <v>8074</v>
      </c>
      <c r="E700" s="215" t="s">
        <v>8074</v>
      </c>
      <c r="F700" s="215" t="s">
        <v>8064</v>
      </c>
      <c r="G700" s="215" t="s">
        <v>8065</v>
      </c>
      <c r="H700" s="215" t="s">
        <v>6548</v>
      </c>
      <c r="I700" s="300"/>
      <c r="J700" s="300"/>
      <c r="K700" s="300"/>
      <c r="L700" s="300"/>
      <c r="M700" s="300"/>
      <c r="N700" s="300"/>
      <c r="O700" s="300"/>
      <c r="P700" s="300"/>
      <c r="Q700" s="300"/>
      <c r="R700" s="300"/>
      <c r="S700" s="300"/>
      <c r="T700" s="300"/>
      <c r="U700" s="300"/>
      <c r="V700" s="300"/>
      <c r="W700" s="300"/>
      <c r="X700" s="300"/>
      <c r="Y700" s="300"/>
      <c r="Z700" s="300"/>
    </row>
    <row r="701" spans="1:26">
      <c r="A701" s="215" t="s">
        <v>8075</v>
      </c>
      <c r="B701" s="207">
        <v>42</v>
      </c>
      <c r="C701" s="215" t="s">
        <v>5211</v>
      </c>
      <c r="D701" s="215" t="s">
        <v>3145</v>
      </c>
      <c r="E701" s="215" t="s">
        <v>8076</v>
      </c>
      <c r="F701" s="215" t="s">
        <v>8064</v>
      </c>
      <c r="G701" s="215" t="s">
        <v>8065</v>
      </c>
      <c r="H701" s="215" t="s">
        <v>6548</v>
      </c>
      <c r="I701" s="300"/>
      <c r="J701" s="300"/>
      <c r="K701" s="300"/>
      <c r="L701" s="300"/>
      <c r="M701" s="300"/>
      <c r="N701" s="300"/>
      <c r="O701" s="300"/>
      <c r="P701" s="300"/>
      <c r="Q701" s="300"/>
      <c r="R701" s="300"/>
      <c r="S701" s="300"/>
      <c r="T701" s="300"/>
      <c r="U701" s="300"/>
      <c r="V701" s="300"/>
      <c r="W701" s="300"/>
      <c r="X701" s="300"/>
      <c r="Y701" s="300"/>
      <c r="Z701" s="300"/>
    </row>
    <row r="702" spans="1:26">
      <c r="A702" s="215" t="s">
        <v>2774</v>
      </c>
      <c r="B702" s="207">
        <v>44</v>
      </c>
      <c r="C702" s="215" t="s">
        <v>4933</v>
      </c>
      <c r="D702" s="215" t="s">
        <v>8077</v>
      </c>
      <c r="E702" s="215" t="s">
        <v>8078</v>
      </c>
      <c r="F702" s="215" t="s">
        <v>8064</v>
      </c>
      <c r="G702" s="215" t="s">
        <v>8065</v>
      </c>
      <c r="H702" s="215" t="s">
        <v>6497</v>
      </c>
      <c r="I702" s="300"/>
      <c r="J702" s="300"/>
      <c r="K702" s="300"/>
      <c r="L702" s="300"/>
      <c r="M702" s="300"/>
      <c r="N702" s="300"/>
      <c r="O702" s="300"/>
      <c r="P702" s="300"/>
      <c r="Q702" s="300"/>
      <c r="R702" s="300"/>
      <c r="S702" s="300"/>
      <c r="T702" s="300"/>
      <c r="U702" s="300"/>
      <c r="V702" s="300"/>
      <c r="W702" s="300"/>
      <c r="X702" s="300"/>
      <c r="Y702" s="300"/>
      <c r="Z702" s="300"/>
    </row>
    <row r="703" spans="1:26">
      <c r="A703" s="215" t="s">
        <v>4581</v>
      </c>
      <c r="B703" s="207">
        <v>45</v>
      </c>
      <c r="C703" s="215" t="s">
        <v>6482</v>
      </c>
      <c r="D703" s="215" t="s">
        <v>8079</v>
      </c>
      <c r="E703" s="215" t="s">
        <v>8079</v>
      </c>
      <c r="F703" s="215" t="s">
        <v>8064</v>
      </c>
      <c r="G703" s="215" t="s">
        <v>8065</v>
      </c>
      <c r="H703" s="215" t="s">
        <v>6497</v>
      </c>
      <c r="I703" s="300"/>
      <c r="J703" s="300"/>
      <c r="K703" s="300"/>
      <c r="L703" s="300"/>
      <c r="M703" s="300"/>
      <c r="N703" s="300"/>
      <c r="O703" s="300"/>
      <c r="P703" s="300"/>
      <c r="Q703" s="300"/>
      <c r="R703" s="300"/>
      <c r="S703" s="300"/>
      <c r="T703" s="300"/>
      <c r="U703" s="300"/>
      <c r="V703" s="300"/>
      <c r="W703" s="300"/>
      <c r="X703" s="300"/>
      <c r="Y703" s="300"/>
      <c r="Z703" s="300"/>
    </row>
    <row r="704" spans="1:26">
      <c r="A704" s="215" t="s">
        <v>4480</v>
      </c>
      <c r="B704" s="207">
        <v>1394</v>
      </c>
      <c r="C704" s="215" t="s">
        <v>6406</v>
      </c>
      <c r="D704" s="215" t="s">
        <v>8080</v>
      </c>
      <c r="E704" s="215" t="s">
        <v>8081</v>
      </c>
      <c r="F704" s="215" t="s">
        <v>8064</v>
      </c>
      <c r="G704" s="215" t="s">
        <v>8065</v>
      </c>
      <c r="H704" s="215" t="s">
        <v>6497</v>
      </c>
      <c r="I704" s="300"/>
      <c r="J704" s="300"/>
      <c r="K704" s="300"/>
      <c r="L704" s="300"/>
      <c r="M704" s="300"/>
      <c r="N704" s="300"/>
      <c r="O704" s="300"/>
      <c r="P704" s="300"/>
      <c r="Q704" s="300"/>
      <c r="R704" s="300"/>
      <c r="S704" s="300"/>
      <c r="T704" s="300"/>
      <c r="U704" s="300"/>
      <c r="V704" s="300"/>
      <c r="W704" s="300"/>
      <c r="X704" s="300"/>
      <c r="Y704" s="300"/>
      <c r="Z704" s="300"/>
    </row>
    <row r="705" spans="1:26">
      <c r="A705" s="215" t="s">
        <v>3647</v>
      </c>
      <c r="B705" s="207">
        <v>1397</v>
      </c>
      <c r="C705" s="215" t="s">
        <v>5739</v>
      </c>
      <c r="D705" s="215" t="s">
        <v>8082</v>
      </c>
      <c r="E705" s="215" t="s">
        <v>8083</v>
      </c>
      <c r="F705" s="215" t="s">
        <v>8064</v>
      </c>
      <c r="G705" s="215" t="s">
        <v>8065</v>
      </c>
      <c r="H705" s="215" t="s">
        <v>6497</v>
      </c>
      <c r="I705" s="300"/>
      <c r="J705" s="300"/>
      <c r="K705" s="300"/>
      <c r="L705" s="300"/>
      <c r="M705" s="300"/>
      <c r="N705" s="300"/>
      <c r="O705" s="300"/>
      <c r="P705" s="300"/>
      <c r="Q705" s="300"/>
      <c r="R705" s="300"/>
      <c r="S705" s="300"/>
      <c r="T705" s="300"/>
      <c r="U705" s="300"/>
      <c r="V705" s="300"/>
      <c r="W705" s="300"/>
      <c r="X705" s="300"/>
      <c r="Y705" s="300"/>
      <c r="Z705" s="300"/>
    </row>
    <row r="706" spans="1:26">
      <c r="A706" s="215" t="s">
        <v>2893</v>
      </c>
      <c r="B706" s="207">
        <v>1398</v>
      </c>
      <c r="C706" s="215" t="s">
        <v>5054</v>
      </c>
      <c r="D706" s="215" t="s">
        <v>8084</v>
      </c>
      <c r="E706" s="215" t="s">
        <v>8084</v>
      </c>
      <c r="F706" s="215" t="s">
        <v>8064</v>
      </c>
      <c r="G706" s="215" t="s">
        <v>8065</v>
      </c>
      <c r="H706" s="215" t="s">
        <v>6497</v>
      </c>
      <c r="I706" s="300"/>
      <c r="J706" s="300"/>
      <c r="K706" s="300"/>
      <c r="L706" s="300"/>
      <c r="M706" s="300"/>
      <c r="N706" s="300"/>
      <c r="O706" s="300"/>
      <c r="P706" s="300"/>
      <c r="Q706" s="300"/>
      <c r="R706" s="300"/>
      <c r="S706" s="300"/>
      <c r="T706" s="300"/>
      <c r="U706" s="300"/>
      <c r="V706" s="300"/>
      <c r="W706" s="300"/>
      <c r="X706" s="300"/>
      <c r="Y706" s="300"/>
      <c r="Z706" s="300"/>
    </row>
    <row r="707" spans="1:26">
      <c r="A707" s="215" t="s">
        <v>2881</v>
      </c>
      <c r="B707" s="207">
        <v>1399</v>
      </c>
      <c r="C707" s="215" t="s">
        <v>5048</v>
      </c>
      <c r="D707" s="215" t="s">
        <v>8085</v>
      </c>
      <c r="E707" s="215" t="s">
        <v>8085</v>
      </c>
      <c r="F707" s="215" t="s">
        <v>8064</v>
      </c>
      <c r="G707" s="215" t="s">
        <v>8065</v>
      </c>
      <c r="H707" s="215" t="s">
        <v>6497</v>
      </c>
      <c r="I707" s="300"/>
      <c r="J707" s="300"/>
      <c r="K707" s="300"/>
      <c r="L707" s="300"/>
      <c r="M707" s="300"/>
      <c r="N707" s="300"/>
      <c r="O707" s="300"/>
      <c r="P707" s="300"/>
      <c r="Q707" s="300"/>
      <c r="R707" s="300"/>
      <c r="S707" s="300"/>
      <c r="T707" s="300"/>
      <c r="U707" s="300"/>
      <c r="V707" s="300"/>
      <c r="W707" s="300"/>
      <c r="X707" s="300"/>
      <c r="Y707" s="300"/>
      <c r="Z707" s="300"/>
    </row>
    <row r="708" spans="1:26">
      <c r="A708" s="215" t="s">
        <v>2806</v>
      </c>
      <c r="B708" s="207">
        <v>1400</v>
      </c>
      <c r="C708" s="215" t="s">
        <v>4971</v>
      </c>
      <c r="D708" s="215" t="s">
        <v>8086</v>
      </c>
      <c r="E708" s="215" t="s">
        <v>8087</v>
      </c>
      <c r="F708" s="215" t="s">
        <v>8064</v>
      </c>
      <c r="G708" s="215" t="s">
        <v>8065</v>
      </c>
      <c r="H708" s="215" t="s">
        <v>6497</v>
      </c>
      <c r="I708" s="300"/>
      <c r="J708" s="300"/>
      <c r="K708" s="300"/>
      <c r="L708" s="300"/>
      <c r="M708" s="300"/>
      <c r="N708" s="300"/>
      <c r="O708" s="300"/>
      <c r="P708" s="300"/>
      <c r="Q708" s="300"/>
      <c r="R708" s="300"/>
      <c r="S708" s="300"/>
      <c r="T708" s="300"/>
      <c r="U708" s="300"/>
      <c r="V708" s="300"/>
      <c r="W708" s="300"/>
      <c r="X708" s="300"/>
      <c r="Y708" s="300"/>
      <c r="Z708" s="300"/>
    </row>
    <row r="709" spans="1:26">
      <c r="A709" s="215" t="s">
        <v>2827</v>
      </c>
      <c r="B709" s="207">
        <v>1403</v>
      </c>
      <c r="C709" s="215" t="s">
        <v>4991</v>
      </c>
      <c r="D709" s="215" t="s">
        <v>8088</v>
      </c>
      <c r="E709" s="215" t="s">
        <v>8088</v>
      </c>
      <c r="F709" s="215" t="s">
        <v>8064</v>
      </c>
      <c r="G709" s="215" t="s">
        <v>8065</v>
      </c>
      <c r="H709" s="215" t="s">
        <v>6504</v>
      </c>
      <c r="I709" s="300"/>
      <c r="J709" s="300"/>
      <c r="K709" s="300"/>
      <c r="L709" s="300"/>
      <c r="M709" s="300"/>
      <c r="N709" s="300"/>
      <c r="O709" s="300"/>
      <c r="P709" s="300"/>
      <c r="Q709" s="300"/>
      <c r="R709" s="300"/>
      <c r="S709" s="300"/>
      <c r="T709" s="300"/>
      <c r="U709" s="300"/>
      <c r="V709" s="300"/>
      <c r="W709" s="300"/>
      <c r="X709" s="300"/>
      <c r="Y709" s="300"/>
      <c r="Z709" s="300"/>
    </row>
    <row r="710" spans="1:26">
      <c r="A710" s="215"/>
      <c r="B710" s="207">
        <v>1404</v>
      </c>
      <c r="C710" s="215" t="s">
        <v>5642</v>
      </c>
      <c r="D710" s="215" t="s">
        <v>8089</v>
      </c>
      <c r="E710" s="215" t="s">
        <v>8089</v>
      </c>
      <c r="F710" s="215" t="s">
        <v>8064</v>
      </c>
      <c r="G710" s="215" t="s">
        <v>8065</v>
      </c>
      <c r="H710" s="215" t="s">
        <v>6504</v>
      </c>
      <c r="I710" s="300"/>
      <c r="J710" s="300"/>
      <c r="K710" s="300"/>
      <c r="L710" s="300"/>
      <c r="M710" s="300"/>
      <c r="N710" s="300"/>
      <c r="O710" s="300"/>
      <c r="P710" s="300"/>
      <c r="Q710" s="300"/>
      <c r="R710" s="300"/>
      <c r="S710" s="300"/>
      <c r="T710" s="300"/>
      <c r="U710" s="300"/>
      <c r="V710" s="300"/>
      <c r="W710" s="300"/>
      <c r="X710" s="300"/>
      <c r="Y710" s="300"/>
      <c r="Z710" s="300"/>
    </row>
    <row r="711" spans="1:26">
      <c r="A711" s="215" t="s">
        <v>3371</v>
      </c>
      <c r="B711" s="207">
        <v>1407</v>
      </c>
      <c r="C711" s="215" t="s">
        <v>5491</v>
      </c>
      <c r="D711" s="215" t="s">
        <v>8090</v>
      </c>
      <c r="E711" s="215" t="s">
        <v>8091</v>
      </c>
      <c r="F711" s="215" t="s">
        <v>8064</v>
      </c>
      <c r="G711" s="215" t="s">
        <v>8065</v>
      </c>
      <c r="H711" s="215" t="s">
        <v>6504</v>
      </c>
      <c r="I711" s="300"/>
      <c r="J711" s="300"/>
      <c r="K711" s="300"/>
      <c r="L711" s="300"/>
      <c r="M711" s="300"/>
      <c r="N711" s="300"/>
      <c r="O711" s="300"/>
      <c r="P711" s="300"/>
      <c r="Q711" s="300"/>
      <c r="R711" s="300"/>
      <c r="S711" s="300"/>
      <c r="T711" s="300"/>
      <c r="U711" s="300"/>
      <c r="V711" s="300"/>
      <c r="W711" s="300"/>
      <c r="X711" s="300"/>
      <c r="Y711" s="300"/>
      <c r="Z711" s="300"/>
    </row>
    <row r="712" spans="1:26">
      <c r="A712" s="215" t="s">
        <v>3372</v>
      </c>
      <c r="B712" s="207">
        <v>1408</v>
      </c>
      <c r="C712" s="215" t="s">
        <v>5493</v>
      </c>
      <c r="D712" s="215" t="s">
        <v>3471</v>
      </c>
      <c r="E712" s="215" t="s">
        <v>3471</v>
      </c>
      <c r="F712" s="215" t="s">
        <v>8064</v>
      </c>
      <c r="G712" s="215" t="s">
        <v>8065</v>
      </c>
      <c r="H712" s="215" t="s">
        <v>6500</v>
      </c>
      <c r="I712" s="300"/>
      <c r="J712" s="300"/>
      <c r="K712" s="300"/>
      <c r="L712" s="300"/>
      <c r="M712" s="300"/>
      <c r="N712" s="300"/>
      <c r="O712" s="300"/>
      <c r="P712" s="300"/>
      <c r="Q712" s="300"/>
      <c r="R712" s="300"/>
      <c r="S712" s="300"/>
      <c r="T712" s="300"/>
      <c r="U712" s="300"/>
      <c r="V712" s="300"/>
      <c r="W712" s="300"/>
      <c r="X712" s="300"/>
      <c r="Y712" s="300"/>
      <c r="Z712" s="300"/>
    </row>
    <row r="713" spans="1:26">
      <c r="A713" s="215" t="s">
        <v>4359</v>
      </c>
      <c r="B713" s="207">
        <v>1410</v>
      </c>
      <c r="C713" s="215" t="s">
        <v>6308</v>
      </c>
      <c r="D713" s="215" t="s">
        <v>8092</v>
      </c>
      <c r="E713" s="215" t="s">
        <v>8092</v>
      </c>
      <c r="F713" s="215" t="s">
        <v>8064</v>
      </c>
      <c r="G713" s="215" t="s">
        <v>8065</v>
      </c>
      <c r="H713" s="215" t="s">
        <v>6504</v>
      </c>
      <c r="I713" s="300"/>
      <c r="J713" s="300"/>
      <c r="K713" s="300"/>
      <c r="L713" s="300"/>
      <c r="M713" s="300"/>
      <c r="N713" s="300"/>
      <c r="O713" s="300"/>
      <c r="P713" s="300"/>
      <c r="Q713" s="300"/>
      <c r="R713" s="300"/>
      <c r="S713" s="300"/>
      <c r="T713" s="300"/>
      <c r="U713" s="300"/>
      <c r="V713" s="300"/>
      <c r="W713" s="300"/>
      <c r="X713" s="300"/>
      <c r="Y713" s="300"/>
      <c r="Z713" s="300"/>
    </row>
    <row r="714" spans="1:26">
      <c r="A714" s="215" t="s">
        <v>3091</v>
      </c>
      <c r="B714" s="207">
        <v>1411</v>
      </c>
      <c r="C714" s="215" t="s">
        <v>5225</v>
      </c>
      <c r="D714" s="215" t="s">
        <v>8093</v>
      </c>
      <c r="E714" s="215" t="s">
        <v>8094</v>
      </c>
      <c r="F714" s="215" t="s">
        <v>8064</v>
      </c>
      <c r="G714" s="215" t="s">
        <v>8065</v>
      </c>
      <c r="H714" s="215" t="s">
        <v>6504</v>
      </c>
      <c r="I714" s="300"/>
      <c r="J714" s="300"/>
      <c r="K714" s="300"/>
      <c r="L714" s="300"/>
      <c r="M714" s="300"/>
      <c r="N714" s="300"/>
      <c r="O714" s="300"/>
      <c r="P714" s="300"/>
      <c r="Q714" s="300"/>
      <c r="R714" s="300"/>
      <c r="S714" s="300"/>
      <c r="T714" s="300"/>
      <c r="U714" s="300"/>
      <c r="V714" s="300"/>
      <c r="W714" s="300"/>
      <c r="X714" s="300"/>
      <c r="Y714" s="300"/>
      <c r="Z714" s="300"/>
    </row>
    <row r="715" spans="1:26">
      <c r="A715" s="215" t="s">
        <v>3480</v>
      </c>
      <c r="B715" s="207">
        <v>1412</v>
      </c>
      <c r="C715" s="215" t="s">
        <v>5590</v>
      </c>
      <c r="D715" s="215" t="s">
        <v>8095</v>
      </c>
      <c r="E715" s="215" t="s">
        <v>8095</v>
      </c>
      <c r="F715" s="215" t="s">
        <v>8064</v>
      </c>
      <c r="G715" s="215" t="s">
        <v>8065</v>
      </c>
      <c r="H715" s="215" t="s">
        <v>6504</v>
      </c>
      <c r="I715" s="300"/>
      <c r="J715" s="300"/>
      <c r="K715" s="300"/>
      <c r="L715" s="300"/>
      <c r="M715" s="300"/>
      <c r="N715" s="300"/>
      <c r="O715" s="300"/>
      <c r="P715" s="300"/>
      <c r="Q715" s="300"/>
      <c r="R715" s="300"/>
      <c r="S715" s="300"/>
      <c r="T715" s="300"/>
      <c r="U715" s="300"/>
      <c r="V715" s="300"/>
      <c r="W715" s="300"/>
      <c r="X715" s="300"/>
      <c r="Y715" s="300"/>
      <c r="Z715" s="300"/>
    </row>
    <row r="716" spans="1:26">
      <c r="A716" s="215" t="s">
        <v>3045</v>
      </c>
      <c r="B716" s="207">
        <v>1413</v>
      </c>
      <c r="C716" s="215" t="s">
        <v>5180</v>
      </c>
      <c r="D716" s="215" t="s">
        <v>8096</v>
      </c>
      <c r="E716" s="215" t="s">
        <v>8097</v>
      </c>
      <c r="F716" s="215" t="s">
        <v>8064</v>
      </c>
      <c r="G716" s="215" t="s">
        <v>8065</v>
      </c>
      <c r="H716" s="215" t="s">
        <v>6497</v>
      </c>
      <c r="I716" s="300"/>
      <c r="J716" s="300"/>
      <c r="K716" s="300"/>
      <c r="L716" s="300"/>
      <c r="M716" s="300"/>
      <c r="N716" s="300"/>
      <c r="O716" s="300"/>
      <c r="P716" s="300"/>
      <c r="Q716" s="300"/>
      <c r="R716" s="300"/>
      <c r="S716" s="300"/>
      <c r="T716" s="300"/>
      <c r="U716" s="300"/>
      <c r="V716" s="300"/>
      <c r="W716" s="300"/>
      <c r="X716" s="300"/>
      <c r="Y716" s="300"/>
      <c r="Z716" s="300"/>
    </row>
    <row r="717" spans="1:26">
      <c r="A717" s="215" t="s">
        <v>4322</v>
      </c>
      <c r="B717" s="207">
        <v>1414</v>
      </c>
      <c r="C717" s="215" t="s">
        <v>6278</v>
      </c>
      <c r="D717" s="215" t="s">
        <v>8098</v>
      </c>
      <c r="E717" s="215" t="s">
        <v>8099</v>
      </c>
      <c r="F717" s="215" t="s">
        <v>8064</v>
      </c>
      <c r="G717" s="215" t="s">
        <v>8065</v>
      </c>
      <c r="H717" s="215" t="s">
        <v>6504</v>
      </c>
      <c r="I717" s="300"/>
      <c r="J717" s="300"/>
      <c r="K717" s="300"/>
      <c r="L717" s="300"/>
      <c r="M717" s="300"/>
      <c r="N717" s="300"/>
      <c r="O717" s="300"/>
      <c r="P717" s="300"/>
      <c r="Q717" s="300"/>
      <c r="R717" s="300"/>
      <c r="S717" s="300"/>
      <c r="T717" s="300"/>
      <c r="U717" s="300"/>
      <c r="V717" s="300"/>
      <c r="W717" s="300"/>
      <c r="X717" s="300"/>
      <c r="Y717" s="300"/>
      <c r="Z717" s="300"/>
    </row>
    <row r="718" spans="1:26">
      <c r="A718" s="215" t="s">
        <v>3222</v>
      </c>
      <c r="B718" s="207">
        <v>1415</v>
      </c>
      <c r="C718" s="215" t="s">
        <v>5349</v>
      </c>
      <c r="D718" s="215" t="s">
        <v>8100</v>
      </c>
      <c r="E718" s="215" t="s">
        <v>8100</v>
      </c>
      <c r="F718" s="215" t="s">
        <v>8064</v>
      </c>
      <c r="G718" s="215" t="s">
        <v>8065</v>
      </c>
      <c r="H718" s="215" t="s">
        <v>6497</v>
      </c>
      <c r="I718" s="300"/>
      <c r="J718" s="300"/>
      <c r="K718" s="300"/>
      <c r="L718" s="300"/>
      <c r="M718" s="300"/>
      <c r="N718" s="300"/>
      <c r="O718" s="300"/>
      <c r="P718" s="300"/>
      <c r="Q718" s="300"/>
      <c r="R718" s="300"/>
      <c r="S718" s="300"/>
      <c r="T718" s="300"/>
      <c r="U718" s="300"/>
      <c r="V718" s="300"/>
      <c r="W718" s="300"/>
      <c r="X718" s="300"/>
      <c r="Y718" s="300"/>
      <c r="Z718" s="300"/>
    </row>
    <row r="719" spans="1:26">
      <c r="A719" s="215" t="s">
        <v>2754</v>
      </c>
      <c r="B719" s="207">
        <v>1416</v>
      </c>
      <c r="C719" s="215" t="s">
        <v>4909</v>
      </c>
      <c r="D719" s="215" t="s">
        <v>8101</v>
      </c>
      <c r="E719" s="215" t="s">
        <v>8101</v>
      </c>
      <c r="F719" s="215" t="s">
        <v>8064</v>
      </c>
      <c r="G719" s="215" t="s">
        <v>8065</v>
      </c>
      <c r="H719" s="215" t="s">
        <v>6504</v>
      </c>
      <c r="I719" s="300"/>
      <c r="J719" s="300"/>
      <c r="K719" s="300"/>
      <c r="L719" s="300"/>
      <c r="M719" s="300"/>
      <c r="N719" s="300"/>
      <c r="O719" s="300"/>
      <c r="P719" s="300"/>
      <c r="Q719" s="300"/>
      <c r="R719" s="300"/>
      <c r="S719" s="300"/>
      <c r="T719" s="300"/>
      <c r="U719" s="300"/>
      <c r="V719" s="300"/>
      <c r="W719" s="300"/>
      <c r="X719" s="300"/>
      <c r="Y719" s="300"/>
      <c r="Z719" s="300"/>
    </row>
    <row r="720" spans="1:26">
      <c r="A720" s="215" t="s">
        <v>3418</v>
      </c>
      <c r="B720" s="207">
        <v>1417</v>
      </c>
      <c r="C720" s="215" t="s">
        <v>5541</v>
      </c>
      <c r="D720" s="215" t="s">
        <v>8102</v>
      </c>
      <c r="E720" s="215" t="s">
        <v>8102</v>
      </c>
      <c r="F720" s="215" t="s">
        <v>8064</v>
      </c>
      <c r="G720" s="215" t="s">
        <v>8065</v>
      </c>
      <c r="H720" s="215" t="s">
        <v>6497</v>
      </c>
      <c r="I720" s="300"/>
      <c r="J720" s="300"/>
      <c r="K720" s="300"/>
      <c r="L720" s="300"/>
      <c r="M720" s="300"/>
      <c r="N720" s="300"/>
      <c r="O720" s="300"/>
      <c r="P720" s="300"/>
      <c r="Q720" s="300"/>
      <c r="R720" s="300"/>
      <c r="S720" s="300"/>
      <c r="T720" s="300"/>
      <c r="U720" s="300"/>
      <c r="V720" s="300"/>
      <c r="W720" s="300"/>
      <c r="X720" s="300"/>
      <c r="Y720" s="300"/>
      <c r="Z720" s="300"/>
    </row>
    <row r="721" spans="1:26">
      <c r="A721" s="215" t="s">
        <v>2764</v>
      </c>
      <c r="B721" s="207">
        <v>1418</v>
      </c>
      <c r="C721" s="215" t="s">
        <v>4920</v>
      </c>
      <c r="D721" s="215" t="s">
        <v>8103</v>
      </c>
      <c r="E721" s="215" t="s">
        <v>8103</v>
      </c>
      <c r="F721" s="215" t="s">
        <v>8064</v>
      </c>
      <c r="G721" s="215" t="s">
        <v>8065</v>
      </c>
      <c r="H721" s="215" t="s">
        <v>6504</v>
      </c>
      <c r="I721" s="300"/>
      <c r="J721" s="300"/>
      <c r="K721" s="300"/>
      <c r="L721" s="300"/>
      <c r="M721" s="300"/>
      <c r="N721" s="300"/>
      <c r="O721" s="300"/>
      <c r="P721" s="300"/>
      <c r="Q721" s="300"/>
      <c r="R721" s="300"/>
      <c r="S721" s="300"/>
      <c r="T721" s="300"/>
      <c r="U721" s="300"/>
      <c r="V721" s="300"/>
      <c r="W721" s="300"/>
      <c r="X721" s="300"/>
      <c r="Y721" s="300"/>
      <c r="Z721" s="300"/>
    </row>
    <row r="722" spans="1:26">
      <c r="A722" s="215" t="s">
        <v>3205</v>
      </c>
      <c r="B722" s="207">
        <v>1742</v>
      </c>
      <c r="C722" s="215" t="s">
        <v>5335</v>
      </c>
      <c r="D722" s="215" t="s">
        <v>8104</v>
      </c>
      <c r="E722" s="215" t="s">
        <v>8105</v>
      </c>
      <c r="F722" s="215" t="s">
        <v>8106</v>
      </c>
      <c r="G722" s="215" t="s">
        <v>8107</v>
      </c>
      <c r="H722" s="215" t="s">
        <v>6500</v>
      </c>
      <c r="I722" s="300"/>
      <c r="J722" s="300"/>
      <c r="K722" s="300"/>
      <c r="L722" s="300"/>
      <c r="M722" s="300"/>
      <c r="N722" s="300"/>
      <c r="O722" s="300"/>
      <c r="P722" s="300"/>
      <c r="Q722" s="300"/>
      <c r="R722" s="300"/>
      <c r="S722" s="300"/>
      <c r="T722" s="300"/>
      <c r="U722" s="300"/>
      <c r="V722" s="300"/>
      <c r="W722" s="300"/>
      <c r="X722" s="300"/>
      <c r="Y722" s="300"/>
      <c r="Z722" s="300"/>
    </row>
    <row r="723" spans="1:26">
      <c r="A723" s="215" t="s">
        <v>4524</v>
      </c>
      <c r="B723" s="207">
        <v>1749</v>
      </c>
      <c r="C723" s="215" t="s">
        <v>5887</v>
      </c>
      <c r="D723" s="215" t="s">
        <v>8108</v>
      </c>
      <c r="E723" s="215" t="s">
        <v>8108</v>
      </c>
      <c r="F723" s="215" t="s">
        <v>8106</v>
      </c>
      <c r="G723" s="215" t="s">
        <v>8107</v>
      </c>
      <c r="H723" s="215" t="s">
        <v>6500</v>
      </c>
      <c r="I723" s="300"/>
      <c r="J723" s="300"/>
      <c r="K723" s="300"/>
      <c r="L723" s="300"/>
      <c r="M723" s="300"/>
      <c r="N723" s="300"/>
      <c r="O723" s="300"/>
      <c r="P723" s="300"/>
      <c r="Q723" s="300"/>
      <c r="R723" s="300"/>
      <c r="S723" s="300"/>
      <c r="T723" s="300"/>
      <c r="U723" s="300"/>
      <c r="V723" s="300"/>
      <c r="W723" s="300"/>
      <c r="X723" s="300"/>
      <c r="Y723" s="300"/>
      <c r="Z723" s="300"/>
    </row>
    <row r="724" spans="1:26">
      <c r="A724" s="215" t="s">
        <v>3380</v>
      </c>
      <c r="B724" s="207">
        <v>23</v>
      </c>
      <c r="C724" s="215" t="s">
        <v>5502</v>
      </c>
      <c r="D724" s="215" t="s">
        <v>8109</v>
      </c>
      <c r="E724" s="215" t="s">
        <v>8110</v>
      </c>
      <c r="F724" s="215" t="s">
        <v>8111</v>
      </c>
      <c r="G724" s="215" t="s">
        <v>8112</v>
      </c>
      <c r="H724" s="215" t="s">
        <v>6497</v>
      </c>
      <c r="I724" s="300"/>
      <c r="J724" s="300"/>
      <c r="K724" s="300"/>
      <c r="L724" s="300"/>
      <c r="M724" s="300"/>
      <c r="N724" s="300"/>
      <c r="O724" s="300"/>
      <c r="P724" s="300"/>
      <c r="Q724" s="300"/>
      <c r="R724" s="300"/>
      <c r="S724" s="300"/>
      <c r="T724" s="300"/>
      <c r="U724" s="300"/>
      <c r="V724" s="300"/>
      <c r="W724" s="300"/>
      <c r="X724" s="300"/>
      <c r="Y724" s="300"/>
      <c r="Z724" s="300"/>
    </row>
    <row r="725" spans="1:26">
      <c r="A725" s="215" t="s">
        <v>3260</v>
      </c>
      <c r="B725" s="207">
        <v>1395</v>
      </c>
      <c r="C725" s="215" t="s">
        <v>5385</v>
      </c>
      <c r="D725" s="215" t="s">
        <v>3260</v>
      </c>
      <c r="E725" s="215" t="s">
        <v>3260</v>
      </c>
      <c r="F725" s="215" t="s">
        <v>8111</v>
      </c>
      <c r="G725" s="215" t="s">
        <v>8112</v>
      </c>
      <c r="H725" s="215" t="s">
        <v>6504</v>
      </c>
      <c r="I725" s="300"/>
      <c r="J725" s="300"/>
      <c r="K725" s="300"/>
      <c r="L725" s="300"/>
      <c r="M725" s="300"/>
      <c r="N725" s="300"/>
      <c r="O725" s="300"/>
      <c r="P725" s="300"/>
      <c r="Q725" s="300"/>
      <c r="R725" s="300"/>
      <c r="S725" s="300"/>
      <c r="T725" s="300"/>
      <c r="U725" s="300"/>
      <c r="V725" s="300"/>
      <c r="W725" s="300"/>
      <c r="X725" s="300"/>
      <c r="Y725" s="300"/>
      <c r="Z725" s="300"/>
    </row>
    <row r="726" spans="1:26">
      <c r="A726" s="215" t="s">
        <v>2650</v>
      </c>
      <c r="B726" s="207">
        <v>1402</v>
      </c>
      <c r="C726" s="215" t="s">
        <v>4824</v>
      </c>
      <c r="D726" s="215" t="s">
        <v>8113</v>
      </c>
      <c r="E726" s="215" t="s">
        <v>8113</v>
      </c>
      <c r="F726" s="215" t="s">
        <v>8111</v>
      </c>
      <c r="G726" s="215" t="s">
        <v>8112</v>
      </c>
      <c r="H726" s="215" t="s">
        <v>6497</v>
      </c>
      <c r="I726" s="300"/>
      <c r="J726" s="300"/>
      <c r="K726" s="300"/>
      <c r="L726" s="300"/>
      <c r="M726" s="300"/>
      <c r="N726" s="300"/>
      <c r="O726" s="300"/>
      <c r="P726" s="300"/>
      <c r="Q726" s="300"/>
      <c r="R726" s="300"/>
      <c r="S726" s="300"/>
      <c r="T726" s="300"/>
      <c r="U726" s="300"/>
      <c r="V726" s="300"/>
      <c r="W726" s="300"/>
      <c r="X726" s="300"/>
      <c r="Y726" s="300"/>
      <c r="Z726" s="300"/>
    </row>
    <row r="727" spans="1:26">
      <c r="A727" s="215" t="s">
        <v>3690</v>
      </c>
      <c r="B727" s="207">
        <v>46</v>
      </c>
      <c r="C727" s="215" t="s">
        <v>5778</v>
      </c>
      <c r="D727" s="215" t="s">
        <v>8114</v>
      </c>
      <c r="E727" s="215" t="s">
        <v>8114</v>
      </c>
      <c r="F727" s="215" t="s">
        <v>8115</v>
      </c>
      <c r="G727" s="215" t="s">
        <v>8116</v>
      </c>
      <c r="H727" s="215" t="s">
        <v>6504</v>
      </c>
      <c r="I727" s="300"/>
      <c r="J727" s="300"/>
      <c r="K727" s="300"/>
      <c r="L727" s="300"/>
      <c r="M727" s="300"/>
      <c r="N727" s="300"/>
      <c r="O727" s="300"/>
      <c r="P727" s="300"/>
      <c r="Q727" s="300"/>
      <c r="R727" s="300"/>
      <c r="S727" s="300"/>
      <c r="T727" s="300"/>
      <c r="U727" s="300"/>
      <c r="V727" s="300"/>
      <c r="W727" s="300"/>
      <c r="X727" s="300"/>
      <c r="Y727" s="300"/>
      <c r="Z727" s="300"/>
    </row>
    <row r="728" spans="1:26">
      <c r="A728" s="215" t="s">
        <v>2831</v>
      </c>
      <c r="B728" s="207">
        <v>1664</v>
      </c>
      <c r="C728" s="215" t="s">
        <v>4995</v>
      </c>
      <c r="D728" s="215" t="s">
        <v>8117</v>
      </c>
      <c r="E728" s="215" t="s">
        <v>8117</v>
      </c>
      <c r="F728" s="215" t="s">
        <v>5546</v>
      </c>
      <c r="G728" s="215" t="s">
        <v>8118</v>
      </c>
      <c r="H728" s="215" t="s">
        <v>6504</v>
      </c>
      <c r="I728" s="300"/>
      <c r="J728" s="300"/>
      <c r="K728" s="300"/>
      <c r="L728" s="300"/>
      <c r="M728" s="300"/>
      <c r="N728" s="300"/>
      <c r="O728" s="300"/>
      <c r="P728" s="300"/>
      <c r="Q728" s="300"/>
      <c r="R728" s="300"/>
      <c r="S728" s="300"/>
      <c r="T728" s="300"/>
      <c r="U728" s="300"/>
      <c r="V728" s="300"/>
      <c r="W728" s="300"/>
      <c r="X728" s="300"/>
      <c r="Y728" s="300"/>
      <c r="Z728" s="300"/>
    </row>
    <row r="729" spans="1:26">
      <c r="A729" s="215" t="s">
        <v>2886</v>
      </c>
      <c r="B729" s="207">
        <v>1744</v>
      </c>
      <c r="C729" s="215" t="s">
        <v>5049</v>
      </c>
      <c r="D729" s="215" t="s">
        <v>8119</v>
      </c>
      <c r="E729" s="215" t="s">
        <v>8120</v>
      </c>
      <c r="F729" s="215" t="s">
        <v>8121</v>
      </c>
      <c r="G729" s="215" t="s">
        <v>8122</v>
      </c>
      <c r="H729" s="215" t="s">
        <v>6500</v>
      </c>
      <c r="I729" s="300"/>
      <c r="J729" s="300"/>
      <c r="K729" s="300"/>
      <c r="L729" s="300"/>
      <c r="M729" s="300"/>
      <c r="N729" s="300"/>
      <c r="O729" s="300"/>
      <c r="P729" s="300"/>
      <c r="Q729" s="300"/>
      <c r="R729" s="300"/>
      <c r="S729" s="300"/>
      <c r="T729" s="300"/>
      <c r="U729" s="300"/>
      <c r="V729" s="300"/>
      <c r="W729" s="300"/>
      <c r="X729" s="300"/>
      <c r="Y729" s="300"/>
      <c r="Z729" s="300"/>
    </row>
    <row r="730" spans="1:26">
      <c r="A730" s="215" t="s">
        <v>4002</v>
      </c>
      <c r="B730" s="207">
        <v>704</v>
      </c>
      <c r="C730" s="215" t="s">
        <v>6028</v>
      </c>
      <c r="D730" s="215" t="s">
        <v>8123</v>
      </c>
      <c r="E730" s="215" t="s">
        <v>8124</v>
      </c>
      <c r="F730" s="215" t="s">
        <v>8125</v>
      </c>
      <c r="G730" s="215" t="s">
        <v>8126</v>
      </c>
      <c r="H730" s="215" t="s">
        <v>6521</v>
      </c>
      <c r="I730" s="300"/>
      <c r="J730" s="300"/>
      <c r="K730" s="300"/>
      <c r="L730" s="300"/>
      <c r="M730" s="300"/>
      <c r="N730" s="300"/>
      <c r="O730" s="300"/>
      <c r="P730" s="300"/>
      <c r="Q730" s="300"/>
      <c r="R730" s="300"/>
      <c r="S730" s="300"/>
      <c r="T730" s="300"/>
      <c r="U730" s="300"/>
      <c r="V730" s="300"/>
      <c r="W730" s="300"/>
      <c r="X730" s="300"/>
      <c r="Y730" s="300"/>
      <c r="Z730" s="300"/>
    </row>
    <row r="731" spans="1:26">
      <c r="A731" s="215" t="s">
        <v>4018</v>
      </c>
      <c r="B731" s="207">
        <v>709</v>
      </c>
      <c r="C731" s="215" t="s">
        <v>8127</v>
      </c>
      <c r="D731" s="215" t="s">
        <v>8128</v>
      </c>
      <c r="E731" s="215" t="s">
        <v>8129</v>
      </c>
      <c r="F731" s="215" t="s">
        <v>8125</v>
      </c>
      <c r="G731" s="215" t="s">
        <v>8126</v>
      </c>
      <c r="H731" s="215" t="s">
        <v>6500</v>
      </c>
      <c r="I731" s="300"/>
      <c r="J731" s="300"/>
      <c r="K731" s="300"/>
      <c r="L731" s="300"/>
      <c r="M731" s="300"/>
      <c r="N731" s="300"/>
      <c r="O731" s="300"/>
      <c r="P731" s="300"/>
      <c r="Q731" s="300"/>
      <c r="R731" s="300"/>
      <c r="S731" s="300"/>
      <c r="T731" s="300"/>
      <c r="U731" s="300"/>
      <c r="V731" s="300"/>
      <c r="W731" s="300"/>
      <c r="X731" s="300"/>
      <c r="Y731" s="300"/>
      <c r="Z731" s="300"/>
    </row>
    <row r="732" spans="1:26">
      <c r="A732" s="215" t="s">
        <v>3930</v>
      </c>
      <c r="B732" s="207">
        <v>710</v>
      </c>
      <c r="C732" s="215" t="s">
        <v>5974</v>
      </c>
      <c r="D732" s="215" t="s">
        <v>8130</v>
      </c>
      <c r="E732" s="215" t="s">
        <v>8131</v>
      </c>
      <c r="F732" s="215" t="s">
        <v>8125</v>
      </c>
      <c r="G732" s="215" t="s">
        <v>8126</v>
      </c>
      <c r="H732" s="215" t="s">
        <v>6500</v>
      </c>
      <c r="I732" s="300"/>
      <c r="J732" s="300"/>
      <c r="K732" s="300"/>
      <c r="L732" s="300"/>
      <c r="M732" s="300"/>
      <c r="N732" s="300"/>
      <c r="O732" s="300"/>
      <c r="P732" s="300"/>
      <c r="Q732" s="300"/>
      <c r="R732" s="300"/>
      <c r="S732" s="300"/>
      <c r="T732" s="300"/>
      <c r="U732" s="300"/>
      <c r="V732" s="300"/>
      <c r="W732" s="300"/>
      <c r="X732" s="300"/>
      <c r="Y732" s="300"/>
      <c r="Z732" s="300"/>
    </row>
    <row r="733" spans="1:26">
      <c r="A733" s="215" t="s">
        <v>3943</v>
      </c>
      <c r="B733" s="207">
        <v>2623</v>
      </c>
      <c r="C733" s="215" t="s">
        <v>5980</v>
      </c>
      <c r="D733" s="215" t="s">
        <v>8132</v>
      </c>
      <c r="E733" s="215" t="s">
        <v>8132</v>
      </c>
      <c r="F733" s="215" t="s">
        <v>8125</v>
      </c>
      <c r="G733" s="215" t="s">
        <v>8126</v>
      </c>
      <c r="H733" s="215" t="s">
        <v>6504</v>
      </c>
      <c r="I733" s="300"/>
      <c r="J733" s="300"/>
      <c r="K733" s="300"/>
      <c r="L733" s="300"/>
      <c r="M733" s="300"/>
      <c r="N733" s="300"/>
      <c r="O733" s="300"/>
      <c r="P733" s="300"/>
      <c r="Q733" s="300"/>
      <c r="R733" s="300"/>
      <c r="S733" s="300"/>
      <c r="T733" s="300"/>
      <c r="U733" s="300"/>
      <c r="V733" s="300"/>
      <c r="W733" s="300"/>
      <c r="X733" s="300"/>
      <c r="Y733" s="300"/>
      <c r="Z733" s="300"/>
    </row>
    <row r="734" spans="1:26">
      <c r="A734" s="215" t="s">
        <v>2481</v>
      </c>
      <c r="B734" s="207">
        <v>284</v>
      </c>
      <c r="C734" s="215" t="s">
        <v>4778</v>
      </c>
      <c r="D734" s="215" t="s">
        <v>8133</v>
      </c>
      <c r="E734" s="215" t="s">
        <v>8133</v>
      </c>
      <c r="F734" s="215" t="s">
        <v>8134</v>
      </c>
      <c r="G734" s="215" t="s">
        <v>8135</v>
      </c>
      <c r="H734" s="215" t="s">
        <v>6504</v>
      </c>
      <c r="I734" s="300"/>
      <c r="J734" s="300"/>
      <c r="K734" s="300"/>
      <c r="L734" s="300"/>
      <c r="M734" s="300"/>
      <c r="N734" s="300"/>
      <c r="O734" s="300"/>
      <c r="P734" s="300"/>
      <c r="Q734" s="300"/>
      <c r="R734" s="300"/>
      <c r="S734" s="300"/>
      <c r="T734" s="300"/>
      <c r="U734" s="300"/>
      <c r="V734" s="300"/>
      <c r="W734" s="300"/>
      <c r="X734" s="300"/>
      <c r="Y734" s="300"/>
      <c r="Z734" s="300"/>
    </row>
    <row r="735" spans="1:26">
      <c r="A735" s="215" t="s">
        <v>2702</v>
      </c>
      <c r="B735" s="207">
        <v>286</v>
      </c>
      <c r="C735" s="215" t="s">
        <v>4867</v>
      </c>
      <c r="D735" s="215" t="s">
        <v>8136</v>
      </c>
      <c r="E735" s="215" t="s">
        <v>8136</v>
      </c>
      <c r="F735" s="215" t="s">
        <v>8134</v>
      </c>
      <c r="G735" s="215" t="s">
        <v>8135</v>
      </c>
      <c r="H735" s="215" t="s">
        <v>6521</v>
      </c>
      <c r="I735" s="300"/>
      <c r="J735" s="300"/>
      <c r="K735" s="300"/>
      <c r="L735" s="300"/>
      <c r="M735" s="300"/>
      <c r="N735" s="300"/>
      <c r="O735" s="300"/>
      <c r="P735" s="300"/>
      <c r="Q735" s="300"/>
      <c r="R735" s="300"/>
      <c r="S735" s="300"/>
      <c r="T735" s="300"/>
      <c r="U735" s="300"/>
      <c r="V735" s="300"/>
      <c r="W735" s="300"/>
      <c r="X735" s="300"/>
      <c r="Y735" s="300"/>
      <c r="Z735" s="300"/>
    </row>
    <row r="736" spans="1:26">
      <c r="A736" s="215" t="s">
        <v>3657</v>
      </c>
      <c r="B736" s="207">
        <v>288</v>
      </c>
      <c r="C736" s="215" t="s">
        <v>5751</v>
      </c>
      <c r="D736" s="215" t="s">
        <v>8137</v>
      </c>
      <c r="E736" s="215" t="s">
        <v>8138</v>
      </c>
      <c r="F736" s="215" t="s">
        <v>8134</v>
      </c>
      <c r="G736" s="215" t="s">
        <v>8135</v>
      </c>
      <c r="H736" s="215" t="s">
        <v>6521</v>
      </c>
      <c r="I736" s="300"/>
      <c r="J736" s="300"/>
      <c r="K736" s="300"/>
      <c r="L736" s="300"/>
      <c r="M736" s="300"/>
      <c r="N736" s="300"/>
      <c r="O736" s="300"/>
      <c r="P736" s="300"/>
      <c r="Q736" s="300"/>
      <c r="R736" s="300"/>
      <c r="S736" s="300"/>
      <c r="T736" s="300"/>
      <c r="U736" s="300"/>
      <c r="V736" s="300"/>
      <c r="W736" s="300"/>
      <c r="X736" s="300"/>
      <c r="Y736" s="300"/>
      <c r="Z736" s="300"/>
    </row>
    <row r="737" spans="1:26">
      <c r="A737" s="215" t="s">
        <v>2919</v>
      </c>
      <c r="B737" s="207">
        <v>289</v>
      </c>
      <c r="C737" s="215" t="s">
        <v>5078</v>
      </c>
      <c r="D737" s="215" t="s">
        <v>8139</v>
      </c>
      <c r="E737" s="215" t="s">
        <v>8139</v>
      </c>
      <c r="F737" s="215" t="s">
        <v>8134</v>
      </c>
      <c r="G737" s="215" t="s">
        <v>8135</v>
      </c>
      <c r="H737" s="215" t="s">
        <v>6497</v>
      </c>
      <c r="I737" s="300"/>
      <c r="J737" s="300"/>
      <c r="K737" s="300"/>
      <c r="L737" s="300"/>
      <c r="M737" s="300"/>
      <c r="N737" s="300"/>
      <c r="O737" s="300"/>
      <c r="P737" s="300"/>
      <c r="Q737" s="300"/>
      <c r="R737" s="300"/>
      <c r="S737" s="300"/>
      <c r="T737" s="300"/>
      <c r="U737" s="300"/>
      <c r="V737" s="300"/>
      <c r="W737" s="300"/>
      <c r="X737" s="300"/>
      <c r="Y737" s="300"/>
      <c r="Z737" s="300"/>
    </row>
    <row r="738" spans="1:26">
      <c r="A738" s="215" t="s">
        <v>2920</v>
      </c>
      <c r="B738" s="207">
        <v>290</v>
      </c>
      <c r="C738" s="215" t="s">
        <v>5079</v>
      </c>
      <c r="D738" s="215" t="s">
        <v>8140</v>
      </c>
      <c r="E738" s="215" t="s">
        <v>8140</v>
      </c>
      <c r="F738" s="215" t="s">
        <v>8134</v>
      </c>
      <c r="G738" s="215" t="s">
        <v>8135</v>
      </c>
      <c r="H738" s="215" t="s">
        <v>6504</v>
      </c>
      <c r="I738" s="300"/>
      <c r="J738" s="300"/>
      <c r="K738" s="300"/>
      <c r="L738" s="300"/>
      <c r="M738" s="300"/>
      <c r="N738" s="300"/>
      <c r="O738" s="300"/>
      <c r="P738" s="300"/>
      <c r="Q738" s="300"/>
      <c r="R738" s="300"/>
      <c r="S738" s="300"/>
      <c r="T738" s="300"/>
      <c r="U738" s="300"/>
      <c r="V738" s="300"/>
      <c r="W738" s="300"/>
      <c r="X738" s="300"/>
      <c r="Y738" s="300"/>
      <c r="Z738" s="300"/>
    </row>
    <row r="739" spans="1:26">
      <c r="A739" s="215" t="s">
        <v>3430</v>
      </c>
      <c r="B739" s="207">
        <v>291</v>
      </c>
      <c r="C739" s="215" t="s">
        <v>5551</v>
      </c>
      <c r="D739" s="215" t="s">
        <v>8141</v>
      </c>
      <c r="E739" s="215" t="s">
        <v>8142</v>
      </c>
      <c r="F739" s="215" t="s">
        <v>8134</v>
      </c>
      <c r="G739" s="215" t="s">
        <v>8135</v>
      </c>
      <c r="H739" s="215" t="s">
        <v>6521</v>
      </c>
      <c r="I739" s="300"/>
      <c r="J739" s="300"/>
      <c r="K739" s="300"/>
      <c r="L739" s="300"/>
      <c r="M739" s="300"/>
      <c r="N739" s="300"/>
      <c r="O739" s="300"/>
      <c r="P739" s="300"/>
      <c r="Q739" s="300"/>
      <c r="R739" s="300"/>
      <c r="S739" s="300"/>
      <c r="T739" s="300"/>
      <c r="U739" s="300"/>
      <c r="V739" s="300"/>
      <c r="W739" s="300"/>
      <c r="X739" s="300"/>
      <c r="Y739" s="300"/>
      <c r="Z739" s="300"/>
    </row>
    <row r="740" spans="1:26">
      <c r="A740" s="215" t="s">
        <v>8143</v>
      </c>
      <c r="B740" s="207">
        <v>292</v>
      </c>
      <c r="C740" s="215" t="s">
        <v>8144</v>
      </c>
      <c r="D740" s="215" t="s">
        <v>8145</v>
      </c>
      <c r="E740" s="215" t="s">
        <v>8146</v>
      </c>
      <c r="F740" s="215" t="s">
        <v>8134</v>
      </c>
      <c r="G740" s="215" t="s">
        <v>8135</v>
      </c>
      <c r="H740" s="215" t="s">
        <v>6521</v>
      </c>
      <c r="I740" s="300"/>
      <c r="J740" s="300"/>
      <c r="K740" s="300"/>
      <c r="L740" s="300"/>
      <c r="M740" s="300"/>
      <c r="N740" s="300"/>
      <c r="O740" s="300"/>
      <c r="P740" s="300"/>
      <c r="Q740" s="300"/>
      <c r="R740" s="300"/>
      <c r="S740" s="300"/>
      <c r="T740" s="300"/>
      <c r="U740" s="300"/>
      <c r="V740" s="300"/>
      <c r="W740" s="300"/>
      <c r="X740" s="300"/>
      <c r="Y740" s="300"/>
      <c r="Z740" s="300"/>
    </row>
    <row r="741" spans="1:26">
      <c r="A741" s="215"/>
      <c r="B741" s="207">
        <v>305</v>
      </c>
      <c r="C741" s="215" t="s">
        <v>8147</v>
      </c>
      <c r="D741" s="215" t="s">
        <v>8148</v>
      </c>
      <c r="E741" s="215" t="s">
        <v>8149</v>
      </c>
      <c r="F741" s="215" t="s">
        <v>8134</v>
      </c>
      <c r="G741" s="215" t="s">
        <v>8135</v>
      </c>
      <c r="H741" s="215" t="s">
        <v>6548</v>
      </c>
      <c r="I741" s="300"/>
      <c r="J741" s="300"/>
      <c r="K741" s="300"/>
      <c r="L741" s="300"/>
      <c r="M741" s="300"/>
      <c r="N741" s="300"/>
      <c r="O741" s="300"/>
      <c r="P741" s="300"/>
      <c r="Q741" s="300"/>
      <c r="R741" s="300"/>
      <c r="S741" s="300"/>
      <c r="T741" s="300"/>
      <c r="U741" s="300"/>
      <c r="V741" s="300"/>
      <c r="W741" s="300"/>
      <c r="X741" s="300"/>
      <c r="Y741" s="300"/>
      <c r="Z741" s="300"/>
    </row>
    <row r="742" spans="1:26">
      <c r="A742" s="215" t="s">
        <v>4251</v>
      </c>
      <c r="B742" s="207">
        <v>314</v>
      </c>
      <c r="C742" s="215" t="s">
        <v>6225</v>
      </c>
      <c r="D742" s="215" t="s">
        <v>8150</v>
      </c>
      <c r="E742" s="215" t="s">
        <v>8150</v>
      </c>
      <c r="F742" s="215" t="s">
        <v>8134</v>
      </c>
      <c r="G742" s="215" t="s">
        <v>8135</v>
      </c>
      <c r="H742" s="215" t="s">
        <v>6497</v>
      </c>
      <c r="I742" s="300"/>
      <c r="J742" s="300"/>
      <c r="K742" s="300"/>
      <c r="L742" s="300"/>
      <c r="M742" s="300"/>
      <c r="N742" s="300"/>
      <c r="O742" s="300"/>
      <c r="P742" s="300"/>
      <c r="Q742" s="300"/>
      <c r="R742" s="300"/>
      <c r="S742" s="300"/>
      <c r="T742" s="300"/>
      <c r="U742" s="300"/>
      <c r="V742" s="300"/>
      <c r="W742" s="300"/>
      <c r="X742" s="300"/>
      <c r="Y742" s="300"/>
      <c r="Z742" s="300"/>
    </row>
    <row r="743" spans="1:26">
      <c r="A743" s="215" t="s">
        <v>3792</v>
      </c>
      <c r="B743" s="207">
        <v>322</v>
      </c>
      <c r="C743" s="215" t="s">
        <v>8151</v>
      </c>
      <c r="D743" s="215" t="s">
        <v>8152</v>
      </c>
      <c r="E743" s="215" t="s">
        <v>8153</v>
      </c>
      <c r="F743" s="215" t="s">
        <v>8134</v>
      </c>
      <c r="G743" s="215" t="s">
        <v>8135</v>
      </c>
      <c r="H743" s="215" t="s">
        <v>6521</v>
      </c>
      <c r="I743" s="300"/>
      <c r="J743" s="300"/>
      <c r="K743" s="300"/>
      <c r="L743" s="300"/>
      <c r="M743" s="300"/>
      <c r="N743" s="300"/>
      <c r="O743" s="300"/>
      <c r="P743" s="300"/>
      <c r="Q743" s="300"/>
      <c r="R743" s="300"/>
      <c r="S743" s="300"/>
      <c r="T743" s="300"/>
      <c r="U743" s="300"/>
      <c r="V743" s="300"/>
      <c r="W743" s="300"/>
      <c r="X743" s="300"/>
      <c r="Y743" s="300"/>
      <c r="Z743" s="300"/>
    </row>
    <row r="744" spans="1:26">
      <c r="A744" s="215" t="s">
        <v>2673</v>
      </c>
      <c r="B744" s="207">
        <v>568</v>
      </c>
      <c r="C744" s="215" t="s">
        <v>4847</v>
      </c>
      <c r="D744" s="215" t="s">
        <v>8154</v>
      </c>
      <c r="E744" s="215" t="s">
        <v>8155</v>
      </c>
      <c r="F744" s="215" t="s">
        <v>8134</v>
      </c>
      <c r="G744" s="215" t="s">
        <v>8135</v>
      </c>
      <c r="H744" s="215" t="s">
        <v>6504</v>
      </c>
      <c r="I744" s="300"/>
      <c r="J744" s="300"/>
      <c r="K744" s="300"/>
      <c r="L744" s="300"/>
      <c r="M744" s="300"/>
      <c r="N744" s="300"/>
      <c r="O744" s="300"/>
      <c r="P744" s="300"/>
      <c r="Q744" s="300"/>
      <c r="R744" s="300"/>
      <c r="S744" s="300"/>
      <c r="T744" s="300"/>
      <c r="U744" s="300"/>
      <c r="V744" s="300"/>
      <c r="W744" s="300"/>
      <c r="X744" s="300"/>
      <c r="Y744" s="300"/>
      <c r="Z744" s="300"/>
    </row>
    <row r="745" spans="1:26">
      <c r="A745" s="215" t="s">
        <v>3342</v>
      </c>
      <c r="B745" s="207">
        <v>578</v>
      </c>
      <c r="C745" s="215" t="s">
        <v>5465</v>
      </c>
      <c r="D745" s="215" t="s">
        <v>8156</v>
      </c>
      <c r="E745" s="215" t="s">
        <v>8156</v>
      </c>
      <c r="F745" s="215" t="s">
        <v>8134</v>
      </c>
      <c r="G745" s="215" t="s">
        <v>8135</v>
      </c>
      <c r="H745" s="215" t="s">
        <v>6500</v>
      </c>
      <c r="I745" s="300"/>
      <c r="J745" s="300"/>
      <c r="K745" s="300"/>
      <c r="L745" s="300"/>
      <c r="M745" s="300"/>
      <c r="N745" s="300"/>
      <c r="O745" s="300"/>
      <c r="P745" s="300"/>
      <c r="Q745" s="300"/>
      <c r="R745" s="300"/>
      <c r="S745" s="300"/>
      <c r="T745" s="300"/>
      <c r="U745" s="300"/>
      <c r="V745" s="300"/>
      <c r="W745" s="300"/>
      <c r="X745" s="300"/>
      <c r="Y745" s="300"/>
      <c r="Z745" s="300"/>
    </row>
    <row r="746" spans="1:26">
      <c r="A746" s="215" t="s">
        <v>3483</v>
      </c>
      <c r="B746" s="207">
        <v>593</v>
      </c>
      <c r="C746" s="215" t="s">
        <v>8157</v>
      </c>
      <c r="D746" s="215" t="s">
        <v>8158</v>
      </c>
      <c r="E746" s="215" t="s">
        <v>8159</v>
      </c>
      <c r="F746" s="215" t="s">
        <v>8134</v>
      </c>
      <c r="G746" s="215" t="s">
        <v>8135</v>
      </c>
      <c r="H746" s="215" t="s">
        <v>6497</v>
      </c>
      <c r="I746" s="300"/>
      <c r="J746" s="300"/>
      <c r="K746" s="300"/>
      <c r="L746" s="300"/>
      <c r="M746" s="300"/>
      <c r="N746" s="300"/>
      <c r="O746" s="300"/>
      <c r="P746" s="300"/>
      <c r="Q746" s="300"/>
      <c r="R746" s="300"/>
      <c r="S746" s="300"/>
      <c r="T746" s="300"/>
      <c r="U746" s="300"/>
      <c r="V746" s="300"/>
      <c r="W746" s="300"/>
      <c r="X746" s="300"/>
      <c r="Y746" s="300"/>
      <c r="Z746" s="300"/>
    </row>
    <row r="747" spans="1:26">
      <c r="A747" s="215" t="s">
        <v>3184</v>
      </c>
      <c r="B747" s="207">
        <v>599</v>
      </c>
      <c r="C747" s="215" t="s">
        <v>5317</v>
      </c>
      <c r="D747" s="215" t="s">
        <v>8160</v>
      </c>
      <c r="E747" s="215" t="s">
        <v>8160</v>
      </c>
      <c r="F747" s="215" t="s">
        <v>8134</v>
      </c>
      <c r="G747" s="215" t="s">
        <v>8135</v>
      </c>
      <c r="H747" s="215" t="s">
        <v>6500</v>
      </c>
      <c r="I747" s="300"/>
      <c r="J747" s="300"/>
      <c r="K747" s="300"/>
      <c r="L747" s="300"/>
      <c r="M747" s="300"/>
      <c r="N747" s="300"/>
      <c r="O747" s="300"/>
      <c r="P747" s="300"/>
      <c r="Q747" s="300"/>
      <c r="R747" s="300"/>
      <c r="S747" s="300"/>
      <c r="T747" s="300"/>
      <c r="U747" s="300"/>
      <c r="V747" s="300"/>
      <c r="W747" s="300"/>
      <c r="X747" s="300"/>
      <c r="Y747" s="300"/>
      <c r="Z747" s="300"/>
    </row>
    <row r="748" spans="1:26">
      <c r="A748" s="215" t="s">
        <v>3884</v>
      </c>
      <c r="B748" s="207">
        <v>641</v>
      </c>
      <c r="C748" s="215" t="s">
        <v>5948</v>
      </c>
      <c r="D748" s="215" t="s">
        <v>8161</v>
      </c>
      <c r="E748" s="215" t="s">
        <v>8161</v>
      </c>
      <c r="F748" s="215" t="s">
        <v>8134</v>
      </c>
      <c r="G748" s="215" t="s">
        <v>8135</v>
      </c>
      <c r="H748" s="215" t="s">
        <v>6500</v>
      </c>
      <c r="I748" s="300"/>
      <c r="J748" s="300"/>
      <c r="K748" s="300"/>
      <c r="L748" s="300"/>
      <c r="M748" s="300"/>
      <c r="N748" s="300"/>
      <c r="O748" s="300"/>
      <c r="P748" s="300"/>
      <c r="Q748" s="300"/>
      <c r="R748" s="300"/>
      <c r="S748" s="300"/>
      <c r="T748" s="300"/>
      <c r="U748" s="300"/>
      <c r="V748" s="300"/>
      <c r="W748" s="300"/>
      <c r="X748" s="300"/>
      <c r="Y748" s="300"/>
      <c r="Z748" s="300"/>
    </row>
    <row r="749" spans="1:26">
      <c r="A749" s="215" t="s">
        <v>3922</v>
      </c>
      <c r="B749" s="207">
        <v>645</v>
      </c>
      <c r="C749" s="215" t="s">
        <v>5968</v>
      </c>
      <c r="D749" s="215" t="s">
        <v>8162</v>
      </c>
      <c r="E749" s="215" t="s">
        <v>8162</v>
      </c>
      <c r="F749" s="215" t="s">
        <v>8134</v>
      </c>
      <c r="G749" s="215" t="s">
        <v>8135</v>
      </c>
      <c r="H749" s="215" t="s">
        <v>6548</v>
      </c>
      <c r="I749" s="300"/>
      <c r="J749" s="300"/>
      <c r="K749" s="300"/>
      <c r="L749" s="300"/>
      <c r="M749" s="300"/>
      <c r="N749" s="300"/>
      <c r="O749" s="300"/>
      <c r="P749" s="300"/>
      <c r="Q749" s="300"/>
      <c r="R749" s="300"/>
      <c r="S749" s="300"/>
      <c r="T749" s="300"/>
      <c r="U749" s="300"/>
      <c r="V749" s="300"/>
      <c r="W749" s="300"/>
      <c r="X749" s="300"/>
      <c r="Y749" s="300"/>
      <c r="Z749" s="300"/>
    </row>
    <row r="750" spans="1:26">
      <c r="A750" s="215" t="s">
        <v>4324</v>
      </c>
      <c r="B750" s="207">
        <v>1462</v>
      </c>
      <c r="C750" s="215" t="s">
        <v>8163</v>
      </c>
      <c r="D750" s="215" t="s">
        <v>8164</v>
      </c>
      <c r="E750" s="215" t="s">
        <v>8164</v>
      </c>
      <c r="F750" s="215" t="s">
        <v>8134</v>
      </c>
      <c r="G750" s="215" t="s">
        <v>8135</v>
      </c>
      <c r="H750" s="215" t="s">
        <v>6497</v>
      </c>
      <c r="I750" s="300"/>
      <c r="J750" s="300"/>
      <c r="K750" s="300"/>
      <c r="L750" s="300"/>
      <c r="M750" s="300"/>
      <c r="N750" s="300"/>
      <c r="O750" s="300"/>
      <c r="P750" s="300"/>
      <c r="Q750" s="300"/>
      <c r="R750" s="300"/>
      <c r="S750" s="300"/>
      <c r="T750" s="300"/>
      <c r="U750" s="300"/>
      <c r="V750" s="300"/>
      <c r="W750" s="300"/>
      <c r="X750" s="300"/>
      <c r="Y750" s="300"/>
      <c r="Z750" s="300"/>
    </row>
    <row r="751" spans="1:26">
      <c r="A751" s="215" t="s">
        <v>8165</v>
      </c>
      <c r="B751" s="207">
        <v>1853</v>
      </c>
      <c r="C751" s="215" t="s">
        <v>5399</v>
      </c>
      <c r="D751" s="215" t="s">
        <v>8166</v>
      </c>
      <c r="E751" s="215" t="s">
        <v>8166</v>
      </c>
      <c r="F751" s="215" t="s">
        <v>8134</v>
      </c>
      <c r="G751" s="215" t="s">
        <v>8135</v>
      </c>
      <c r="H751" s="215" t="s">
        <v>6504</v>
      </c>
      <c r="I751" s="300"/>
      <c r="J751" s="300"/>
      <c r="K751" s="300"/>
      <c r="L751" s="300"/>
      <c r="M751" s="300"/>
      <c r="N751" s="300"/>
      <c r="O751" s="300"/>
      <c r="P751" s="300"/>
      <c r="Q751" s="300"/>
      <c r="R751" s="300"/>
      <c r="S751" s="300"/>
      <c r="T751" s="300"/>
      <c r="U751" s="300"/>
      <c r="V751" s="300"/>
      <c r="W751" s="300"/>
      <c r="X751" s="300"/>
      <c r="Y751" s="300"/>
      <c r="Z751" s="300"/>
    </row>
    <row r="752" spans="1:26">
      <c r="A752" s="215" t="s">
        <v>2927</v>
      </c>
      <c r="B752" s="207">
        <v>1877</v>
      </c>
      <c r="C752" s="215" t="s">
        <v>5084</v>
      </c>
      <c r="D752" s="215" t="s">
        <v>8167</v>
      </c>
      <c r="E752" s="215" t="s">
        <v>8168</v>
      </c>
      <c r="F752" s="215" t="s">
        <v>8134</v>
      </c>
      <c r="G752" s="215" t="s">
        <v>8135</v>
      </c>
      <c r="H752" s="215" t="s">
        <v>6504</v>
      </c>
      <c r="I752" s="300"/>
      <c r="J752" s="300"/>
      <c r="K752" s="300"/>
      <c r="L752" s="300"/>
      <c r="M752" s="300"/>
      <c r="N752" s="300"/>
      <c r="O752" s="300"/>
      <c r="P752" s="300"/>
      <c r="Q752" s="300"/>
      <c r="R752" s="300"/>
      <c r="S752" s="300"/>
      <c r="T752" s="300"/>
      <c r="U752" s="300"/>
      <c r="V752" s="300"/>
      <c r="W752" s="300"/>
      <c r="X752" s="300"/>
      <c r="Y752" s="300"/>
      <c r="Z752" s="300"/>
    </row>
    <row r="753" spans="1:26">
      <c r="A753" s="215" t="s">
        <v>2983</v>
      </c>
      <c r="B753" s="207">
        <v>1882</v>
      </c>
      <c r="C753" s="215" t="s">
        <v>8169</v>
      </c>
      <c r="D753" s="215" t="s">
        <v>8170</v>
      </c>
      <c r="E753" s="215" t="s">
        <v>8171</v>
      </c>
      <c r="F753" s="215" t="s">
        <v>8134</v>
      </c>
      <c r="G753" s="215" t="s">
        <v>8135</v>
      </c>
      <c r="H753" s="215" t="s">
        <v>6504</v>
      </c>
      <c r="I753" s="300"/>
      <c r="J753" s="300"/>
      <c r="K753" s="300"/>
      <c r="L753" s="300"/>
      <c r="M753" s="300"/>
      <c r="N753" s="300"/>
      <c r="O753" s="300"/>
      <c r="P753" s="300"/>
      <c r="Q753" s="300"/>
      <c r="R753" s="300"/>
      <c r="S753" s="300"/>
      <c r="T753" s="300"/>
      <c r="U753" s="300"/>
      <c r="V753" s="300"/>
      <c r="W753" s="300"/>
      <c r="X753" s="300"/>
      <c r="Y753" s="300"/>
      <c r="Z753" s="300"/>
    </row>
    <row r="754" spans="1:26">
      <c r="A754" s="215" t="s">
        <v>3935</v>
      </c>
      <c r="B754" s="207">
        <v>1909</v>
      </c>
      <c r="C754" s="215" t="s">
        <v>8172</v>
      </c>
      <c r="D754" s="215" t="s">
        <v>8173</v>
      </c>
      <c r="E754" s="215" t="s">
        <v>8174</v>
      </c>
      <c r="F754" s="215" t="s">
        <v>8134</v>
      </c>
      <c r="G754" s="215" t="s">
        <v>8135</v>
      </c>
      <c r="H754" s="215" t="s">
        <v>6500</v>
      </c>
      <c r="I754" s="300"/>
      <c r="J754" s="300"/>
      <c r="K754" s="300"/>
      <c r="L754" s="300"/>
      <c r="M754" s="300"/>
      <c r="N754" s="300"/>
      <c r="O754" s="300"/>
      <c r="P754" s="300"/>
      <c r="Q754" s="300"/>
      <c r="R754" s="300"/>
      <c r="S754" s="300"/>
      <c r="T754" s="300"/>
      <c r="U754" s="300"/>
      <c r="V754" s="300"/>
      <c r="W754" s="300"/>
      <c r="X754" s="300"/>
      <c r="Y754" s="300"/>
      <c r="Z754" s="300"/>
    </row>
    <row r="755" spans="1:26">
      <c r="A755" s="215" t="s">
        <v>3588</v>
      </c>
      <c r="B755" s="207">
        <v>1910</v>
      </c>
      <c r="C755" s="215" t="s">
        <v>5689</v>
      </c>
      <c r="D755" s="215" t="s">
        <v>8175</v>
      </c>
      <c r="E755" s="215" t="s">
        <v>8176</v>
      </c>
      <c r="F755" s="215" t="s">
        <v>8134</v>
      </c>
      <c r="G755" s="215" t="s">
        <v>8135</v>
      </c>
      <c r="H755" s="215" t="s">
        <v>6500</v>
      </c>
      <c r="I755" s="300"/>
      <c r="J755" s="300"/>
      <c r="K755" s="300"/>
      <c r="L755" s="300"/>
      <c r="M755" s="300"/>
      <c r="N755" s="300"/>
      <c r="O755" s="300"/>
      <c r="P755" s="300"/>
      <c r="Q755" s="300"/>
      <c r="R755" s="300"/>
      <c r="S755" s="300"/>
      <c r="T755" s="300"/>
      <c r="U755" s="300"/>
      <c r="V755" s="300"/>
      <c r="W755" s="300"/>
      <c r="X755" s="300"/>
      <c r="Y755" s="300"/>
      <c r="Z755" s="300"/>
    </row>
    <row r="756" spans="1:26">
      <c r="A756" s="215" t="s">
        <v>3186</v>
      </c>
      <c r="B756" s="207">
        <v>1913</v>
      </c>
      <c r="C756" s="215" t="s">
        <v>5318</v>
      </c>
      <c r="D756" s="215" t="s">
        <v>8177</v>
      </c>
      <c r="E756" s="215" t="s">
        <v>8177</v>
      </c>
      <c r="F756" s="215" t="s">
        <v>8134</v>
      </c>
      <c r="G756" s="215" t="s">
        <v>8135</v>
      </c>
      <c r="H756" s="215" t="s">
        <v>6500</v>
      </c>
      <c r="I756" s="300"/>
      <c r="J756" s="300"/>
      <c r="K756" s="300"/>
      <c r="L756" s="300"/>
      <c r="M756" s="300"/>
      <c r="N756" s="300"/>
      <c r="O756" s="300"/>
      <c r="P756" s="300"/>
      <c r="Q756" s="300"/>
      <c r="R756" s="300"/>
      <c r="S756" s="300"/>
      <c r="T756" s="300"/>
      <c r="U756" s="300"/>
      <c r="V756" s="300"/>
      <c r="W756" s="300"/>
      <c r="X756" s="300"/>
      <c r="Y756" s="300"/>
      <c r="Z756" s="300"/>
    </row>
    <row r="757" spans="1:26">
      <c r="A757" s="215" t="s">
        <v>7213</v>
      </c>
      <c r="B757" s="207">
        <v>1997</v>
      </c>
      <c r="C757" s="215" t="s">
        <v>8178</v>
      </c>
      <c r="D757" s="215" t="s">
        <v>8179</v>
      </c>
      <c r="E757" s="215" t="s">
        <v>8180</v>
      </c>
      <c r="F757" s="215" t="s">
        <v>8134</v>
      </c>
      <c r="G757" s="215" t="s">
        <v>8135</v>
      </c>
      <c r="H757" s="215" t="s">
        <v>6497</v>
      </c>
      <c r="I757" s="300"/>
      <c r="J757" s="300"/>
      <c r="K757" s="300"/>
      <c r="L757" s="300"/>
      <c r="M757" s="300"/>
      <c r="N757" s="300"/>
      <c r="O757" s="300"/>
      <c r="P757" s="300"/>
      <c r="Q757" s="300"/>
      <c r="R757" s="300"/>
      <c r="S757" s="300"/>
      <c r="T757" s="300"/>
      <c r="U757" s="300"/>
      <c r="V757" s="300"/>
      <c r="W757" s="300"/>
      <c r="X757" s="300"/>
      <c r="Y757" s="300"/>
      <c r="Z757" s="300"/>
    </row>
    <row r="758" spans="1:26">
      <c r="A758" s="215" t="s">
        <v>3589</v>
      </c>
      <c r="B758" s="207">
        <v>1998</v>
      </c>
      <c r="C758" s="215" t="s">
        <v>5690</v>
      </c>
      <c r="D758" s="215" t="s">
        <v>8181</v>
      </c>
      <c r="E758" s="215" t="s">
        <v>8182</v>
      </c>
      <c r="F758" s="215" t="s">
        <v>8134</v>
      </c>
      <c r="G758" s="215" t="s">
        <v>8135</v>
      </c>
      <c r="H758" s="215" t="s">
        <v>6500</v>
      </c>
      <c r="I758" s="300"/>
      <c r="J758" s="300"/>
      <c r="K758" s="300"/>
      <c r="L758" s="300"/>
      <c r="M758" s="300"/>
      <c r="N758" s="300"/>
      <c r="O758" s="300"/>
      <c r="P758" s="300"/>
      <c r="Q758" s="300"/>
      <c r="R758" s="300"/>
      <c r="S758" s="300"/>
      <c r="T758" s="300"/>
      <c r="U758" s="300"/>
      <c r="V758" s="300"/>
      <c r="W758" s="300"/>
      <c r="X758" s="300"/>
      <c r="Y758" s="300"/>
      <c r="Z758" s="300"/>
    </row>
    <row r="759" spans="1:26">
      <c r="A759" s="215" t="s">
        <v>2863</v>
      </c>
      <c r="B759" s="207">
        <v>1999</v>
      </c>
      <c r="C759" s="215" t="s">
        <v>8183</v>
      </c>
      <c r="D759" s="215" t="s">
        <v>8184</v>
      </c>
      <c r="E759" s="215" t="s">
        <v>8185</v>
      </c>
      <c r="F759" s="215" t="s">
        <v>8134</v>
      </c>
      <c r="G759" s="215" t="s">
        <v>8135</v>
      </c>
      <c r="H759" s="215" t="s">
        <v>6497</v>
      </c>
      <c r="I759" s="300"/>
      <c r="J759" s="300"/>
      <c r="K759" s="300"/>
      <c r="L759" s="300"/>
      <c r="M759" s="300"/>
      <c r="N759" s="300"/>
      <c r="O759" s="300"/>
      <c r="P759" s="300"/>
      <c r="Q759" s="300"/>
      <c r="R759" s="300"/>
      <c r="S759" s="300"/>
      <c r="T759" s="300"/>
      <c r="U759" s="300"/>
      <c r="V759" s="300"/>
      <c r="W759" s="300"/>
      <c r="X759" s="300"/>
      <c r="Y759" s="300"/>
      <c r="Z759" s="300"/>
    </row>
    <row r="760" spans="1:26">
      <c r="A760" s="215" t="s">
        <v>3326</v>
      </c>
      <c r="B760" s="207">
        <v>2000</v>
      </c>
      <c r="C760" s="215" t="s">
        <v>8186</v>
      </c>
      <c r="D760" s="215" t="s">
        <v>8187</v>
      </c>
      <c r="E760" s="215" t="s">
        <v>8188</v>
      </c>
      <c r="F760" s="215" t="s">
        <v>8134</v>
      </c>
      <c r="G760" s="215" t="s">
        <v>8135</v>
      </c>
      <c r="H760" s="215" t="s">
        <v>6500</v>
      </c>
      <c r="I760" s="300"/>
      <c r="J760" s="300"/>
      <c r="K760" s="300"/>
      <c r="L760" s="300"/>
      <c r="M760" s="300"/>
      <c r="N760" s="300"/>
      <c r="O760" s="300"/>
      <c r="P760" s="300"/>
      <c r="Q760" s="300"/>
      <c r="R760" s="300"/>
      <c r="S760" s="300"/>
      <c r="T760" s="300"/>
      <c r="U760" s="300"/>
      <c r="V760" s="300"/>
      <c r="W760" s="300"/>
      <c r="X760" s="300"/>
      <c r="Y760" s="300"/>
      <c r="Z760" s="300"/>
    </row>
    <row r="761" spans="1:26">
      <c r="A761" s="215" t="s">
        <v>4500</v>
      </c>
      <c r="B761" s="207">
        <v>2001</v>
      </c>
      <c r="C761" s="215" t="s">
        <v>8189</v>
      </c>
      <c r="D761" s="215" t="s">
        <v>8190</v>
      </c>
      <c r="E761" s="215" t="s">
        <v>8191</v>
      </c>
      <c r="F761" s="215" t="s">
        <v>8134</v>
      </c>
      <c r="G761" s="215" t="s">
        <v>8135</v>
      </c>
      <c r="H761" s="215" t="s">
        <v>6500</v>
      </c>
      <c r="I761" s="300"/>
      <c r="J761" s="300"/>
      <c r="K761" s="300"/>
      <c r="L761" s="300"/>
      <c r="M761" s="300"/>
      <c r="N761" s="300"/>
      <c r="O761" s="300"/>
      <c r="P761" s="300"/>
      <c r="Q761" s="300"/>
      <c r="R761" s="300"/>
      <c r="S761" s="300"/>
      <c r="T761" s="300"/>
      <c r="U761" s="300"/>
      <c r="V761" s="300"/>
      <c r="W761" s="300"/>
      <c r="X761" s="300"/>
      <c r="Y761" s="300"/>
      <c r="Z761" s="300"/>
    </row>
    <row r="762" spans="1:26">
      <c r="A762" s="215" t="s">
        <v>3014</v>
      </c>
      <c r="B762" s="207">
        <v>2002</v>
      </c>
      <c r="C762" s="215" t="s">
        <v>8192</v>
      </c>
      <c r="D762" s="215" t="s">
        <v>8193</v>
      </c>
      <c r="E762" s="215" t="s">
        <v>8194</v>
      </c>
      <c r="F762" s="215" t="s">
        <v>8134</v>
      </c>
      <c r="G762" s="215" t="s">
        <v>8135</v>
      </c>
      <c r="H762" s="215" t="s">
        <v>6521</v>
      </c>
      <c r="I762" s="300"/>
      <c r="J762" s="300"/>
      <c r="K762" s="300"/>
      <c r="L762" s="300"/>
      <c r="M762" s="300"/>
      <c r="N762" s="300"/>
      <c r="O762" s="300"/>
      <c r="P762" s="300"/>
      <c r="Q762" s="300"/>
      <c r="R762" s="300"/>
      <c r="S762" s="300"/>
      <c r="T762" s="300"/>
      <c r="U762" s="300"/>
      <c r="V762" s="300"/>
      <c r="W762" s="300"/>
      <c r="X762" s="300"/>
      <c r="Y762" s="300"/>
      <c r="Z762" s="300"/>
    </row>
    <row r="763" spans="1:26">
      <c r="A763" s="215" t="s">
        <v>2918</v>
      </c>
      <c r="B763" s="207">
        <v>2003</v>
      </c>
      <c r="C763" s="215" t="s">
        <v>8195</v>
      </c>
      <c r="D763" s="215" t="s">
        <v>8196</v>
      </c>
      <c r="E763" s="215" t="s">
        <v>8197</v>
      </c>
      <c r="F763" s="215" t="s">
        <v>8134</v>
      </c>
      <c r="G763" s="215" t="s">
        <v>8135</v>
      </c>
      <c r="H763" s="215" t="s">
        <v>6500</v>
      </c>
      <c r="I763" s="300"/>
      <c r="J763" s="300"/>
      <c r="K763" s="300"/>
      <c r="L763" s="300"/>
      <c r="M763" s="300"/>
      <c r="N763" s="300"/>
      <c r="O763" s="300"/>
      <c r="P763" s="300"/>
      <c r="Q763" s="300"/>
      <c r="R763" s="300"/>
      <c r="S763" s="300"/>
      <c r="T763" s="300"/>
      <c r="U763" s="300"/>
      <c r="V763" s="300"/>
      <c r="W763" s="300"/>
      <c r="X763" s="300"/>
      <c r="Y763" s="300"/>
      <c r="Z763" s="300"/>
    </row>
    <row r="764" spans="1:26">
      <c r="A764" s="215" t="s">
        <v>3036</v>
      </c>
      <c r="B764" s="207">
        <v>2004</v>
      </c>
      <c r="C764" s="215" t="s">
        <v>8198</v>
      </c>
      <c r="D764" s="215" t="s">
        <v>8199</v>
      </c>
      <c r="E764" s="215" t="s">
        <v>8200</v>
      </c>
      <c r="F764" s="215" t="s">
        <v>8134</v>
      </c>
      <c r="G764" s="215" t="s">
        <v>8135</v>
      </c>
      <c r="H764" s="215" t="s">
        <v>6500</v>
      </c>
      <c r="I764" s="300"/>
      <c r="J764" s="300"/>
      <c r="K764" s="300"/>
      <c r="L764" s="300"/>
      <c r="M764" s="300"/>
      <c r="N764" s="300"/>
      <c r="O764" s="300"/>
      <c r="P764" s="300"/>
      <c r="Q764" s="300"/>
      <c r="R764" s="300"/>
      <c r="S764" s="300"/>
      <c r="T764" s="300"/>
      <c r="U764" s="300"/>
      <c r="V764" s="300"/>
      <c r="W764" s="300"/>
      <c r="X764" s="300"/>
      <c r="Y764" s="300"/>
      <c r="Z764" s="300"/>
    </row>
    <row r="765" spans="1:26">
      <c r="A765" s="215" t="s">
        <v>3717</v>
      </c>
      <c r="B765" s="207">
        <v>2005</v>
      </c>
      <c r="C765" s="215" t="s">
        <v>8201</v>
      </c>
      <c r="D765" s="215" t="s">
        <v>8202</v>
      </c>
      <c r="E765" s="215" t="s">
        <v>8203</v>
      </c>
      <c r="F765" s="215" t="s">
        <v>8134</v>
      </c>
      <c r="G765" s="215" t="s">
        <v>8135</v>
      </c>
      <c r="H765" s="215" t="s">
        <v>6500</v>
      </c>
      <c r="I765" s="300"/>
      <c r="J765" s="300"/>
      <c r="K765" s="300"/>
      <c r="L765" s="300"/>
      <c r="M765" s="300"/>
      <c r="N765" s="300"/>
      <c r="O765" s="300"/>
      <c r="P765" s="300"/>
      <c r="Q765" s="300"/>
      <c r="R765" s="300"/>
      <c r="S765" s="300"/>
      <c r="T765" s="300"/>
      <c r="U765" s="300"/>
      <c r="V765" s="300"/>
      <c r="W765" s="300"/>
      <c r="X765" s="300"/>
      <c r="Y765" s="300"/>
      <c r="Z765" s="300"/>
    </row>
    <row r="766" spans="1:26">
      <c r="A766" s="215" t="s">
        <v>4334</v>
      </c>
      <c r="B766" s="207">
        <v>2006</v>
      </c>
      <c r="C766" s="215" t="s">
        <v>6286</v>
      </c>
      <c r="D766" s="215" t="s">
        <v>8204</v>
      </c>
      <c r="E766" s="215" t="s">
        <v>8204</v>
      </c>
      <c r="F766" s="215" t="s">
        <v>8134</v>
      </c>
      <c r="G766" s="215" t="s">
        <v>8135</v>
      </c>
      <c r="H766" s="215" t="s">
        <v>6497</v>
      </c>
      <c r="I766" s="300"/>
      <c r="J766" s="300"/>
      <c r="K766" s="300"/>
      <c r="L766" s="300"/>
      <c r="M766" s="300"/>
      <c r="N766" s="300"/>
      <c r="O766" s="300"/>
      <c r="P766" s="300"/>
      <c r="Q766" s="300"/>
      <c r="R766" s="300"/>
      <c r="S766" s="300"/>
      <c r="T766" s="300"/>
      <c r="U766" s="300"/>
      <c r="V766" s="300"/>
      <c r="W766" s="300"/>
      <c r="X766" s="300"/>
      <c r="Y766" s="300"/>
      <c r="Z766" s="300"/>
    </row>
    <row r="767" spans="1:26">
      <c r="A767" s="215" t="s">
        <v>3598</v>
      </c>
      <c r="B767" s="207">
        <v>2007</v>
      </c>
      <c r="C767" s="215" t="s">
        <v>5697</v>
      </c>
      <c r="D767" s="215" t="s">
        <v>8205</v>
      </c>
      <c r="E767" s="215" t="s">
        <v>8205</v>
      </c>
      <c r="F767" s="215" t="s">
        <v>8134</v>
      </c>
      <c r="G767" s="215" t="s">
        <v>8135</v>
      </c>
      <c r="H767" s="215" t="s">
        <v>6548</v>
      </c>
      <c r="I767" s="300"/>
      <c r="J767" s="300"/>
      <c r="K767" s="300"/>
      <c r="L767" s="300"/>
      <c r="M767" s="300"/>
      <c r="N767" s="300"/>
      <c r="O767" s="300"/>
      <c r="P767" s="300"/>
      <c r="Q767" s="300"/>
      <c r="R767" s="300"/>
      <c r="S767" s="300"/>
      <c r="T767" s="300"/>
      <c r="U767" s="300"/>
      <c r="V767" s="300"/>
      <c r="W767" s="300"/>
      <c r="X767" s="300"/>
      <c r="Y767" s="300"/>
      <c r="Z767" s="300"/>
    </row>
    <row r="768" spans="1:26">
      <c r="A768" s="215" t="s">
        <v>4139</v>
      </c>
      <c r="B768" s="207">
        <v>2008</v>
      </c>
      <c r="C768" s="215" t="s">
        <v>8206</v>
      </c>
      <c r="D768" s="215" t="s">
        <v>8207</v>
      </c>
      <c r="E768" s="215" t="s">
        <v>8208</v>
      </c>
      <c r="F768" s="215" t="s">
        <v>8134</v>
      </c>
      <c r="G768" s="215" t="s">
        <v>8135</v>
      </c>
      <c r="H768" s="215" t="s">
        <v>6500</v>
      </c>
      <c r="I768" s="300"/>
      <c r="J768" s="300"/>
      <c r="K768" s="300"/>
      <c r="L768" s="300"/>
      <c r="M768" s="300"/>
      <c r="N768" s="300"/>
      <c r="O768" s="300"/>
      <c r="P768" s="300"/>
      <c r="Q768" s="300"/>
      <c r="R768" s="300"/>
      <c r="S768" s="300"/>
      <c r="T768" s="300"/>
      <c r="U768" s="300"/>
      <c r="V768" s="300"/>
      <c r="W768" s="300"/>
      <c r="X768" s="300"/>
      <c r="Y768" s="300"/>
      <c r="Z768" s="300"/>
    </row>
    <row r="769" spans="1:26">
      <c r="A769" s="215" t="s">
        <v>4334</v>
      </c>
      <c r="B769" s="207">
        <v>2009</v>
      </c>
      <c r="C769" s="215" t="s">
        <v>8209</v>
      </c>
      <c r="D769" s="215" t="s">
        <v>8210</v>
      </c>
      <c r="E769" s="215" t="s">
        <v>8211</v>
      </c>
      <c r="F769" s="215" t="s">
        <v>8134</v>
      </c>
      <c r="G769" s="215" t="s">
        <v>8135</v>
      </c>
      <c r="H769" s="215" t="s">
        <v>6521</v>
      </c>
      <c r="I769" s="300"/>
      <c r="J769" s="300"/>
      <c r="K769" s="300"/>
      <c r="L769" s="300"/>
      <c r="M769" s="300"/>
      <c r="N769" s="300"/>
      <c r="O769" s="300"/>
      <c r="P769" s="300"/>
      <c r="Q769" s="300"/>
      <c r="R769" s="300"/>
      <c r="S769" s="300"/>
      <c r="T769" s="300"/>
      <c r="U769" s="300"/>
      <c r="V769" s="300"/>
      <c r="W769" s="300"/>
      <c r="X769" s="300"/>
      <c r="Y769" s="300"/>
      <c r="Z769" s="300"/>
    </row>
    <row r="770" spans="1:26">
      <c r="A770" s="215" t="s">
        <v>3925</v>
      </c>
      <c r="B770" s="207">
        <v>2010</v>
      </c>
      <c r="C770" s="215" t="s">
        <v>8212</v>
      </c>
      <c r="D770" s="215" t="s">
        <v>8213</v>
      </c>
      <c r="E770" s="215" t="s">
        <v>8214</v>
      </c>
      <c r="F770" s="215" t="s">
        <v>8134</v>
      </c>
      <c r="G770" s="215" t="s">
        <v>8135</v>
      </c>
      <c r="H770" s="215" t="s">
        <v>6497</v>
      </c>
      <c r="I770" s="300"/>
      <c r="J770" s="300"/>
      <c r="K770" s="300"/>
      <c r="L770" s="300"/>
      <c r="M770" s="300"/>
      <c r="N770" s="300"/>
      <c r="O770" s="300"/>
      <c r="P770" s="300"/>
      <c r="Q770" s="300"/>
      <c r="R770" s="300"/>
      <c r="S770" s="300"/>
      <c r="T770" s="300"/>
      <c r="U770" s="300"/>
      <c r="V770" s="300"/>
      <c r="W770" s="300"/>
      <c r="X770" s="300"/>
      <c r="Y770" s="300"/>
      <c r="Z770" s="300"/>
    </row>
    <row r="771" spans="1:26">
      <c r="A771" s="215" t="s">
        <v>4281</v>
      </c>
      <c r="B771" s="207">
        <v>2011</v>
      </c>
      <c r="C771" s="215" t="s">
        <v>6246</v>
      </c>
      <c r="D771" s="215" t="s">
        <v>8215</v>
      </c>
      <c r="E771" s="215" t="s">
        <v>8216</v>
      </c>
      <c r="F771" s="215" t="s">
        <v>8134</v>
      </c>
      <c r="G771" s="215" t="s">
        <v>8135</v>
      </c>
      <c r="H771" s="215" t="s">
        <v>6504</v>
      </c>
      <c r="I771" s="300"/>
      <c r="J771" s="300"/>
      <c r="K771" s="300"/>
      <c r="L771" s="300"/>
      <c r="M771" s="300"/>
      <c r="N771" s="300"/>
      <c r="O771" s="300"/>
      <c r="P771" s="300"/>
      <c r="Q771" s="300"/>
      <c r="R771" s="300"/>
      <c r="S771" s="300"/>
      <c r="T771" s="300"/>
      <c r="U771" s="300"/>
      <c r="V771" s="300"/>
      <c r="W771" s="300"/>
      <c r="X771" s="300"/>
      <c r="Y771" s="300"/>
      <c r="Z771" s="300"/>
    </row>
    <row r="772" spans="1:26">
      <c r="A772" s="215" t="s">
        <v>4193</v>
      </c>
      <c r="B772" s="207">
        <v>2012</v>
      </c>
      <c r="C772" s="215" t="s">
        <v>6178</v>
      </c>
      <c r="D772" s="215" t="s">
        <v>8217</v>
      </c>
      <c r="E772" s="215" t="s">
        <v>8217</v>
      </c>
      <c r="F772" s="215" t="s">
        <v>8134</v>
      </c>
      <c r="G772" s="215" t="s">
        <v>8135</v>
      </c>
      <c r="H772" s="215" t="s">
        <v>6500</v>
      </c>
      <c r="I772" s="300"/>
      <c r="J772" s="300"/>
      <c r="K772" s="300"/>
      <c r="L772" s="300"/>
      <c r="M772" s="300"/>
      <c r="N772" s="300"/>
      <c r="O772" s="300"/>
      <c r="P772" s="300"/>
      <c r="Q772" s="300"/>
      <c r="R772" s="300"/>
      <c r="S772" s="300"/>
      <c r="T772" s="300"/>
      <c r="U772" s="300"/>
      <c r="V772" s="300"/>
      <c r="W772" s="300"/>
      <c r="X772" s="300"/>
      <c r="Y772" s="300"/>
      <c r="Z772" s="300"/>
    </row>
    <row r="773" spans="1:26">
      <c r="A773" s="215" t="s">
        <v>4330</v>
      </c>
      <c r="B773" s="207">
        <v>2013</v>
      </c>
      <c r="C773" s="215" t="s">
        <v>8218</v>
      </c>
      <c r="D773" s="215" t="s">
        <v>8219</v>
      </c>
      <c r="E773" s="215" t="s">
        <v>8220</v>
      </c>
      <c r="F773" s="215" t="s">
        <v>8134</v>
      </c>
      <c r="G773" s="215" t="s">
        <v>8135</v>
      </c>
      <c r="H773" s="215" t="s">
        <v>6500</v>
      </c>
      <c r="I773" s="300"/>
      <c r="J773" s="300"/>
      <c r="K773" s="300"/>
      <c r="L773" s="300"/>
      <c r="M773" s="300"/>
      <c r="N773" s="300"/>
      <c r="O773" s="300"/>
      <c r="P773" s="300"/>
      <c r="Q773" s="300"/>
      <c r="R773" s="300"/>
      <c r="S773" s="300"/>
      <c r="T773" s="300"/>
      <c r="U773" s="300"/>
      <c r="V773" s="300"/>
      <c r="W773" s="300"/>
      <c r="X773" s="300"/>
      <c r="Y773" s="300"/>
      <c r="Z773" s="300"/>
    </row>
    <row r="774" spans="1:26">
      <c r="A774" s="215" t="s">
        <v>3191</v>
      </c>
      <c r="B774" s="207">
        <v>2014</v>
      </c>
      <c r="C774" s="215" t="s">
        <v>8221</v>
      </c>
      <c r="D774" s="215" t="s">
        <v>8222</v>
      </c>
      <c r="E774" s="215" t="s">
        <v>8223</v>
      </c>
      <c r="F774" s="215" t="s">
        <v>8134</v>
      </c>
      <c r="G774" s="215" t="s">
        <v>8135</v>
      </c>
      <c r="H774" s="215" t="s">
        <v>6500</v>
      </c>
      <c r="I774" s="300"/>
      <c r="J774" s="300"/>
      <c r="K774" s="300"/>
      <c r="L774" s="300"/>
      <c r="M774" s="300"/>
      <c r="N774" s="300"/>
      <c r="O774" s="300"/>
      <c r="P774" s="300"/>
      <c r="Q774" s="300"/>
      <c r="R774" s="300"/>
      <c r="S774" s="300"/>
      <c r="T774" s="300"/>
      <c r="U774" s="300"/>
      <c r="V774" s="300"/>
      <c r="W774" s="300"/>
      <c r="X774" s="300"/>
      <c r="Y774" s="300"/>
      <c r="Z774" s="300"/>
    </row>
    <row r="775" spans="1:26">
      <c r="A775" s="215" t="s">
        <v>4546</v>
      </c>
      <c r="B775" s="207">
        <v>2015</v>
      </c>
      <c r="C775" s="215" t="s">
        <v>8224</v>
      </c>
      <c r="D775" s="215" t="s">
        <v>8225</v>
      </c>
      <c r="E775" s="215" t="s">
        <v>8226</v>
      </c>
      <c r="F775" s="215" t="s">
        <v>8134</v>
      </c>
      <c r="G775" s="215" t="s">
        <v>8135</v>
      </c>
      <c r="H775" s="215" t="s">
        <v>6500</v>
      </c>
      <c r="I775" s="300"/>
      <c r="J775" s="300"/>
      <c r="K775" s="300"/>
      <c r="L775" s="300"/>
      <c r="M775" s="300"/>
      <c r="N775" s="300"/>
      <c r="O775" s="300"/>
      <c r="P775" s="300"/>
      <c r="Q775" s="300"/>
      <c r="R775" s="300"/>
      <c r="S775" s="300"/>
      <c r="T775" s="300"/>
      <c r="U775" s="300"/>
      <c r="V775" s="300"/>
      <c r="W775" s="300"/>
      <c r="X775" s="300"/>
      <c r="Y775" s="300"/>
      <c r="Z775" s="300"/>
    </row>
    <row r="776" spans="1:26">
      <c r="A776" s="215" t="s">
        <v>2917</v>
      </c>
      <c r="B776" s="207">
        <v>2016</v>
      </c>
      <c r="C776" s="215" t="s">
        <v>5077</v>
      </c>
      <c r="D776" s="215" t="s">
        <v>8227</v>
      </c>
      <c r="E776" s="215" t="s">
        <v>8227</v>
      </c>
      <c r="F776" s="215" t="s">
        <v>8134</v>
      </c>
      <c r="G776" s="215" t="s">
        <v>8135</v>
      </c>
      <c r="H776" s="215" t="s">
        <v>6497</v>
      </c>
      <c r="I776" s="300"/>
      <c r="J776" s="300"/>
      <c r="K776" s="300"/>
      <c r="L776" s="300"/>
      <c r="M776" s="300"/>
      <c r="N776" s="300"/>
      <c r="O776" s="300"/>
      <c r="P776" s="300"/>
      <c r="Q776" s="300"/>
      <c r="R776" s="300"/>
      <c r="S776" s="300"/>
      <c r="T776" s="300"/>
      <c r="U776" s="300"/>
      <c r="V776" s="300"/>
      <c r="W776" s="300"/>
      <c r="X776" s="300"/>
      <c r="Y776" s="300"/>
      <c r="Z776" s="300"/>
    </row>
    <row r="777" spans="1:26">
      <c r="A777" s="215" t="s">
        <v>4186</v>
      </c>
      <c r="B777" s="207">
        <v>2017</v>
      </c>
      <c r="C777" s="215" t="s">
        <v>8228</v>
      </c>
      <c r="D777" s="215" t="s">
        <v>8229</v>
      </c>
      <c r="E777" s="215" t="s">
        <v>8230</v>
      </c>
      <c r="F777" s="215" t="s">
        <v>8134</v>
      </c>
      <c r="G777" s="215" t="s">
        <v>8135</v>
      </c>
      <c r="H777" s="215" t="s">
        <v>6497</v>
      </c>
      <c r="I777" s="300"/>
      <c r="J777" s="300"/>
      <c r="K777" s="300"/>
      <c r="L777" s="300"/>
      <c r="M777" s="300"/>
      <c r="N777" s="300"/>
      <c r="O777" s="300"/>
      <c r="P777" s="300"/>
      <c r="Q777" s="300"/>
      <c r="R777" s="300"/>
      <c r="S777" s="300"/>
      <c r="T777" s="300"/>
      <c r="U777" s="300"/>
      <c r="V777" s="300"/>
      <c r="W777" s="300"/>
      <c r="X777" s="300"/>
      <c r="Y777" s="300"/>
      <c r="Z777" s="300"/>
    </row>
    <row r="778" spans="1:26">
      <c r="A778" s="215" t="s">
        <v>4513</v>
      </c>
      <c r="B778" s="207">
        <v>2018</v>
      </c>
      <c r="C778" s="215" t="s">
        <v>6428</v>
      </c>
      <c r="D778" s="215" t="s">
        <v>8231</v>
      </c>
      <c r="E778" s="215" t="s">
        <v>8231</v>
      </c>
      <c r="F778" s="215" t="s">
        <v>8134</v>
      </c>
      <c r="G778" s="215" t="s">
        <v>8135</v>
      </c>
      <c r="H778" s="215" t="s">
        <v>6500</v>
      </c>
      <c r="I778" s="300"/>
      <c r="J778" s="300"/>
      <c r="K778" s="300"/>
      <c r="L778" s="300"/>
      <c r="M778" s="300"/>
      <c r="N778" s="300"/>
      <c r="O778" s="300"/>
      <c r="P778" s="300"/>
      <c r="Q778" s="300"/>
      <c r="R778" s="300"/>
      <c r="S778" s="300"/>
      <c r="T778" s="300"/>
      <c r="U778" s="300"/>
      <c r="V778" s="300"/>
      <c r="W778" s="300"/>
      <c r="X778" s="300"/>
      <c r="Y778" s="300"/>
      <c r="Z778" s="300"/>
    </row>
    <row r="779" spans="1:26">
      <c r="A779" s="215" t="s">
        <v>3587</v>
      </c>
      <c r="B779" s="207">
        <v>2019</v>
      </c>
      <c r="C779" s="215" t="s">
        <v>5688</v>
      </c>
      <c r="D779" s="215" t="s">
        <v>8232</v>
      </c>
      <c r="E779" s="215" t="s">
        <v>8233</v>
      </c>
      <c r="F779" s="215" t="s">
        <v>8134</v>
      </c>
      <c r="G779" s="215" t="s">
        <v>8135</v>
      </c>
      <c r="H779" s="215" t="s">
        <v>6500</v>
      </c>
      <c r="I779" s="300"/>
      <c r="J779" s="300"/>
      <c r="K779" s="300"/>
      <c r="L779" s="300"/>
      <c r="M779" s="300"/>
      <c r="N779" s="300"/>
      <c r="O779" s="300"/>
      <c r="P779" s="300"/>
      <c r="Q779" s="300"/>
      <c r="R779" s="300"/>
      <c r="S779" s="300"/>
      <c r="T779" s="300"/>
      <c r="U779" s="300"/>
      <c r="V779" s="300"/>
      <c r="W779" s="300"/>
      <c r="X779" s="300"/>
      <c r="Y779" s="300"/>
      <c r="Z779" s="300"/>
    </row>
    <row r="780" spans="1:26">
      <c r="A780" s="215" t="s">
        <v>2828</v>
      </c>
      <c r="B780" s="207">
        <v>2020</v>
      </c>
      <c r="C780" s="215" t="s">
        <v>8234</v>
      </c>
      <c r="D780" s="215" t="s">
        <v>8235</v>
      </c>
      <c r="E780" s="215" t="s">
        <v>8236</v>
      </c>
      <c r="F780" s="215" t="s">
        <v>8134</v>
      </c>
      <c r="G780" s="215" t="s">
        <v>8135</v>
      </c>
      <c r="H780" s="215" t="s">
        <v>6504</v>
      </c>
      <c r="I780" s="300"/>
      <c r="J780" s="300"/>
      <c r="K780" s="300"/>
      <c r="L780" s="300"/>
      <c r="M780" s="300"/>
      <c r="N780" s="300"/>
      <c r="O780" s="300"/>
      <c r="P780" s="300"/>
      <c r="Q780" s="300"/>
      <c r="R780" s="300"/>
      <c r="S780" s="300"/>
      <c r="T780" s="300"/>
      <c r="U780" s="300"/>
      <c r="V780" s="300"/>
      <c r="W780" s="300"/>
      <c r="X780" s="300"/>
      <c r="Y780" s="300"/>
      <c r="Z780" s="300"/>
    </row>
    <row r="781" spans="1:26">
      <c r="A781" s="215"/>
      <c r="B781" s="207">
        <v>2021</v>
      </c>
      <c r="C781" s="215" t="s">
        <v>5867</v>
      </c>
      <c r="D781" s="215" t="s">
        <v>8237</v>
      </c>
      <c r="E781" s="215" t="s">
        <v>8238</v>
      </c>
      <c r="F781" s="215" t="s">
        <v>8134</v>
      </c>
      <c r="G781" s="215" t="s">
        <v>8135</v>
      </c>
      <c r="H781" s="215" t="s">
        <v>6497</v>
      </c>
      <c r="I781" s="300"/>
      <c r="J781" s="300"/>
      <c r="K781" s="300"/>
      <c r="L781" s="300"/>
      <c r="M781" s="300"/>
      <c r="N781" s="300"/>
      <c r="O781" s="300"/>
      <c r="P781" s="300"/>
      <c r="Q781" s="300"/>
      <c r="R781" s="300"/>
      <c r="S781" s="300"/>
      <c r="T781" s="300"/>
      <c r="U781" s="300"/>
      <c r="V781" s="300"/>
      <c r="W781" s="300"/>
      <c r="X781" s="300"/>
      <c r="Y781" s="300"/>
      <c r="Z781" s="300"/>
    </row>
    <row r="782" spans="1:26">
      <c r="A782" s="215" t="s">
        <v>2822</v>
      </c>
      <c r="B782" s="207">
        <v>2022</v>
      </c>
      <c r="C782" s="215" t="s">
        <v>4985</v>
      </c>
      <c r="D782" s="215" t="s">
        <v>8239</v>
      </c>
      <c r="E782" s="215" t="s">
        <v>8240</v>
      </c>
      <c r="F782" s="215" t="s">
        <v>8134</v>
      </c>
      <c r="G782" s="215" t="s">
        <v>8135</v>
      </c>
      <c r="H782" s="215" t="s">
        <v>6500</v>
      </c>
      <c r="I782" s="300"/>
      <c r="J782" s="300"/>
      <c r="K782" s="300"/>
      <c r="L782" s="300"/>
      <c r="M782" s="300"/>
      <c r="N782" s="300"/>
      <c r="O782" s="300"/>
      <c r="P782" s="300"/>
      <c r="Q782" s="300"/>
      <c r="R782" s="300"/>
      <c r="S782" s="300"/>
      <c r="T782" s="300"/>
      <c r="U782" s="300"/>
      <c r="V782" s="300"/>
      <c r="W782" s="300"/>
      <c r="X782" s="300"/>
      <c r="Y782" s="300"/>
      <c r="Z782" s="300"/>
    </row>
    <row r="783" spans="1:26">
      <c r="A783" s="215" t="s">
        <v>2928</v>
      </c>
      <c r="B783" s="207">
        <v>2038</v>
      </c>
      <c r="C783" s="215" t="s">
        <v>5085</v>
      </c>
      <c r="D783" s="215" t="s">
        <v>8241</v>
      </c>
      <c r="E783" s="215" t="s">
        <v>8241</v>
      </c>
      <c r="F783" s="215" t="s">
        <v>8134</v>
      </c>
      <c r="G783" s="215" t="s">
        <v>8135</v>
      </c>
      <c r="H783" s="215" t="s">
        <v>6548</v>
      </c>
      <c r="I783" s="300"/>
      <c r="J783" s="300"/>
      <c r="K783" s="300"/>
      <c r="L783" s="300"/>
      <c r="M783" s="300"/>
      <c r="N783" s="300"/>
      <c r="O783" s="300"/>
      <c r="P783" s="300"/>
      <c r="Q783" s="300"/>
      <c r="R783" s="300"/>
      <c r="S783" s="300"/>
      <c r="T783" s="300"/>
      <c r="U783" s="300"/>
      <c r="V783" s="300"/>
      <c r="W783" s="300"/>
      <c r="X783" s="300"/>
      <c r="Y783" s="300"/>
      <c r="Z783" s="300"/>
    </row>
    <row r="784" spans="1:26">
      <c r="A784" s="215" t="s">
        <v>2978</v>
      </c>
      <c r="B784" s="207">
        <v>2051</v>
      </c>
      <c r="C784" s="215" t="s">
        <v>5127</v>
      </c>
      <c r="D784" s="215" t="s">
        <v>8242</v>
      </c>
      <c r="E784" s="215" t="s">
        <v>8243</v>
      </c>
      <c r="F784" s="215" t="s">
        <v>8134</v>
      </c>
      <c r="G784" s="215" t="s">
        <v>8135</v>
      </c>
      <c r="H784" s="215" t="s">
        <v>6500</v>
      </c>
      <c r="I784" s="300"/>
      <c r="J784" s="300"/>
      <c r="K784" s="300"/>
      <c r="L784" s="300"/>
      <c r="M784" s="300"/>
      <c r="N784" s="300"/>
      <c r="O784" s="300"/>
      <c r="P784" s="300"/>
      <c r="Q784" s="300"/>
      <c r="R784" s="300"/>
      <c r="S784" s="300"/>
      <c r="T784" s="300"/>
      <c r="U784" s="300"/>
      <c r="V784" s="300"/>
      <c r="W784" s="300"/>
      <c r="X784" s="300"/>
      <c r="Y784" s="300"/>
      <c r="Z784" s="300"/>
    </row>
    <row r="785" spans="1:26">
      <c r="A785" s="215" t="s">
        <v>3829</v>
      </c>
      <c r="B785" s="207">
        <v>2054</v>
      </c>
      <c r="C785" s="215" t="s">
        <v>8244</v>
      </c>
      <c r="D785" s="215" t="s">
        <v>8245</v>
      </c>
      <c r="E785" s="215" t="s">
        <v>8246</v>
      </c>
      <c r="F785" s="215" t="s">
        <v>8134</v>
      </c>
      <c r="G785" s="215" t="s">
        <v>8135</v>
      </c>
      <c r="H785" s="215" t="s">
        <v>6504</v>
      </c>
      <c r="I785" s="300"/>
      <c r="J785" s="300"/>
      <c r="K785" s="300"/>
      <c r="L785" s="300"/>
      <c r="M785" s="300"/>
      <c r="N785" s="300"/>
      <c r="O785" s="300"/>
      <c r="P785" s="300"/>
      <c r="Q785" s="300"/>
      <c r="R785" s="300"/>
      <c r="S785" s="300"/>
      <c r="T785" s="300"/>
      <c r="U785" s="300"/>
      <c r="V785" s="300"/>
      <c r="W785" s="300"/>
      <c r="X785" s="300"/>
      <c r="Y785" s="300"/>
      <c r="Z785" s="300"/>
    </row>
    <row r="786" spans="1:26">
      <c r="A786" s="215" t="s">
        <v>3919</v>
      </c>
      <c r="B786" s="207">
        <v>2055</v>
      </c>
      <c r="C786" s="215" t="s">
        <v>8247</v>
      </c>
      <c r="D786" s="215" t="s">
        <v>8248</v>
      </c>
      <c r="E786" s="215" t="s">
        <v>8249</v>
      </c>
      <c r="F786" s="215" t="s">
        <v>8134</v>
      </c>
      <c r="G786" s="215" t="s">
        <v>8135</v>
      </c>
      <c r="H786" s="215" t="s">
        <v>6500</v>
      </c>
      <c r="I786" s="300"/>
      <c r="J786" s="300"/>
      <c r="K786" s="300"/>
      <c r="L786" s="300"/>
      <c r="M786" s="300"/>
      <c r="N786" s="300"/>
      <c r="O786" s="300"/>
      <c r="P786" s="300"/>
      <c r="Q786" s="300"/>
      <c r="R786" s="300"/>
      <c r="S786" s="300"/>
      <c r="T786" s="300"/>
      <c r="U786" s="300"/>
      <c r="V786" s="300"/>
      <c r="W786" s="300"/>
      <c r="X786" s="300"/>
      <c r="Y786" s="300"/>
      <c r="Z786" s="300"/>
    </row>
    <row r="787" spans="1:26">
      <c r="A787" s="215" t="s">
        <v>8250</v>
      </c>
      <c r="B787" s="207">
        <v>2056</v>
      </c>
      <c r="C787" s="215" t="s">
        <v>8251</v>
      </c>
      <c r="D787" s="215" t="s">
        <v>8252</v>
      </c>
      <c r="E787" s="215" t="s">
        <v>8253</v>
      </c>
      <c r="F787" s="215" t="s">
        <v>8134</v>
      </c>
      <c r="G787" s="215" t="s">
        <v>8135</v>
      </c>
      <c r="H787" s="215" t="s">
        <v>6497</v>
      </c>
      <c r="I787" s="300"/>
      <c r="J787" s="300"/>
      <c r="K787" s="300"/>
      <c r="L787" s="300"/>
      <c r="M787" s="300"/>
      <c r="N787" s="300"/>
      <c r="O787" s="300"/>
      <c r="P787" s="300"/>
      <c r="Q787" s="300"/>
      <c r="R787" s="300"/>
      <c r="S787" s="300"/>
      <c r="T787" s="300"/>
      <c r="U787" s="300"/>
      <c r="V787" s="300"/>
      <c r="W787" s="300"/>
      <c r="X787" s="300"/>
      <c r="Y787" s="300"/>
      <c r="Z787" s="300"/>
    </row>
    <row r="788" spans="1:26">
      <c r="A788" s="215"/>
      <c r="B788" s="207">
        <v>2057</v>
      </c>
      <c r="C788" s="215" t="s">
        <v>8254</v>
      </c>
      <c r="D788" s="215"/>
      <c r="E788" s="215" t="s">
        <v>8255</v>
      </c>
      <c r="F788" s="215" t="s">
        <v>8134</v>
      </c>
      <c r="G788" s="215" t="s">
        <v>8135</v>
      </c>
      <c r="H788" s="215" t="s">
        <v>6521</v>
      </c>
      <c r="I788" s="300"/>
      <c r="J788" s="300"/>
      <c r="K788" s="300"/>
      <c r="L788" s="300"/>
      <c r="M788" s="300"/>
      <c r="N788" s="300"/>
      <c r="O788" s="300"/>
      <c r="P788" s="300"/>
      <c r="Q788" s="300"/>
      <c r="R788" s="300"/>
      <c r="S788" s="300"/>
      <c r="T788" s="300"/>
      <c r="U788" s="300"/>
      <c r="V788" s="300"/>
      <c r="W788" s="300"/>
      <c r="X788" s="300"/>
      <c r="Y788" s="300"/>
      <c r="Z788" s="300"/>
    </row>
    <row r="789" spans="1:26">
      <c r="A789" s="215" t="s">
        <v>3264</v>
      </c>
      <c r="B789" s="207">
        <v>2063</v>
      </c>
      <c r="C789" s="215" t="s">
        <v>8256</v>
      </c>
      <c r="D789" s="215" t="s">
        <v>8257</v>
      </c>
      <c r="E789" s="215" t="s">
        <v>8258</v>
      </c>
      <c r="F789" s="215" t="s">
        <v>8134</v>
      </c>
      <c r="G789" s="215" t="s">
        <v>8135</v>
      </c>
      <c r="H789" s="215" t="s">
        <v>6521</v>
      </c>
      <c r="I789" s="300"/>
      <c r="J789" s="300"/>
      <c r="K789" s="300"/>
      <c r="L789" s="300"/>
      <c r="M789" s="300"/>
      <c r="N789" s="300"/>
      <c r="O789" s="300"/>
      <c r="P789" s="300"/>
      <c r="Q789" s="300"/>
      <c r="R789" s="300"/>
      <c r="S789" s="300"/>
      <c r="T789" s="300"/>
      <c r="U789" s="300"/>
      <c r="V789" s="300"/>
      <c r="W789" s="300"/>
      <c r="X789" s="300"/>
      <c r="Y789" s="300"/>
      <c r="Z789" s="300"/>
    </row>
    <row r="790" spans="1:26">
      <c r="A790" s="215" t="s">
        <v>8259</v>
      </c>
      <c r="B790" s="207">
        <v>2353</v>
      </c>
      <c r="C790" s="215" t="s">
        <v>8260</v>
      </c>
      <c r="D790" s="215" t="s">
        <v>8261</v>
      </c>
      <c r="E790" s="215" t="s">
        <v>8262</v>
      </c>
      <c r="F790" s="215" t="s">
        <v>8134</v>
      </c>
      <c r="G790" s="215" t="s">
        <v>8135</v>
      </c>
      <c r="H790" s="215" t="s">
        <v>6504</v>
      </c>
      <c r="I790" s="300"/>
      <c r="J790" s="300"/>
      <c r="K790" s="300"/>
      <c r="L790" s="300"/>
      <c r="M790" s="300"/>
      <c r="N790" s="300"/>
      <c r="O790" s="300"/>
      <c r="P790" s="300"/>
      <c r="Q790" s="300"/>
      <c r="R790" s="300"/>
      <c r="S790" s="300"/>
      <c r="T790" s="300"/>
      <c r="U790" s="300"/>
      <c r="V790" s="300"/>
      <c r="W790" s="300"/>
      <c r="X790" s="300"/>
      <c r="Y790" s="300"/>
      <c r="Z790" s="300"/>
    </row>
    <row r="791" spans="1:26">
      <c r="A791" s="215" t="s">
        <v>7282</v>
      </c>
      <c r="B791" s="207">
        <v>605</v>
      </c>
      <c r="C791" s="215" t="s">
        <v>8263</v>
      </c>
      <c r="D791" s="215" t="s">
        <v>8264</v>
      </c>
      <c r="E791" s="215" t="s">
        <v>8265</v>
      </c>
      <c r="F791" s="215" t="s">
        <v>8266</v>
      </c>
      <c r="G791" s="215" t="s">
        <v>8267</v>
      </c>
      <c r="H791" s="215" t="s">
        <v>6500</v>
      </c>
      <c r="I791" s="300"/>
      <c r="J791" s="300"/>
      <c r="K791" s="300"/>
      <c r="L791" s="300"/>
      <c r="M791" s="300"/>
      <c r="N791" s="300"/>
      <c r="O791" s="300"/>
      <c r="P791" s="300"/>
      <c r="Q791" s="300"/>
      <c r="R791" s="300"/>
      <c r="S791" s="300"/>
      <c r="T791" s="300"/>
      <c r="U791" s="300"/>
      <c r="V791" s="300"/>
      <c r="W791" s="300"/>
      <c r="X791" s="300"/>
      <c r="Y791" s="300"/>
      <c r="Z791" s="300"/>
    </row>
    <row r="792" spans="1:26">
      <c r="A792" s="215" t="s">
        <v>2828</v>
      </c>
      <c r="B792" s="207">
        <v>736</v>
      </c>
      <c r="C792" s="215" t="s">
        <v>4992</v>
      </c>
      <c r="D792" s="215" t="s">
        <v>8268</v>
      </c>
      <c r="E792" s="215" t="s">
        <v>8268</v>
      </c>
      <c r="F792" s="215" t="s">
        <v>8266</v>
      </c>
      <c r="G792" s="215" t="s">
        <v>8267</v>
      </c>
      <c r="H792" s="215" t="s">
        <v>6521</v>
      </c>
      <c r="I792" s="300"/>
      <c r="J792" s="300"/>
      <c r="K792" s="300"/>
      <c r="L792" s="300"/>
      <c r="M792" s="300"/>
      <c r="N792" s="300"/>
      <c r="O792" s="300"/>
      <c r="P792" s="300"/>
      <c r="Q792" s="300"/>
      <c r="R792" s="300"/>
      <c r="S792" s="300"/>
      <c r="T792" s="300"/>
      <c r="U792" s="300"/>
      <c r="V792" s="300"/>
      <c r="W792" s="300"/>
      <c r="X792" s="300"/>
      <c r="Y792" s="300"/>
      <c r="Z792" s="300"/>
    </row>
    <row r="793" spans="1:26">
      <c r="A793" s="215" t="s">
        <v>3180</v>
      </c>
      <c r="B793" s="207">
        <v>295</v>
      </c>
      <c r="C793" s="215" t="s">
        <v>5314</v>
      </c>
      <c r="D793" s="215" t="s">
        <v>8269</v>
      </c>
      <c r="E793" s="215" t="s">
        <v>8269</v>
      </c>
      <c r="F793" s="215" t="s">
        <v>8270</v>
      </c>
      <c r="G793" s="215" t="s">
        <v>8271</v>
      </c>
      <c r="H793" s="215" t="s">
        <v>6521</v>
      </c>
      <c r="I793" s="300"/>
      <c r="J793" s="300"/>
      <c r="K793" s="300"/>
      <c r="L793" s="300"/>
      <c r="M793" s="300"/>
      <c r="N793" s="300"/>
      <c r="O793" s="300"/>
      <c r="P793" s="300"/>
      <c r="Q793" s="300"/>
      <c r="R793" s="300"/>
      <c r="S793" s="300"/>
      <c r="T793" s="300"/>
      <c r="U793" s="300"/>
      <c r="V793" s="300"/>
      <c r="W793" s="300"/>
      <c r="X793" s="300"/>
      <c r="Y793" s="300"/>
      <c r="Z793" s="300"/>
    </row>
    <row r="794" spans="1:26">
      <c r="A794" s="215" t="s">
        <v>8272</v>
      </c>
      <c r="B794" s="207">
        <v>296</v>
      </c>
      <c r="C794" s="215" t="s">
        <v>5316</v>
      </c>
      <c r="D794" s="215" t="s">
        <v>8273</v>
      </c>
      <c r="E794" s="215" t="s">
        <v>8274</v>
      </c>
      <c r="F794" s="215" t="s">
        <v>8270</v>
      </c>
      <c r="G794" s="215" t="s">
        <v>8271</v>
      </c>
      <c r="H794" s="215" t="s">
        <v>6521</v>
      </c>
      <c r="I794" s="300"/>
      <c r="J794" s="300"/>
      <c r="K794" s="300"/>
      <c r="L794" s="300"/>
      <c r="M794" s="300"/>
      <c r="N794" s="300"/>
      <c r="O794" s="300"/>
      <c r="P794" s="300"/>
      <c r="Q794" s="300"/>
      <c r="R794" s="300"/>
      <c r="S794" s="300"/>
      <c r="T794" s="300"/>
      <c r="U794" s="300"/>
      <c r="V794" s="300"/>
      <c r="W794" s="300"/>
      <c r="X794" s="300"/>
      <c r="Y794" s="300"/>
      <c r="Z794" s="300"/>
    </row>
    <row r="795" spans="1:26">
      <c r="A795" s="215" t="s">
        <v>3015</v>
      </c>
      <c r="B795" s="207">
        <v>299</v>
      </c>
      <c r="C795" s="215" t="s">
        <v>5151</v>
      </c>
      <c r="D795" s="215" t="s">
        <v>8275</v>
      </c>
      <c r="E795" s="215" t="s">
        <v>8275</v>
      </c>
      <c r="F795" s="215" t="s">
        <v>8270</v>
      </c>
      <c r="G795" s="215" t="s">
        <v>8271</v>
      </c>
      <c r="H795" s="215" t="s">
        <v>6504</v>
      </c>
      <c r="I795" s="300"/>
      <c r="J795" s="300"/>
      <c r="K795" s="300"/>
      <c r="L795" s="300"/>
      <c r="M795" s="300"/>
      <c r="N795" s="300"/>
      <c r="O795" s="300"/>
      <c r="P795" s="300"/>
      <c r="Q795" s="300"/>
      <c r="R795" s="300"/>
      <c r="S795" s="300"/>
      <c r="T795" s="300"/>
      <c r="U795" s="300"/>
      <c r="V795" s="300"/>
      <c r="W795" s="300"/>
      <c r="X795" s="300"/>
      <c r="Y795" s="300"/>
      <c r="Z795" s="300"/>
    </row>
    <row r="796" spans="1:26">
      <c r="A796" s="215" t="s">
        <v>3436</v>
      </c>
      <c r="B796" s="207">
        <v>300</v>
      </c>
      <c r="C796" s="215" t="s">
        <v>8276</v>
      </c>
      <c r="D796" s="215" t="s">
        <v>8277</v>
      </c>
      <c r="E796" s="215" t="s">
        <v>8278</v>
      </c>
      <c r="F796" s="215" t="s">
        <v>8270</v>
      </c>
      <c r="G796" s="215" t="s">
        <v>8271</v>
      </c>
      <c r="H796" s="215" t="s">
        <v>6500</v>
      </c>
      <c r="I796" s="300"/>
      <c r="J796" s="300"/>
      <c r="K796" s="300"/>
      <c r="L796" s="300"/>
      <c r="M796" s="300"/>
      <c r="N796" s="300"/>
      <c r="O796" s="300"/>
      <c r="P796" s="300"/>
      <c r="Q796" s="300"/>
      <c r="R796" s="300"/>
      <c r="S796" s="300"/>
      <c r="T796" s="300"/>
      <c r="U796" s="300"/>
      <c r="V796" s="300"/>
      <c r="W796" s="300"/>
      <c r="X796" s="300"/>
      <c r="Y796" s="300"/>
      <c r="Z796" s="300"/>
    </row>
    <row r="797" spans="1:26">
      <c r="A797" s="215" t="s">
        <v>3924</v>
      </c>
      <c r="B797" s="207">
        <v>308</v>
      </c>
      <c r="C797" s="215" t="s">
        <v>5969</v>
      </c>
      <c r="D797" s="215" t="s">
        <v>8279</v>
      </c>
      <c r="E797" s="215" t="s">
        <v>8279</v>
      </c>
      <c r="F797" s="215" t="s">
        <v>8270</v>
      </c>
      <c r="G797" s="215" t="s">
        <v>8271</v>
      </c>
      <c r="H797" s="215" t="s">
        <v>6500</v>
      </c>
      <c r="I797" s="300"/>
      <c r="J797" s="300"/>
      <c r="K797" s="300"/>
      <c r="L797" s="300"/>
      <c r="M797" s="300"/>
      <c r="N797" s="300"/>
      <c r="O797" s="300"/>
      <c r="P797" s="300"/>
      <c r="Q797" s="300"/>
      <c r="R797" s="300"/>
      <c r="S797" s="300"/>
      <c r="T797" s="300"/>
      <c r="U797" s="300"/>
      <c r="V797" s="300"/>
      <c r="W797" s="300"/>
      <c r="X797" s="300"/>
      <c r="Y797" s="300"/>
      <c r="Z797" s="300"/>
    </row>
    <row r="798" spans="1:26">
      <c r="A798" s="215" t="s">
        <v>3970</v>
      </c>
      <c r="B798" s="207">
        <v>309</v>
      </c>
      <c r="C798" s="215" t="s">
        <v>6006</v>
      </c>
      <c r="D798" s="215" t="s">
        <v>8280</v>
      </c>
      <c r="E798" s="215" t="s">
        <v>8280</v>
      </c>
      <c r="F798" s="215" t="s">
        <v>8270</v>
      </c>
      <c r="G798" s="215" t="s">
        <v>8271</v>
      </c>
      <c r="H798" s="215" t="s">
        <v>6500</v>
      </c>
      <c r="I798" s="300"/>
      <c r="J798" s="300"/>
      <c r="K798" s="300"/>
      <c r="L798" s="300"/>
      <c r="M798" s="300"/>
      <c r="N798" s="300"/>
      <c r="O798" s="300"/>
      <c r="P798" s="300"/>
      <c r="Q798" s="300"/>
      <c r="R798" s="300"/>
      <c r="S798" s="300"/>
      <c r="T798" s="300"/>
      <c r="U798" s="300"/>
      <c r="V798" s="300"/>
      <c r="W798" s="300"/>
      <c r="X798" s="300"/>
      <c r="Y798" s="300"/>
      <c r="Z798" s="300"/>
    </row>
    <row r="799" spans="1:26">
      <c r="A799" s="215" t="s">
        <v>4103</v>
      </c>
      <c r="B799" s="207">
        <v>311</v>
      </c>
      <c r="C799" s="215" t="s">
        <v>6111</v>
      </c>
      <c r="D799" s="215" t="s">
        <v>8281</v>
      </c>
      <c r="E799" s="215" t="s">
        <v>8282</v>
      </c>
      <c r="F799" s="215" t="s">
        <v>8270</v>
      </c>
      <c r="G799" s="215" t="s">
        <v>8271</v>
      </c>
      <c r="H799" s="215" t="s">
        <v>6504</v>
      </c>
      <c r="I799" s="300"/>
      <c r="J799" s="300"/>
      <c r="K799" s="300"/>
      <c r="L799" s="300"/>
      <c r="M799" s="300"/>
      <c r="N799" s="300"/>
      <c r="O799" s="300"/>
      <c r="P799" s="300"/>
      <c r="Q799" s="300"/>
      <c r="R799" s="300"/>
      <c r="S799" s="300"/>
      <c r="T799" s="300"/>
      <c r="U799" s="300"/>
      <c r="V799" s="300"/>
      <c r="W799" s="300"/>
      <c r="X799" s="300"/>
      <c r="Y799" s="300"/>
      <c r="Z799" s="300"/>
    </row>
    <row r="800" spans="1:26">
      <c r="A800" s="215" t="s">
        <v>8283</v>
      </c>
      <c r="B800" s="207">
        <v>316</v>
      </c>
      <c r="C800" s="215" t="s">
        <v>6282</v>
      </c>
      <c r="D800" s="215" t="s">
        <v>8284</v>
      </c>
      <c r="E800" s="215" t="s">
        <v>8284</v>
      </c>
      <c r="F800" s="215" t="s">
        <v>8270</v>
      </c>
      <c r="G800" s="215" t="s">
        <v>8271</v>
      </c>
      <c r="H800" s="215" t="s">
        <v>6500</v>
      </c>
      <c r="I800" s="300"/>
      <c r="J800" s="300"/>
      <c r="K800" s="300"/>
      <c r="L800" s="300"/>
      <c r="M800" s="300"/>
      <c r="N800" s="300"/>
      <c r="O800" s="300"/>
      <c r="P800" s="300"/>
      <c r="Q800" s="300"/>
      <c r="R800" s="300"/>
      <c r="S800" s="300"/>
      <c r="T800" s="300"/>
      <c r="U800" s="300"/>
      <c r="V800" s="300"/>
      <c r="W800" s="300"/>
      <c r="X800" s="300"/>
      <c r="Y800" s="300"/>
      <c r="Z800" s="300"/>
    </row>
    <row r="801" spans="1:26">
      <c r="A801" s="215"/>
      <c r="B801" s="207">
        <v>643</v>
      </c>
      <c r="C801" s="215" t="s">
        <v>5425</v>
      </c>
      <c r="D801" s="215" t="s">
        <v>8285</v>
      </c>
      <c r="E801" s="215" t="s">
        <v>8286</v>
      </c>
      <c r="F801" s="215" t="s">
        <v>8287</v>
      </c>
      <c r="G801" s="215" t="s">
        <v>8288</v>
      </c>
      <c r="H801" s="215" t="s">
        <v>6500</v>
      </c>
      <c r="I801" s="300"/>
      <c r="J801" s="300"/>
      <c r="K801" s="300"/>
      <c r="L801" s="300"/>
      <c r="M801" s="300"/>
      <c r="N801" s="300"/>
      <c r="O801" s="300"/>
      <c r="P801" s="300"/>
      <c r="Q801" s="300"/>
      <c r="R801" s="300"/>
      <c r="S801" s="300"/>
      <c r="T801" s="300"/>
      <c r="U801" s="300"/>
      <c r="V801" s="300"/>
      <c r="W801" s="300"/>
      <c r="X801" s="300"/>
      <c r="Y801" s="300"/>
      <c r="Z801" s="300"/>
    </row>
    <row r="802" spans="1:26">
      <c r="A802" s="215" t="s">
        <v>2898</v>
      </c>
      <c r="B802" s="207">
        <v>1871</v>
      </c>
      <c r="C802" s="215" t="s">
        <v>8289</v>
      </c>
      <c r="D802" s="215" t="s">
        <v>8290</v>
      </c>
      <c r="E802" s="215" t="s">
        <v>8291</v>
      </c>
      <c r="F802" s="215" t="s">
        <v>8287</v>
      </c>
      <c r="G802" s="215" t="s">
        <v>8288</v>
      </c>
      <c r="H802" s="215" t="s">
        <v>6521</v>
      </c>
      <c r="I802" s="300"/>
      <c r="J802" s="300"/>
      <c r="K802" s="300"/>
      <c r="L802" s="300"/>
      <c r="M802" s="300"/>
      <c r="N802" s="300"/>
      <c r="O802" s="300"/>
      <c r="P802" s="300"/>
      <c r="Q802" s="300"/>
      <c r="R802" s="300"/>
      <c r="S802" s="300"/>
      <c r="T802" s="300"/>
      <c r="U802" s="300"/>
      <c r="V802" s="300"/>
      <c r="W802" s="300"/>
      <c r="X802" s="300"/>
      <c r="Y802" s="300"/>
      <c r="Z802" s="300"/>
    </row>
    <row r="803" spans="1:26">
      <c r="A803" s="215"/>
      <c r="B803" s="207">
        <v>1873</v>
      </c>
      <c r="C803" s="215" t="s">
        <v>5018</v>
      </c>
      <c r="D803" s="215" t="s">
        <v>8292</v>
      </c>
      <c r="E803" s="215" t="s">
        <v>8293</v>
      </c>
      <c r="F803" s="215" t="s">
        <v>8287</v>
      </c>
      <c r="G803" s="215" t="s">
        <v>8288</v>
      </c>
      <c r="H803" s="215" t="s">
        <v>6497</v>
      </c>
      <c r="I803" s="300"/>
      <c r="J803" s="300"/>
      <c r="K803" s="300"/>
      <c r="L803" s="300"/>
      <c r="M803" s="300"/>
      <c r="N803" s="300"/>
      <c r="O803" s="300"/>
      <c r="P803" s="300"/>
      <c r="Q803" s="300"/>
      <c r="R803" s="300"/>
      <c r="S803" s="300"/>
      <c r="T803" s="300"/>
      <c r="U803" s="300"/>
      <c r="V803" s="300"/>
      <c r="W803" s="300"/>
      <c r="X803" s="300"/>
      <c r="Y803" s="300"/>
      <c r="Z803" s="300"/>
    </row>
    <row r="804" spans="1:26">
      <c r="A804" s="215"/>
      <c r="B804" s="207">
        <v>1875</v>
      </c>
      <c r="C804" s="215" t="s">
        <v>5113</v>
      </c>
      <c r="D804" s="215" t="s">
        <v>8294</v>
      </c>
      <c r="E804" s="215" t="s">
        <v>8295</v>
      </c>
      <c r="F804" s="215" t="s">
        <v>8287</v>
      </c>
      <c r="G804" s="215" t="s">
        <v>8288</v>
      </c>
      <c r="H804" s="215" t="s">
        <v>6521</v>
      </c>
      <c r="I804" s="300"/>
      <c r="J804" s="300"/>
      <c r="K804" s="300"/>
      <c r="L804" s="300"/>
      <c r="M804" s="300"/>
      <c r="N804" s="300"/>
      <c r="O804" s="300"/>
      <c r="P804" s="300"/>
      <c r="Q804" s="300"/>
      <c r="R804" s="300"/>
      <c r="S804" s="300"/>
      <c r="T804" s="300"/>
      <c r="U804" s="300"/>
      <c r="V804" s="300"/>
      <c r="W804" s="300"/>
      <c r="X804" s="300"/>
      <c r="Y804" s="300"/>
      <c r="Z804" s="300"/>
    </row>
    <row r="805" spans="1:26">
      <c r="A805" s="215"/>
      <c r="B805" s="207">
        <v>1876</v>
      </c>
      <c r="C805" s="215" t="s">
        <v>5750</v>
      </c>
      <c r="D805" s="215" t="s">
        <v>8296</v>
      </c>
      <c r="E805" s="215" t="s">
        <v>8296</v>
      </c>
      <c r="F805" s="215" t="s">
        <v>8287</v>
      </c>
      <c r="G805" s="215" t="s">
        <v>8288</v>
      </c>
      <c r="H805" s="215" t="s">
        <v>6497</v>
      </c>
      <c r="I805" s="300"/>
      <c r="J805" s="300"/>
      <c r="K805" s="300"/>
      <c r="L805" s="300"/>
      <c r="M805" s="300"/>
      <c r="N805" s="300"/>
      <c r="O805" s="300"/>
      <c r="P805" s="300"/>
      <c r="Q805" s="300"/>
      <c r="R805" s="300"/>
      <c r="S805" s="300"/>
      <c r="T805" s="300"/>
      <c r="U805" s="300"/>
      <c r="V805" s="300"/>
      <c r="W805" s="300"/>
      <c r="X805" s="300"/>
      <c r="Y805" s="300"/>
      <c r="Z805" s="300"/>
    </row>
    <row r="806" spans="1:26">
      <c r="A806" s="215" t="s">
        <v>3206</v>
      </c>
      <c r="B806" s="207">
        <v>1883</v>
      </c>
      <c r="C806" s="215" t="s">
        <v>8297</v>
      </c>
      <c r="D806" s="215" t="s">
        <v>8298</v>
      </c>
      <c r="E806" s="215" t="s">
        <v>8299</v>
      </c>
      <c r="F806" s="215" t="s">
        <v>8287</v>
      </c>
      <c r="G806" s="215" t="s">
        <v>8288</v>
      </c>
      <c r="H806" s="215" t="s">
        <v>6500</v>
      </c>
      <c r="I806" s="300"/>
      <c r="J806" s="300"/>
      <c r="K806" s="300"/>
      <c r="L806" s="300"/>
      <c r="M806" s="300"/>
      <c r="N806" s="300"/>
      <c r="O806" s="300"/>
      <c r="P806" s="300"/>
      <c r="Q806" s="300"/>
      <c r="R806" s="300"/>
      <c r="S806" s="300"/>
      <c r="T806" s="300"/>
      <c r="U806" s="300"/>
      <c r="V806" s="300"/>
      <c r="W806" s="300"/>
      <c r="X806" s="300"/>
      <c r="Y806" s="300"/>
      <c r="Z806" s="300"/>
    </row>
    <row r="807" spans="1:26">
      <c r="A807" s="215" t="s">
        <v>3189</v>
      </c>
      <c r="B807" s="207">
        <v>1884</v>
      </c>
      <c r="C807" s="215" t="s">
        <v>5321</v>
      </c>
      <c r="D807" s="215" t="s">
        <v>8300</v>
      </c>
      <c r="E807" s="215" t="s">
        <v>8300</v>
      </c>
      <c r="F807" s="215" t="s">
        <v>8287</v>
      </c>
      <c r="G807" s="215" t="s">
        <v>8288</v>
      </c>
      <c r="H807" s="215" t="s">
        <v>6504</v>
      </c>
      <c r="I807" s="300"/>
      <c r="J807" s="300"/>
      <c r="K807" s="300"/>
      <c r="L807" s="300"/>
      <c r="M807" s="300"/>
      <c r="N807" s="300"/>
      <c r="O807" s="300"/>
      <c r="P807" s="300"/>
      <c r="Q807" s="300"/>
      <c r="R807" s="300"/>
      <c r="S807" s="300"/>
      <c r="T807" s="300"/>
      <c r="U807" s="300"/>
      <c r="V807" s="300"/>
      <c r="W807" s="300"/>
      <c r="X807" s="300"/>
      <c r="Y807" s="300"/>
      <c r="Z807" s="300"/>
    </row>
    <row r="808" spans="1:26">
      <c r="A808" s="215" t="s">
        <v>4233</v>
      </c>
      <c r="B808" s="207">
        <v>1885</v>
      </c>
      <c r="C808" s="215" t="s">
        <v>8301</v>
      </c>
      <c r="D808" s="215" t="s">
        <v>8302</v>
      </c>
      <c r="E808" s="215" t="s">
        <v>8303</v>
      </c>
      <c r="F808" s="215" t="s">
        <v>8287</v>
      </c>
      <c r="G808" s="215" t="s">
        <v>8288</v>
      </c>
      <c r="H808" s="215" t="s">
        <v>6497</v>
      </c>
      <c r="I808" s="300"/>
      <c r="J808" s="300"/>
      <c r="K808" s="300"/>
      <c r="L808" s="300"/>
      <c r="M808" s="300"/>
      <c r="N808" s="300"/>
      <c r="O808" s="300"/>
      <c r="P808" s="300"/>
      <c r="Q808" s="300"/>
      <c r="R808" s="300"/>
      <c r="S808" s="300"/>
      <c r="T808" s="300"/>
      <c r="U808" s="300"/>
      <c r="V808" s="300"/>
      <c r="W808" s="300"/>
      <c r="X808" s="300"/>
      <c r="Y808" s="300"/>
      <c r="Z808" s="300"/>
    </row>
    <row r="809" spans="1:26">
      <c r="A809" s="215" t="s">
        <v>2506</v>
      </c>
      <c r="B809" s="207">
        <v>343</v>
      </c>
      <c r="C809" s="215" t="s">
        <v>8304</v>
      </c>
      <c r="D809" s="215" t="s">
        <v>8305</v>
      </c>
      <c r="E809" s="215" t="s">
        <v>8306</v>
      </c>
      <c r="F809" s="215" t="s">
        <v>8307</v>
      </c>
      <c r="G809" s="215" t="s">
        <v>8308</v>
      </c>
      <c r="H809" s="215" t="s">
        <v>6504</v>
      </c>
      <c r="I809" s="300"/>
      <c r="J809" s="300"/>
      <c r="K809" s="300"/>
      <c r="L809" s="300"/>
      <c r="M809" s="300"/>
      <c r="N809" s="300"/>
      <c r="O809" s="300"/>
      <c r="P809" s="300"/>
      <c r="Q809" s="300"/>
      <c r="R809" s="300"/>
      <c r="S809" s="300"/>
      <c r="T809" s="300"/>
      <c r="U809" s="300"/>
      <c r="V809" s="300"/>
      <c r="W809" s="300"/>
      <c r="X809" s="300"/>
      <c r="Y809" s="300"/>
      <c r="Z809" s="300"/>
    </row>
    <row r="810" spans="1:26">
      <c r="A810" s="215" t="s">
        <v>4155</v>
      </c>
      <c r="B810" s="207">
        <v>346</v>
      </c>
      <c r="C810" s="215" t="s">
        <v>6142</v>
      </c>
      <c r="D810" s="215" t="s">
        <v>8309</v>
      </c>
      <c r="E810" s="215" t="s">
        <v>8310</v>
      </c>
      <c r="F810" s="215" t="s">
        <v>2466</v>
      </c>
      <c r="G810" s="215" t="s">
        <v>8311</v>
      </c>
      <c r="H810" s="215" t="s">
        <v>6504</v>
      </c>
      <c r="I810" s="300"/>
      <c r="J810" s="300"/>
      <c r="K810" s="300"/>
      <c r="L810" s="300"/>
      <c r="M810" s="300"/>
      <c r="N810" s="300"/>
      <c r="O810" s="300"/>
      <c r="P810" s="300"/>
      <c r="Q810" s="300"/>
      <c r="R810" s="300"/>
      <c r="S810" s="300"/>
      <c r="T810" s="300"/>
      <c r="U810" s="300"/>
      <c r="V810" s="300"/>
      <c r="W810" s="300"/>
      <c r="X810" s="300"/>
      <c r="Y810" s="300"/>
      <c r="Z810" s="300"/>
    </row>
    <row r="811" spans="1:26">
      <c r="A811" s="215" t="s">
        <v>8312</v>
      </c>
      <c r="B811" s="207">
        <v>384</v>
      </c>
      <c r="C811" s="215" t="s">
        <v>8313</v>
      </c>
      <c r="D811" s="215" t="s">
        <v>8314</v>
      </c>
      <c r="E811" s="215" t="s">
        <v>8315</v>
      </c>
      <c r="F811" s="215" t="s">
        <v>2466</v>
      </c>
      <c r="G811" s="215" t="s">
        <v>8311</v>
      </c>
      <c r="H811" s="215" t="s">
        <v>6500</v>
      </c>
      <c r="I811" s="300"/>
      <c r="J811" s="300"/>
      <c r="K811" s="300"/>
      <c r="L811" s="300"/>
      <c r="M811" s="300"/>
      <c r="N811" s="300"/>
      <c r="O811" s="300"/>
      <c r="P811" s="300"/>
      <c r="Q811" s="300"/>
      <c r="R811" s="300"/>
      <c r="S811" s="300"/>
      <c r="T811" s="300"/>
      <c r="U811" s="300"/>
      <c r="V811" s="300"/>
      <c r="W811" s="300"/>
      <c r="X811" s="300"/>
      <c r="Y811" s="300"/>
      <c r="Z811" s="300"/>
    </row>
    <row r="812" spans="1:26">
      <c r="A812" s="215" t="s">
        <v>3119</v>
      </c>
      <c r="B812" s="207">
        <v>394</v>
      </c>
      <c r="C812" s="215" t="s">
        <v>8316</v>
      </c>
      <c r="D812" s="215" t="s">
        <v>8317</v>
      </c>
      <c r="E812" s="215" t="s">
        <v>8318</v>
      </c>
      <c r="F812" s="215" t="s">
        <v>2466</v>
      </c>
      <c r="G812" s="215" t="s">
        <v>8311</v>
      </c>
      <c r="H812" s="215" t="s">
        <v>6504</v>
      </c>
      <c r="I812" s="300"/>
      <c r="J812" s="300"/>
      <c r="K812" s="300"/>
      <c r="L812" s="300"/>
      <c r="M812" s="300"/>
      <c r="N812" s="300"/>
      <c r="O812" s="300"/>
      <c r="P812" s="300"/>
      <c r="Q812" s="300"/>
      <c r="R812" s="300"/>
      <c r="S812" s="300"/>
      <c r="T812" s="300"/>
      <c r="U812" s="300"/>
      <c r="V812" s="300"/>
      <c r="W812" s="300"/>
      <c r="X812" s="300"/>
      <c r="Y812" s="300"/>
      <c r="Z812" s="300"/>
    </row>
    <row r="813" spans="1:26">
      <c r="A813" s="215"/>
      <c r="B813" s="207">
        <v>403</v>
      </c>
      <c r="C813" s="215" t="s">
        <v>8319</v>
      </c>
      <c r="D813" s="215"/>
      <c r="E813" s="215"/>
      <c r="F813" s="215" t="s">
        <v>2466</v>
      </c>
      <c r="G813" s="215" t="s">
        <v>8311</v>
      </c>
      <c r="H813" s="215" t="s">
        <v>6548</v>
      </c>
      <c r="I813" s="300"/>
      <c r="J813" s="300"/>
      <c r="K813" s="300"/>
      <c r="L813" s="300"/>
      <c r="M813" s="300"/>
      <c r="N813" s="300"/>
      <c r="O813" s="300"/>
      <c r="P813" s="300"/>
      <c r="Q813" s="300"/>
      <c r="R813" s="300"/>
      <c r="S813" s="300"/>
      <c r="T813" s="300"/>
      <c r="U813" s="300"/>
      <c r="V813" s="300"/>
      <c r="W813" s="300"/>
      <c r="X813" s="300"/>
      <c r="Y813" s="300"/>
      <c r="Z813" s="300"/>
    </row>
    <row r="814" spans="1:26">
      <c r="A814" s="215" t="s">
        <v>4515</v>
      </c>
      <c r="B814" s="207">
        <v>428</v>
      </c>
      <c r="C814" s="215" t="s">
        <v>8320</v>
      </c>
      <c r="D814" s="215" t="s">
        <v>8321</v>
      </c>
      <c r="E814" s="215" t="s">
        <v>8322</v>
      </c>
      <c r="F814" s="215" t="s">
        <v>8323</v>
      </c>
      <c r="G814" s="215" t="s">
        <v>8324</v>
      </c>
      <c r="H814" s="215" t="s">
        <v>6500</v>
      </c>
      <c r="I814" s="300"/>
      <c r="J814" s="300"/>
      <c r="K814" s="300"/>
      <c r="L814" s="300"/>
      <c r="M814" s="300"/>
      <c r="N814" s="300"/>
      <c r="O814" s="300"/>
      <c r="P814" s="300"/>
      <c r="Q814" s="300"/>
      <c r="R814" s="300"/>
      <c r="S814" s="300"/>
      <c r="T814" s="300"/>
      <c r="U814" s="300"/>
      <c r="V814" s="300"/>
      <c r="W814" s="300"/>
      <c r="X814" s="300"/>
      <c r="Y814" s="300"/>
      <c r="Z814" s="300"/>
    </row>
    <row r="815" spans="1:26">
      <c r="A815" s="215" t="s">
        <v>8325</v>
      </c>
      <c r="B815" s="207">
        <v>1011</v>
      </c>
      <c r="C815" s="215" t="s">
        <v>5312</v>
      </c>
      <c r="D815" s="215" t="s">
        <v>8326</v>
      </c>
      <c r="E815" s="215" t="s">
        <v>8327</v>
      </c>
      <c r="F815" s="215" t="s">
        <v>8328</v>
      </c>
      <c r="G815" s="215" t="s">
        <v>8329</v>
      </c>
      <c r="H815" s="215" t="s">
        <v>6521</v>
      </c>
      <c r="I815" s="300"/>
      <c r="J815" s="300"/>
      <c r="K815" s="300"/>
      <c r="L815" s="300"/>
      <c r="M815" s="300"/>
      <c r="N815" s="300"/>
      <c r="O815" s="300"/>
      <c r="P815" s="300"/>
      <c r="Q815" s="300"/>
      <c r="R815" s="300"/>
      <c r="S815" s="300"/>
      <c r="T815" s="300"/>
      <c r="U815" s="300"/>
      <c r="V815" s="300"/>
      <c r="W815" s="300"/>
      <c r="X815" s="300"/>
      <c r="Y815" s="300"/>
      <c r="Z815" s="300"/>
    </row>
    <row r="816" spans="1:26">
      <c r="A816" s="215" t="s">
        <v>2759</v>
      </c>
      <c r="B816" s="207">
        <v>1019</v>
      </c>
      <c r="C816" s="215" t="s">
        <v>4913</v>
      </c>
      <c r="D816" s="215" t="s">
        <v>8330</v>
      </c>
      <c r="E816" s="215" t="s">
        <v>8331</v>
      </c>
      <c r="F816" s="215" t="s">
        <v>8332</v>
      </c>
      <c r="G816" s="215" t="s">
        <v>8333</v>
      </c>
      <c r="H816" s="215" t="s">
        <v>6521</v>
      </c>
      <c r="I816" s="300"/>
      <c r="J816" s="300"/>
      <c r="K816" s="300"/>
      <c r="L816" s="300"/>
      <c r="M816" s="300"/>
      <c r="N816" s="300"/>
      <c r="O816" s="300"/>
      <c r="P816" s="300"/>
      <c r="Q816" s="300"/>
      <c r="R816" s="300"/>
      <c r="S816" s="300"/>
      <c r="T816" s="300"/>
      <c r="U816" s="300"/>
      <c r="V816" s="300"/>
      <c r="W816" s="300"/>
      <c r="X816" s="300"/>
      <c r="Y816" s="300"/>
      <c r="Z816" s="300"/>
    </row>
    <row r="817" spans="1:26">
      <c r="A817" s="215" t="s">
        <v>3563</v>
      </c>
      <c r="B817" s="207">
        <v>424</v>
      </c>
      <c r="C817" s="215" t="s">
        <v>5672</v>
      </c>
      <c r="D817" s="215" t="s">
        <v>8334</v>
      </c>
      <c r="E817" s="215" t="s">
        <v>8335</v>
      </c>
      <c r="F817" s="215" t="s">
        <v>8336</v>
      </c>
      <c r="G817" s="215" t="s">
        <v>8337</v>
      </c>
      <c r="H817" s="215" t="s">
        <v>6521</v>
      </c>
      <c r="I817" s="300"/>
      <c r="J817" s="300"/>
      <c r="K817" s="300"/>
      <c r="L817" s="300"/>
      <c r="M817" s="300"/>
      <c r="N817" s="300"/>
      <c r="O817" s="300"/>
      <c r="P817" s="300"/>
      <c r="Q817" s="300"/>
      <c r="R817" s="300"/>
      <c r="S817" s="300"/>
      <c r="T817" s="300"/>
      <c r="U817" s="300"/>
      <c r="V817" s="300"/>
      <c r="W817" s="300"/>
      <c r="X817" s="300"/>
      <c r="Y817" s="300"/>
      <c r="Z817" s="300"/>
    </row>
    <row r="818" spans="1:26">
      <c r="A818" s="215" t="s">
        <v>8338</v>
      </c>
      <c r="B818" s="207">
        <v>1020</v>
      </c>
      <c r="C818" s="215" t="s">
        <v>8339</v>
      </c>
      <c r="D818" s="215" t="s">
        <v>8340</v>
      </c>
      <c r="E818" s="215" t="s">
        <v>8341</v>
      </c>
      <c r="F818" s="215" t="s">
        <v>8342</v>
      </c>
      <c r="G818" s="215" t="s">
        <v>8343</v>
      </c>
      <c r="H818" s="215" t="s">
        <v>6521</v>
      </c>
      <c r="I818" s="300"/>
      <c r="J818" s="300"/>
      <c r="K818" s="300"/>
      <c r="L818" s="300"/>
      <c r="M818" s="300"/>
      <c r="N818" s="300"/>
      <c r="O818" s="300"/>
      <c r="P818" s="300"/>
      <c r="Q818" s="300"/>
      <c r="R818" s="300"/>
      <c r="S818" s="300"/>
      <c r="T818" s="300"/>
      <c r="U818" s="300"/>
      <c r="V818" s="300"/>
      <c r="W818" s="300"/>
      <c r="X818" s="300"/>
      <c r="Y818" s="300"/>
      <c r="Z818" s="300"/>
    </row>
    <row r="819" spans="1:26">
      <c r="A819" s="215" t="s">
        <v>4400</v>
      </c>
      <c r="B819" s="207">
        <v>1596</v>
      </c>
      <c r="C819" s="215" t="s">
        <v>8344</v>
      </c>
      <c r="D819" s="215" t="s">
        <v>8345</v>
      </c>
      <c r="E819" s="215" t="s">
        <v>8346</v>
      </c>
      <c r="F819" s="215" t="s">
        <v>8347</v>
      </c>
      <c r="G819" s="215" t="s">
        <v>8348</v>
      </c>
      <c r="H819" s="215" t="s">
        <v>6521</v>
      </c>
      <c r="I819" s="300"/>
      <c r="J819" s="300"/>
      <c r="K819" s="300"/>
      <c r="L819" s="300"/>
      <c r="M819" s="300"/>
      <c r="N819" s="300"/>
      <c r="O819" s="300"/>
      <c r="P819" s="300"/>
      <c r="Q819" s="300"/>
      <c r="R819" s="300"/>
      <c r="S819" s="300"/>
      <c r="T819" s="300"/>
      <c r="U819" s="300"/>
      <c r="V819" s="300"/>
      <c r="W819" s="300"/>
      <c r="X819" s="300"/>
      <c r="Y819" s="300"/>
      <c r="Z819" s="300"/>
    </row>
    <row r="820" spans="1:26">
      <c r="A820" s="215" t="s">
        <v>8349</v>
      </c>
      <c r="B820" s="207">
        <v>672</v>
      </c>
      <c r="C820" s="215" t="s">
        <v>8350</v>
      </c>
      <c r="D820" s="215" t="s">
        <v>8351</v>
      </c>
      <c r="E820" s="215" t="s">
        <v>8352</v>
      </c>
      <c r="F820" s="215" t="s">
        <v>8353</v>
      </c>
      <c r="G820" s="215" t="s">
        <v>8354</v>
      </c>
      <c r="H820" s="215" t="s">
        <v>6500</v>
      </c>
      <c r="I820" s="300"/>
      <c r="J820" s="300"/>
      <c r="K820" s="300"/>
      <c r="L820" s="300"/>
      <c r="M820" s="300"/>
      <c r="N820" s="300"/>
      <c r="O820" s="300"/>
      <c r="P820" s="300"/>
      <c r="Q820" s="300"/>
      <c r="R820" s="300"/>
      <c r="S820" s="300"/>
      <c r="T820" s="300"/>
      <c r="U820" s="300"/>
      <c r="V820" s="300"/>
      <c r="W820" s="300"/>
      <c r="X820" s="300"/>
      <c r="Y820" s="300"/>
      <c r="Z820" s="300"/>
    </row>
    <row r="821" spans="1:26">
      <c r="A821" s="215" t="s">
        <v>8355</v>
      </c>
      <c r="B821" s="207">
        <v>383</v>
      </c>
      <c r="C821" s="215" t="s">
        <v>8356</v>
      </c>
      <c r="D821" s="215" t="s">
        <v>8357</v>
      </c>
      <c r="E821" s="215" t="s">
        <v>8358</v>
      </c>
      <c r="F821" s="215" t="s">
        <v>8359</v>
      </c>
      <c r="G821" s="215" t="s">
        <v>8360</v>
      </c>
      <c r="H821" s="215" t="s">
        <v>6521</v>
      </c>
      <c r="I821" s="300"/>
      <c r="J821" s="300"/>
      <c r="K821" s="300"/>
      <c r="L821" s="300"/>
      <c r="M821" s="300"/>
      <c r="N821" s="300"/>
      <c r="O821" s="300"/>
      <c r="P821" s="300"/>
      <c r="Q821" s="300"/>
      <c r="R821" s="300"/>
      <c r="S821" s="300"/>
      <c r="T821" s="300"/>
      <c r="U821" s="300"/>
      <c r="V821" s="300"/>
      <c r="W821" s="300"/>
      <c r="X821" s="300"/>
      <c r="Y821" s="300"/>
      <c r="Z821" s="300"/>
    </row>
    <row r="822" spans="1:26">
      <c r="A822" s="215" t="s">
        <v>3910</v>
      </c>
      <c r="B822" s="207">
        <v>1478</v>
      </c>
      <c r="C822" s="215" t="s">
        <v>8361</v>
      </c>
      <c r="D822" s="215" t="s">
        <v>8362</v>
      </c>
      <c r="E822" s="215" t="s">
        <v>8363</v>
      </c>
      <c r="F822" s="215" t="s">
        <v>8364</v>
      </c>
      <c r="G822" s="215" t="s">
        <v>8365</v>
      </c>
      <c r="H822" s="215" t="s">
        <v>6521</v>
      </c>
      <c r="I822" s="300"/>
      <c r="J822" s="300"/>
      <c r="K822" s="300"/>
      <c r="L822" s="300"/>
      <c r="M822" s="300"/>
      <c r="N822" s="300"/>
      <c r="O822" s="300"/>
      <c r="P822" s="300"/>
      <c r="Q822" s="300"/>
      <c r="R822" s="300"/>
      <c r="S822" s="300"/>
      <c r="T822" s="300"/>
      <c r="U822" s="300"/>
      <c r="V822" s="300"/>
      <c r="W822" s="300"/>
      <c r="X822" s="300"/>
      <c r="Y822" s="300"/>
      <c r="Z822" s="300"/>
    </row>
    <row r="823" spans="1:26">
      <c r="A823" s="215" t="s">
        <v>8366</v>
      </c>
      <c r="B823" s="207">
        <v>298</v>
      </c>
      <c r="C823" s="215" t="s">
        <v>5066</v>
      </c>
      <c r="D823" s="215" t="s">
        <v>8367</v>
      </c>
      <c r="E823" s="215" t="s">
        <v>8368</v>
      </c>
      <c r="F823" s="215" t="s">
        <v>8369</v>
      </c>
      <c r="G823" s="215" t="s">
        <v>8370</v>
      </c>
      <c r="H823" s="215" t="s">
        <v>6548</v>
      </c>
      <c r="I823" s="300"/>
      <c r="J823" s="300"/>
      <c r="K823" s="300"/>
      <c r="L823" s="300"/>
      <c r="M823" s="300"/>
      <c r="N823" s="300"/>
      <c r="O823" s="300"/>
      <c r="P823" s="300"/>
      <c r="Q823" s="300"/>
      <c r="R823" s="300"/>
      <c r="S823" s="300"/>
      <c r="T823" s="300"/>
      <c r="U823" s="300"/>
      <c r="V823" s="300"/>
      <c r="W823" s="300"/>
      <c r="X823" s="300"/>
      <c r="Y823" s="300"/>
      <c r="Z823" s="300"/>
    </row>
    <row r="824" spans="1:26">
      <c r="A824" s="215" t="s">
        <v>4168</v>
      </c>
      <c r="B824" s="207">
        <v>409</v>
      </c>
      <c r="C824" s="215" t="s">
        <v>6158</v>
      </c>
      <c r="D824" s="215" t="s">
        <v>8371</v>
      </c>
      <c r="E824" s="215" t="s">
        <v>8372</v>
      </c>
      <c r="F824" s="215" t="s">
        <v>8373</v>
      </c>
      <c r="G824" s="215" t="s">
        <v>8374</v>
      </c>
      <c r="H824" s="215" t="s">
        <v>6521</v>
      </c>
      <c r="I824" s="300"/>
      <c r="J824" s="300"/>
      <c r="K824" s="300"/>
      <c r="L824" s="300"/>
      <c r="M824" s="300"/>
      <c r="N824" s="300"/>
      <c r="O824" s="300"/>
      <c r="P824" s="300"/>
      <c r="Q824" s="300"/>
      <c r="R824" s="300"/>
      <c r="S824" s="300"/>
      <c r="T824" s="300"/>
      <c r="U824" s="300"/>
      <c r="V824" s="300"/>
      <c r="W824" s="300"/>
      <c r="X824" s="300"/>
      <c r="Y824" s="300"/>
      <c r="Z824" s="300"/>
    </row>
    <row r="825" spans="1:26">
      <c r="A825" s="215" t="s">
        <v>4012</v>
      </c>
      <c r="B825" s="207">
        <v>2</v>
      </c>
      <c r="C825" s="215" t="s">
        <v>8375</v>
      </c>
      <c r="D825" s="215" t="s">
        <v>8376</v>
      </c>
      <c r="E825" s="215" t="s">
        <v>8376</v>
      </c>
      <c r="F825" s="215" t="s">
        <v>8377</v>
      </c>
      <c r="G825" s="215" t="s">
        <v>8378</v>
      </c>
      <c r="H825" s="215" t="s">
        <v>6497</v>
      </c>
      <c r="I825" s="300"/>
      <c r="J825" s="300"/>
      <c r="K825" s="300"/>
      <c r="L825" s="300"/>
      <c r="M825" s="300"/>
      <c r="N825" s="300"/>
      <c r="O825" s="300"/>
      <c r="P825" s="300"/>
      <c r="Q825" s="300"/>
      <c r="R825" s="300"/>
      <c r="S825" s="300"/>
      <c r="T825" s="300"/>
      <c r="U825" s="300"/>
      <c r="V825" s="300"/>
      <c r="W825" s="300"/>
      <c r="X825" s="300"/>
      <c r="Y825" s="300"/>
      <c r="Z825" s="300"/>
    </row>
    <row r="826" spans="1:26">
      <c r="A826" s="215"/>
      <c r="B826" s="207">
        <v>3</v>
      </c>
      <c r="C826" s="215" t="s">
        <v>8379</v>
      </c>
      <c r="D826" s="215" t="s">
        <v>8380</v>
      </c>
      <c r="E826" s="215" t="s">
        <v>8380</v>
      </c>
      <c r="F826" s="215" t="s">
        <v>8377</v>
      </c>
      <c r="G826" s="215" t="s">
        <v>8378</v>
      </c>
      <c r="H826" s="215" t="s">
        <v>6504</v>
      </c>
      <c r="I826" s="300"/>
      <c r="J826" s="300"/>
      <c r="K826" s="300"/>
      <c r="L826" s="300"/>
      <c r="M826" s="300"/>
      <c r="N826" s="300"/>
      <c r="O826" s="300"/>
      <c r="P826" s="300"/>
      <c r="Q826" s="300"/>
      <c r="R826" s="300"/>
      <c r="S826" s="300"/>
      <c r="T826" s="300"/>
      <c r="U826" s="300"/>
      <c r="V826" s="300"/>
      <c r="W826" s="300"/>
      <c r="X826" s="300"/>
      <c r="Y826" s="300"/>
      <c r="Z826" s="300"/>
    </row>
    <row r="827" spans="1:26">
      <c r="A827" s="215" t="s">
        <v>4245</v>
      </c>
      <c r="B827" s="207">
        <v>655</v>
      </c>
      <c r="C827" s="215" t="s">
        <v>8381</v>
      </c>
      <c r="D827" s="215" t="s">
        <v>8382</v>
      </c>
      <c r="E827" s="215" t="s">
        <v>8383</v>
      </c>
      <c r="F827" s="215" t="s">
        <v>8377</v>
      </c>
      <c r="G827" s="215" t="s">
        <v>8378</v>
      </c>
      <c r="H827" s="215" t="s">
        <v>6521</v>
      </c>
      <c r="I827" s="300"/>
      <c r="J827" s="300"/>
      <c r="K827" s="300"/>
      <c r="L827" s="300"/>
      <c r="M827" s="300"/>
      <c r="N827" s="300"/>
      <c r="O827" s="300"/>
      <c r="P827" s="300"/>
      <c r="Q827" s="300"/>
      <c r="R827" s="300"/>
      <c r="S827" s="300"/>
      <c r="T827" s="300"/>
      <c r="U827" s="300"/>
      <c r="V827" s="300"/>
      <c r="W827" s="300"/>
      <c r="X827" s="300"/>
      <c r="Y827" s="300"/>
      <c r="Z827" s="300"/>
    </row>
    <row r="828" spans="1:26">
      <c r="A828" s="215" t="s">
        <v>3871</v>
      </c>
      <c r="B828" s="207">
        <v>1289</v>
      </c>
      <c r="C828" s="215" t="s">
        <v>5936</v>
      </c>
      <c r="D828" s="215" t="s">
        <v>8384</v>
      </c>
      <c r="E828" s="215" t="s">
        <v>8385</v>
      </c>
      <c r="F828" s="215" t="s">
        <v>8377</v>
      </c>
      <c r="G828" s="215" t="s">
        <v>8378</v>
      </c>
      <c r="H828" s="215" t="s">
        <v>6504</v>
      </c>
      <c r="I828" s="300"/>
      <c r="J828" s="300"/>
      <c r="K828" s="300"/>
      <c r="L828" s="300"/>
      <c r="M828" s="300"/>
      <c r="N828" s="300"/>
      <c r="O828" s="300"/>
      <c r="P828" s="300"/>
      <c r="Q828" s="300"/>
      <c r="R828" s="300"/>
      <c r="S828" s="300"/>
      <c r="T828" s="300"/>
      <c r="U828" s="300"/>
      <c r="V828" s="300"/>
      <c r="W828" s="300"/>
      <c r="X828" s="300"/>
      <c r="Y828" s="300"/>
      <c r="Z828" s="300"/>
    </row>
    <row r="829" spans="1:26">
      <c r="A829" s="215" t="s">
        <v>2975</v>
      </c>
      <c r="B829" s="207">
        <v>1995</v>
      </c>
      <c r="C829" s="215" t="s">
        <v>8386</v>
      </c>
      <c r="D829" s="215" t="s">
        <v>8387</v>
      </c>
      <c r="E829" s="215" t="s">
        <v>8387</v>
      </c>
      <c r="F829" s="215" t="s">
        <v>8377</v>
      </c>
      <c r="G829" s="215" t="s">
        <v>8378</v>
      </c>
      <c r="H829" s="215" t="s">
        <v>6521</v>
      </c>
      <c r="I829" s="300"/>
      <c r="J829" s="300"/>
      <c r="K829" s="300"/>
      <c r="L829" s="300"/>
      <c r="M829" s="300"/>
      <c r="N829" s="300"/>
      <c r="O829" s="300"/>
      <c r="P829" s="300"/>
      <c r="Q829" s="300"/>
      <c r="R829" s="300"/>
      <c r="S829" s="300"/>
      <c r="T829" s="300"/>
      <c r="U829" s="300"/>
      <c r="V829" s="300"/>
      <c r="W829" s="300"/>
      <c r="X829" s="300"/>
      <c r="Y829" s="300"/>
      <c r="Z829" s="300"/>
    </row>
    <row r="830" spans="1:26">
      <c r="A830" s="215" t="s">
        <v>3718</v>
      </c>
      <c r="B830" s="207">
        <v>1996</v>
      </c>
      <c r="C830" s="215" t="s">
        <v>8388</v>
      </c>
      <c r="D830" s="215" t="s">
        <v>8389</v>
      </c>
      <c r="E830" s="215" t="s">
        <v>8389</v>
      </c>
      <c r="F830" s="215" t="s">
        <v>8377</v>
      </c>
      <c r="G830" s="215" t="s">
        <v>8378</v>
      </c>
      <c r="H830" s="215" t="s">
        <v>6521</v>
      </c>
      <c r="I830" s="300"/>
      <c r="J830" s="300"/>
      <c r="K830" s="300"/>
      <c r="L830" s="300"/>
      <c r="M830" s="300"/>
      <c r="N830" s="300"/>
      <c r="O830" s="300"/>
      <c r="P830" s="300"/>
      <c r="Q830" s="300"/>
      <c r="R830" s="300"/>
      <c r="S830" s="300"/>
      <c r="T830" s="300"/>
      <c r="U830" s="300"/>
      <c r="V830" s="300"/>
      <c r="W830" s="300"/>
      <c r="X830" s="300"/>
      <c r="Y830" s="300"/>
      <c r="Z830" s="300"/>
    </row>
    <row r="831" spans="1:26">
      <c r="A831" s="215"/>
      <c r="B831" s="207">
        <v>2162</v>
      </c>
      <c r="C831" s="215" t="s">
        <v>8390</v>
      </c>
      <c r="D831" s="215" t="s">
        <v>8391</v>
      </c>
      <c r="E831" s="215" t="s">
        <v>8391</v>
      </c>
      <c r="F831" s="215" t="s">
        <v>8377</v>
      </c>
      <c r="G831" s="215" t="s">
        <v>8378</v>
      </c>
      <c r="H831" s="215" t="s">
        <v>6521</v>
      </c>
      <c r="I831" s="300"/>
      <c r="J831" s="300"/>
      <c r="K831" s="300"/>
      <c r="L831" s="300"/>
      <c r="M831" s="300"/>
      <c r="N831" s="300"/>
      <c r="O831" s="300"/>
      <c r="P831" s="300"/>
      <c r="Q831" s="300"/>
      <c r="R831" s="300"/>
      <c r="S831" s="300"/>
      <c r="T831" s="300"/>
      <c r="U831" s="300"/>
      <c r="V831" s="300"/>
      <c r="W831" s="300"/>
      <c r="X831" s="300"/>
      <c r="Y831" s="300"/>
      <c r="Z831" s="300"/>
    </row>
    <row r="832" spans="1:26">
      <c r="A832" s="215" t="s">
        <v>3175</v>
      </c>
      <c r="B832" s="207">
        <v>2163</v>
      </c>
      <c r="C832" s="215" t="s">
        <v>5309</v>
      </c>
      <c r="D832" s="215" t="s">
        <v>8392</v>
      </c>
      <c r="E832" s="215" t="s">
        <v>8392</v>
      </c>
      <c r="F832" s="215" t="s">
        <v>8377</v>
      </c>
      <c r="G832" s="215" t="s">
        <v>8378</v>
      </c>
      <c r="H832" s="215" t="s">
        <v>6504</v>
      </c>
      <c r="I832" s="300"/>
      <c r="J832" s="300"/>
      <c r="K832" s="300"/>
      <c r="L832" s="300"/>
      <c r="M832" s="300"/>
      <c r="N832" s="300"/>
      <c r="O832" s="300"/>
      <c r="P832" s="300"/>
      <c r="Q832" s="300"/>
      <c r="R832" s="300"/>
      <c r="S832" s="300"/>
      <c r="T832" s="300"/>
      <c r="U832" s="300"/>
      <c r="V832" s="300"/>
      <c r="W832" s="300"/>
      <c r="X832" s="300"/>
      <c r="Y832" s="300"/>
      <c r="Z832" s="300"/>
    </row>
    <row r="833" spans="1:26">
      <c r="A833" s="215"/>
      <c r="B833" s="207">
        <v>2180</v>
      </c>
      <c r="C833" s="215" t="s">
        <v>8393</v>
      </c>
      <c r="D833" s="215" t="s">
        <v>8394</v>
      </c>
      <c r="E833" s="215" t="s">
        <v>8394</v>
      </c>
      <c r="F833" s="215" t="s">
        <v>8377</v>
      </c>
      <c r="G833" s="215" t="s">
        <v>8378</v>
      </c>
      <c r="H833" s="215" t="s">
        <v>6497</v>
      </c>
      <c r="I833" s="300"/>
      <c r="J833" s="300"/>
      <c r="K833" s="300"/>
      <c r="L833" s="300"/>
      <c r="M833" s="300"/>
      <c r="N833" s="300"/>
      <c r="O833" s="300"/>
      <c r="P833" s="300"/>
      <c r="Q833" s="300"/>
      <c r="R833" s="300"/>
      <c r="S833" s="300"/>
      <c r="T833" s="300"/>
      <c r="U833" s="300"/>
      <c r="V833" s="300"/>
      <c r="W833" s="300"/>
      <c r="X833" s="300"/>
      <c r="Y833" s="300"/>
      <c r="Z833" s="300"/>
    </row>
    <row r="834" spans="1:26">
      <c r="A834" s="215" t="s">
        <v>4247</v>
      </c>
      <c r="B834" s="207">
        <v>2181</v>
      </c>
      <c r="C834" s="215" t="s">
        <v>6221</v>
      </c>
      <c r="D834" s="215" t="s">
        <v>8395</v>
      </c>
      <c r="E834" s="215" t="s">
        <v>8395</v>
      </c>
      <c r="F834" s="215" t="s">
        <v>8377</v>
      </c>
      <c r="G834" s="215" t="s">
        <v>8378</v>
      </c>
      <c r="H834" s="215" t="s">
        <v>6497</v>
      </c>
      <c r="I834" s="300"/>
      <c r="J834" s="300"/>
      <c r="K834" s="300"/>
      <c r="L834" s="300"/>
      <c r="M834" s="300"/>
      <c r="N834" s="300"/>
      <c r="O834" s="300"/>
      <c r="P834" s="300"/>
      <c r="Q834" s="300"/>
      <c r="R834" s="300"/>
      <c r="S834" s="300"/>
      <c r="T834" s="300"/>
      <c r="U834" s="300"/>
      <c r="V834" s="300"/>
      <c r="W834" s="300"/>
      <c r="X834" s="300"/>
      <c r="Y834" s="300"/>
      <c r="Z834" s="300"/>
    </row>
    <row r="835" spans="1:26">
      <c r="A835" s="215" t="s">
        <v>4256</v>
      </c>
      <c r="B835" s="207">
        <v>2182</v>
      </c>
      <c r="C835" s="215" t="s">
        <v>8396</v>
      </c>
      <c r="D835" s="215" t="s">
        <v>8397</v>
      </c>
      <c r="E835" s="215" t="s">
        <v>8398</v>
      </c>
      <c r="F835" s="215" t="s">
        <v>8377</v>
      </c>
      <c r="G835" s="215" t="s">
        <v>8378</v>
      </c>
      <c r="H835" s="215" t="s">
        <v>6504</v>
      </c>
      <c r="I835" s="300"/>
      <c r="J835" s="300"/>
      <c r="K835" s="300"/>
      <c r="L835" s="300"/>
      <c r="M835" s="300"/>
      <c r="N835" s="300"/>
      <c r="O835" s="300"/>
      <c r="P835" s="300"/>
      <c r="Q835" s="300"/>
      <c r="R835" s="300"/>
      <c r="S835" s="300"/>
      <c r="T835" s="300"/>
      <c r="U835" s="300"/>
      <c r="V835" s="300"/>
      <c r="W835" s="300"/>
      <c r="X835" s="300"/>
      <c r="Y835" s="300"/>
      <c r="Z835" s="300"/>
    </row>
    <row r="836" spans="1:26">
      <c r="A836" s="215" t="s">
        <v>3353</v>
      </c>
      <c r="B836" s="207">
        <v>2183</v>
      </c>
      <c r="C836" s="215" t="s">
        <v>5472</v>
      </c>
      <c r="D836" s="215" t="s">
        <v>8399</v>
      </c>
      <c r="E836" s="215" t="s">
        <v>5472</v>
      </c>
      <c r="F836" s="215" t="s">
        <v>8377</v>
      </c>
      <c r="G836" s="215" t="s">
        <v>8378</v>
      </c>
      <c r="H836" s="215" t="s">
        <v>6504</v>
      </c>
      <c r="I836" s="300"/>
      <c r="J836" s="300"/>
      <c r="K836" s="300"/>
      <c r="L836" s="300"/>
      <c r="M836" s="300"/>
      <c r="N836" s="300"/>
      <c r="O836" s="300"/>
      <c r="P836" s="300"/>
      <c r="Q836" s="300"/>
      <c r="R836" s="300"/>
      <c r="S836" s="300"/>
      <c r="T836" s="300"/>
      <c r="U836" s="300"/>
      <c r="V836" s="300"/>
      <c r="W836" s="300"/>
      <c r="X836" s="300"/>
      <c r="Y836" s="300"/>
      <c r="Z836" s="300"/>
    </row>
    <row r="837" spans="1:26">
      <c r="A837" s="215" t="s">
        <v>2921</v>
      </c>
      <c r="B837" s="207">
        <v>581</v>
      </c>
      <c r="C837" s="215" t="s">
        <v>8400</v>
      </c>
      <c r="D837" s="215" t="s">
        <v>8401</v>
      </c>
      <c r="E837" s="215" t="s">
        <v>8402</v>
      </c>
      <c r="F837" s="215" t="s">
        <v>8403</v>
      </c>
      <c r="G837" s="215" t="s">
        <v>8404</v>
      </c>
      <c r="H837" s="215" t="s">
        <v>6500</v>
      </c>
      <c r="I837" s="300"/>
      <c r="J837" s="300"/>
      <c r="K837" s="300"/>
      <c r="L837" s="300"/>
      <c r="M837" s="300"/>
      <c r="N837" s="300"/>
      <c r="O837" s="300"/>
      <c r="P837" s="300"/>
      <c r="Q837" s="300"/>
      <c r="R837" s="300"/>
      <c r="S837" s="300"/>
      <c r="T837" s="300"/>
      <c r="U837" s="300"/>
      <c r="V837" s="300"/>
      <c r="W837" s="300"/>
      <c r="X837" s="300"/>
      <c r="Y837" s="300"/>
      <c r="Z837" s="300"/>
    </row>
    <row r="838" spans="1:26">
      <c r="A838" s="215" t="s">
        <v>8405</v>
      </c>
      <c r="B838" s="207">
        <v>586</v>
      </c>
      <c r="C838" s="215" t="s">
        <v>8406</v>
      </c>
      <c r="D838" s="215" t="s">
        <v>8407</v>
      </c>
      <c r="E838" s="215" t="s">
        <v>8407</v>
      </c>
      <c r="F838" s="215" t="s">
        <v>8403</v>
      </c>
      <c r="G838" s="215" t="s">
        <v>8404</v>
      </c>
      <c r="H838" s="215" t="s">
        <v>6500</v>
      </c>
      <c r="I838" s="300"/>
      <c r="J838" s="300"/>
      <c r="K838" s="300"/>
      <c r="L838" s="300"/>
      <c r="M838" s="300"/>
      <c r="N838" s="300"/>
      <c r="O838" s="300"/>
      <c r="P838" s="300"/>
      <c r="Q838" s="300"/>
      <c r="R838" s="300"/>
      <c r="S838" s="300"/>
      <c r="T838" s="300"/>
      <c r="U838" s="300"/>
      <c r="V838" s="300"/>
      <c r="W838" s="300"/>
      <c r="X838" s="300"/>
      <c r="Y838" s="300"/>
      <c r="Z838" s="300"/>
    </row>
    <row r="839" spans="1:26">
      <c r="A839" s="215" t="s">
        <v>2979</v>
      </c>
      <c r="B839" s="207">
        <v>591</v>
      </c>
      <c r="C839" s="215" t="s">
        <v>5128</v>
      </c>
      <c r="D839" s="215" t="s">
        <v>8408</v>
      </c>
      <c r="E839" s="215" t="s">
        <v>8409</v>
      </c>
      <c r="F839" s="215" t="s">
        <v>8403</v>
      </c>
      <c r="G839" s="215" t="s">
        <v>8404</v>
      </c>
      <c r="H839" s="215" t="s">
        <v>6500</v>
      </c>
      <c r="I839" s="300"/>
      <c r="J839" s="300"/>
      <c r="K839" s="300"/>
      <c r="L839" s="300"/>
      <c r="M839" s="300"/>
      <c r="N839" s="300"/>
      <c r="O839" s="300"/>
      <c r="P839" s="300"/>
      <c r="Q839" s="300"/>
      <c r="R839" s="300"/>
      <c r="S839" s="300"/>
      <c r="T839" s="300"/>
      <c r="U839" s="300"/>
      <c r="V839" s="300"/>
      <c r="W839" s="300"/>
      <c r="X839" s="300"/>
      <c r="Y839" s="300"/>
      <c r="Z839" s="300"/>
    </row>
    <row r="840" spans="1:26">
      <c r="A840" s="215" t="s">
        <v>2669</v>
      </c>
      <c r="B840" s="207">
        <v>756</v>
      </c>
      <c r="C840" s="215" t="s">
        <v>8410</v>
      </c>
      <c r="D840" s="215" t="s">
        <v>8411</v>
      </c>
      <c r="E840" s="215" t="s">
        <v>8412</v>
      </c>
      <c r="F840" s="215" t="s">
        <v>8403</v>
      </c>
      <c r="G840" s="215" t="s">
        <v>8404</v>
      </c>
      <c r="H840" s="215" t="s">
        <v>6548</v>
      </c>
      <c r="I840" s="300"/>
      <c r="J840" s="300"/>
      <c r="K840" s="300"/>
      <c r="L840" s="300"/>
      <c r="M840" s="300"/>
      <c r="N840" s="300"/>
      <c r="O840" s="300"/>
      <c r="P840" s="300"/>
      <c r="Q840" s="300"/>
      <c r="R840" s="300"/>
      <c r="S840" s="300"/>
      <c r="T840" s="300"/>
      <c r="U840" s="300"/>
      <c r="V840" s="300"/>
      <c r="W840" s="300"/>
      <c r="X840" s="300"/>
      <c r="Y840" s="300"/>
      <c r="Z840" s="300"/>
    </row>
    <row r="841" spans="1:26">
      <c r="A841" s="215" t="s">
        <v>8250</v>
      </c>
      <c r="B841" s="207">
        <v>757</v>
      </c>
      <c r="C841" s="215" t="s">
        <v>8413</v>
      </c>
      <c r="D841" s="215" t="s">
        <v>8414</v>
      </c>
      <c r="E841" s="215" t="s">
        <v>8415</v>
      </c>
      <c r="F841" s="215" t="s">
        <v>8403</v>
      </c>
      <c r="G841" s="215" t="s">
        <v>8404</v>
      </c>
      <c r="H841" s="215" t="s">
        <v>6504</v>
      </c>
      <c r="I841" s="300"/>
      <c r="J841" s="300"/>
      <c r="K841" s="300"/>
      <c r="L841" s="300"/>
      <c r="M841" s="300"/>
      <c r="N841" s="300"/>
      <c r="O841" s="300"/>
      <c r="P841" s="300"/>
      <c r="Q841" s="300"/>
      <c r="R841" s="300"/>
      <c r="S841" s="300"/>
      <c r="T841" s="300"/>
      <c r="U841" s="300"/>
      <c r="V841" s="300"/>
      <c r="W841" s="300"/>
      <c r="X841" s="300"/>
      <c r="Y841" s="300"/>
      <c r="Z841" s="300"/>
    </row>
    <row r="842" spans="1:26">
      <c r="A842" s="215" t="s">
        <v>2733</v>
      </c>
      <c r="B842" s="207">
        <v>758</v>
      </c>
      <c r="C842" s="215" t="s">
        <v>4891</v>
      </c>
      <c r="D842" s="215" t="s">
        <v>8416</v>
      </c>
      <c r="E842" s="215" t="s">
        <v>8417</v>
      </c>
      <c r="F842" s="215" t="s">
        <v>8403</v>
      </c>
      <c r="G842" s="215" t="s">
        <v>8404</v>
      </c>
      <c r="H842" s="215" t="s">
        <v>6521</v>
      </c>
      <c r="I842" s="300"/>
      <c r="J842" s="300"/>
      <c r="K842" s="300"/>
      <c r="L842" s="300"/>
      <c r="M842" s="300"/>
      <c r="N842" s="300"/>
      <c r="O842" s="300"/>
      <c r="P842" s="300"/>
      <c r="Q842" s="300"/>
      <c r="R842" s="300"/>
      <c r="S842" s="300"/>
      <c r="T842" s="300"/>
      <c r="U842" s="300"/>
      <c r="V842" s="300"/>
      <c r="W842" s="300"/>
      <c r="X842" s="300"/>
      <c r="Y842" s="300"/>
      <c r="Z842" s="300"/>
    </row>
    <row r="843" spans="1:26">
      <c r="A843" s="215" t="s">
        <v>3313</v>
      </c>
      <c r="B843" s="207">
        <v>759</v>
      </c>
      <c r="C843" s="215" t="s">
        <v>8418</v>
      </c>
      <c r="D843" s="215" t="s">
        <v>8419</v>
      </c>
      <c r="E843" s="215" t="s">
        <v>8419</v>
      </c>
      <c r="F843" s="215" t="s">
        <v>8403</v>
      </c>
      <c r="G843" s="215" t="s">
        <v>8404</v>
      </c>
      <c r="H843" s="215" t="s">
        <v>6500</v>
      </c>
      <c r="I843" s="300"/>
      <c r="J843" s="300"/>
      <c r="K843" s="300"/>
      <c r="L843" s="300"/>
      <c r="M843" s="300"/>
      <c r="N843" s="300"/>
      <c r="O843" s="300"/>
      <c r="P843" s="300"/>
      <c r="Q843" s="300"/>
      <c r="R843" s="300"/>
      <c r="S843" s="300"/>
      <c r="T843" s="300"/>
      <c r="U843" s="300"/>
      <c r="V843" s="300"/>
      <c r="W843" s="300"/>
      <c r="X843" s="300"/>
      <c r="Y843" s="300"/>
      <c r="Z843" s="300"/>
    </row>
    <row r="844" spans="1:26">
      <c r="A844" s="215" t="s">
        <v>4090</v>
      </c>
      <c r="B844" s="207">
        <v>1260</v>
      </c>
      <c r="C844" s="215" t="s">
        <v>8420</v>
      </c>
      <c r="D844" s="215" t="s">
        <v>8421</v>
      </c>
      <c r="E844" s="215" t="s">
        <v>8421</v>
      </c>
      <c r="F844" s="215" t="s">
        <v>8403</v>
      </c>
      <c r="G844" s="215" t="s">
        <v>8404</v>
      </c>
      <c r="H844" s="215" t="s">
        <v>6497</v>
      </c>
      <c r="I844" s="300"/>
      <c r="J844" s="300"/>
      <c r="K844" s="300"/>
      <c r="L844" s="300"/>
      <c r="M844" s="300"/>
      <c r="N844" s="300"/>
      <c r="O844" s="300"/>
      <c r="P844" s="300"/>
      <c r="Q844" s="300"/>
      <c r="R844" s="300"/>
      <c r="S844" s="300"/>
      <c r="T844" s="300"/>
      <c r="U844" s="300"/>
      <c r="V844" s="300"/>
      <c r="W844" s="300"/>
      <c r="X844" s="300"/>
      <c r="Y844" s="300"/>
      <c r="Z844" s="300"/>
    </row>
    <row r="845" spans="1:26">
      <c r="A845" s="215" t="s">
        <v>3483</v>
      </c>
      <c r="B845" s="207">
        <v>1261</v>
      </c>
      <c r="C845" s="215" t="s">
        <v>5593</v>
      </c>
      <c r="D845" s="215" t="s">
        <v>8422</v>
      </c>
      <c r="E845" s="215" t="s">
        <v>8423</v>
      </c>
      <c r="F845" s="215" t="s">
        <v>8403</v>
      </c>
      <c r="G845" s="215" t="s">
        <v>8404</v>
      </c>
      <c r="H845" s="215" t="s">
        <v>6504</v>
      </c>
      <c r="I845" s="300"/>
      <c r="J845" s="300"/>
      <c r="K845" s="300"/>
      <c r="L845" s="300"/>
      <c r="M845" s="300"/>
      <c r="N845" s="300"/>
      <c r="O845" s="300"/>
      <c r="P845" s="300"/>
      <c r="Q845" s="300"/>
      <c r="R845" s="300"/>
      <c r="S845" s="300"/>
      <c r="T845" s="300"/>
      <c r="U845" s="300"/>
      <c r="V845" s="300"/>
      <c r="W845" s="300"/>
      <c r="X845" s="300"/>
      <c r="Y845" s="300"/>
      <c r="Z845" s="300"/>
    </row>
    <row r="846" spans="1:26">
      <c r="A846" s="215" t="s">
        <v>8405</v>
      </c>
      <c r="B846" s="207">
        <v>1275</v>
      </c>
      <c r="C846" s="215" t="s">
        <v>8424</v>
      </c>
      <c r="D846" s="215" t="s">
        <v>8425</v>
      </c>
      <c r="E846" s="215" t="s">
        <v>8425</v>
      </c>
      <c r="F846" s="215" t="s">
        <v>8403</v>
      </c>
      <c r="G846" s="215" t="s">
        <v>8404</v>
      </c>
      <c r="H846" s="215" t="s">
        <v>6500</v>
      </c>
      <c r="I846" s="300"/>
      <c r="J846" s="300"/>
      <c r="K846" s="300"/>
      <c r="L846" s="300"/>
      <c r="M846" s="300"/>
      <c r="N846" s="300"/>
      <c r="O846" s="300"/>
      <c r="P846" s="300"/>
      <c r="Q846" s="300"/>
      <c r="R846" s="300"/>
      <c r="S846" s="300"/>
      <c r="T846" s="300"/>
      <c r="U846" s="300"/>
      <c r="V846" s="300"/>
      <c r="W846" s="300"/>
      <c r="X846" s="300"/>
      <c r="Y846" s="300"/>
      <c r="Z846" s="300"/>
    </row>
    <row r="847" spans="1:26">
      <c r="A847" s="215" t="s">
        <v>8405</v>
      </c>
      <c r="B847" s="207">
        <v>1276</v>
      </c>
      <c r="C847" s="215" t="s">
        <v>8426</v>
      </c>
      <c r="D847" s="215" t="s">
        <v>8427</v>
      </c>
      <c r="E847" s="215" t="s">
        <v>8427</v>
      </c>
      <c r="F847" s="215" t="s">
        <v>8403</v>
      </c>
      <c r="G847" s="215" t="s">
        <v>8404</v>
      </c>
      <c r="H847" s="215" t="s">
        <v>6500</v>
      </c>
      <c r="I847" s="300"/>
      <c r="J847" s="300"/>
      <c r="K847" s="300"/>
      <c r="L847" s="300"/>
      <c r="M847" s="300"/>
      <c r="N847" s="300"/>
      <c r="O847" s="300"/>
      <c r="P847" s="300"/>
      <c r="Q847" s="300"/>
      <c r="R847" s="300"/>
      <c r="S847" s="300"/>
      <c r="T847" s="300"/>
      <c r="U847" s="300"/>
      <c r="V847" s="300"/>
      <c r="W847" s="300"/>
      <c r="X847" s="300"/>
      <c r="Y847" s="300"/>
      <c r="Z847" s="300"/>
    </row>
    <row r="848" spans="1:26">
      <c r="A848" s="215" t="s">
        <v>2983</v>
      </c>
      <c r="B848" s="207">
        <v>1835</v>
      </c>
      <c r="C848" s="215" t="s">
        <v>8428</v>
      </c>
      <c r="D848" s="215" t="s">
        <v>8429</v>
      </c>
      <c r="E848" s="215" t="s">
        <v>8430</v>
      </c>
      <c r="F848" s="215" t="s">
        <v>8403</v>
      </c>
      <c r="G848" s="215" t="s">
        <v>8404</v>
      </c>
      <c r="H848" s="215" t="s">
        <v>6500</v>
      </c>
      <c r="I848" s="300"/>
      <c r="J848" s="300"/>
      <c r="K848" s="300"/>
      <c r="L848" s="300"/>
      <c r="M848" s="300"/>
      <c r="N848" s="300"/>
      <c r="O848" s="300"/>
      <c r="P848" s="300"/>
      <c r="Q848" s="300"/>
      <c r="R848" s="300"/>
      <c r="S848" s="300"/>
      <c r="T848" s="300"/>
      <c r="U848" s="300"/>
      <c r="V848" s="300"/>
      <c r="W848" s="300"/>
      <c r="X848" s="300"/>
      <c r="Y848" s="300"/>
      <c r="Z848" s="300"/>
    </row>
    <row r="849" spans="1:26">
      <c r="A849" s="215" t="s">
        <v>8405</v>
      </c>
      <c r="B849" s="207">
        <v>1929</v>
      </c>
      <c r="C849" s="215" t="s">
        <v>8431</v>
      </c>
      <c r="D849" s="215" t="s">
        <v>8432</v>
      </c>
      <c r="E849" s="215" t="s">
        <v>8432</v>
      </c>
      <c r="F849" s="215" t="s">
        <v>8403</v>
      </c>
      <c r="G849" s="215" t="s">
        <v>8404</v>
      </c>
      <c r="H849" s="215" t="s">
        <v>6500</v>
      </c>
      <c r="I849" s="300"/>
      <c r="J849" s="300"/>
      <c r="K849" s="300"/>
      <c r="L849" s="300"/>
      <c r="M849" s="300"/>
      <c r="N849" s="300"/>
      <c r="O849" s="300"/>
      <c r="P849" s="300"/>
      <c r="Q849" s="300"/>
      <c r="R849" s="300"/>
      <c r="S849" s="300"/>
      <c r="T849" s="300"/>
      <c r="U849" s="300"/>
      <c r="V849" s="300"/>
      <c r="W849" s="300"/>
      <c r="X849" s="300"/>
      <c r="Y849" s="300"/>
      <c r="Z849" s="300"/>
    </row>
    <row r="850" spans="1:26">
      <c r="A850" s="215" t="s">
        <v>8405</v>
      </c>
      <c r="B850" s="207">
        <v>1930</v>
      </c>
      <c r="C850" s="215" t="s">
        <v>8433</v>
      </c>
      <c r="D850" s="215" t="s">
        <v>8434</v>
      </c>
      <c r="E850" s="215" t="s">
        <v>8435</v>
      </c>
      <c r="F850" s="215" t="s">
        <v>8403</v>
      </c>
      <c r="G850" s="215" t="s">
        <v>8404</v>
      </c>
      <c r="H850" s="215" t="s">
        <v>6504</v>
      </c>
      <c r="I850" s="300"/>
      <c r="J850" s="300"/>
      <c r="K850" s="300"/>
      <c r="L850" s="300"/>
      <c r="M850" s="300"/>
      <c r="N850" s="300"/>
      <c r="O850" s="300"/>
      <c r="P850" s="300"/>
      <c r="Q850" s="300"/>
      <c r="R850" s="300"/>
      <c r="S850" s="300"/>
      <c r="T850" s="300"/>
      <c r="U850" s="300"/>
      <c r="V850" s="300"/>
      <c r="W850" s="300"/>
      <c r="X850" s="300"/>
      <c r="Y850" s="300"/>
      <c r="Z850" s="300"/>
    </row>
    <row r="851" spans="1:26">
      <c r="A851" s="215" t="s">
        <v>8405</v>
      </c>
      <c r="B851" s="207">
        <v>1931</v>
      </c>
      <c r="C851" s="215" t="s">
        <v>8436</v>
      </c>
      <c r="D851" s="215" t="s">
        <v>8437</v>
      </c>
      <c r="E851" s="215" t="s">
        <v>8437</v>
      </c>
      <c r="F851" s="215" t="s">
        <v>8403</v>
      </c>
      <c r="G851" s="215" t="s">
        <v>8404</v>
      </c>
      <c r="H851" s="215" t="s">
        <v>6504</v>
      </c>
      <c r="I851" s="300"/>
      <c r="J851" s="300"/>
      <c r="K851" s="300"/>
      <c r="L851" s="300"/>
      <c r="M851" s="300"/>
      <c r="N851" s="300"/>
      <c r="O851" s="300"/>
      <c r="P851" s="300"/>
      <c r="Q851" s="300"/>
      <c r="R851" s="300"/>
      <c r="S851" s="300"/>
      <c r="T851" s="300"/>
      <c r="U851" s="300"/>
      <c r="V851" s="300"/>
      <c r="W851" s="300"/>
      <c r="X851" s="300"/>
      <c r="Y851" s="300"/>
      <c r="Z851" s="300"/>
    </row>
    <row r="852" spans="1:26">
      <c r="A852" s="215" t="s">
        <v>8405</v>
      </c>
      <c r="B852" s="207">
        <v>1935</v>
      </c>
      <c r="C852" s="215" t="s">
        <v>8438</v>
      </c>
      <c r="D852" s="215" t="s">
        <v>8439</v>
      </c>
      <c r="E852" s="215" t="s">
        <v>8440</v>
      </c>
      <c r="F852" s="215" t="s">
        <v>8403</v>
      </c>
      <c r="G852" s="215" t="s">
        <v>8404</v>
      </c>
      <c r="H852" s="215" t="s">
        <v>6500</v>
      </c>
      <c r="I852" s="300"/>
      <c r="J852" s="300"/>
      <c r="K852" s="300"/>
      <c r="L852" s="300"/>
      <c r="M852" s="300"/>
      <c r="N852" s="300"/>
      <c r="O852" s="300"/>
      <c r="P852" s="300"/>
      <c r="Q852" s="300"/>
      <c r="R852" s="300"/>
      <c r="S852" s="300"/>
      <c r="T852" s="300"/>
      <c r="U852" s="300"/>
      <c r="V852" s="300"/>
      <c r="W852" s="300"/>
      <c r="X852" s="300"/>
      <c r="Y852" s="300"/>
      <c r="Z852" s="300"/>
    </row>
    <row r="853" spans="1:26">
      <c r="A853" s="215" t="s">
        <v>2500</v>
      </c>
      <c r="B853" s="207">
        <v>1988</v>
      </c>
      <c r="C853" s="215" t="s">
        <v>4781</v>
      </c>
      <c r="D853" s="215" t="s">
        <v>8441</v>
      </c>
      <c r="E853" s="215" t="s">
        <v>8441</v>
      </c>
      <c r="F853" s="215" t="s">
        <v>8403</v>
      </c>
      <c r="G853" s="215" t="s">
        <v>8404</v>
      </c>
      <c r="H853" s="215" t="s">
        <v>6504</v>
      </c>
      <c r="I853" s="300"/>
      <c r="J853" s="300"/>
      <c r="K853" s="300"/>
      <c r="L853" s="300"/>
      <c r="M853" s="300"/>
      <c r="N853" s="300"/>
      <c r="O853" s="300"/>
      <c r="P853" s="300"/>
      <c r="Q853" s="300"/>
      <c r="R853" s="300"/>
      <c r="S853" s="300"/>
      <c r="T853" s="300"/>
      <c r="U853" s="300"/>
      <c r="V853" s="300"/>
      <c r="W853" s="300"/>
      <c r="X853" s="300"/>
      <c r="Y853" s="300"/>
      <c r="Z853" s="300"/>
    </row>
    <row r="854" spans="1:26">
      <c r="A854" s="215" t="s">
        <v>4222</v>
      </c>
      <c r="B854" s="207">
        <v>2064</v>
      </c>
      <c r="C854" s="215" t="s">
        <v>6202</v>
      </c>
      <c r="D854" s="215" t="s">
        <v>8442</v>
      </c>
      <c r="E854" s="215" t="s">
        <v>8442</v>
      </c>
      <c r="F854" s="215" t="s">
        <v>8403</v>
      </c>
      <c r="G854" s="215" t="s">
        <v>8404</v>
      </c>
      <c r="H854" s="215" t="s">
        <v>6548</v>
      </c>
      <c r="I854" s="300"/>
      <c r="J854" s="300"/>
      <c r="K854" s="300"/>
      <c r="L854" s="300"/>
      <c r="M854" s="300"/>
      <c r="N854" s="300"/>
      <c r="O854" s="300"/>
      <c r="P854" s="300"/>
      <c r="Q854" s="300"/>
      <c r="R854" s="300"/>
      <c r="S854" s="300"/>
      <c r="T854" s="300"/>
      <c r="U854" s="300"/>
      <c r="V854" s="300"/>
      <c r="W854" s="300"/>
      <c r="X854" s="300"/>
      <c r="Y854" s="300"/>
      <c r="Z854" s="300"/>
    </row>
    <row r="855" spans="1:26">
      <c r="A855" s="215" t="s">
        <v>2500</v>
      </c>
      <c r="B855" s="207">
        <v>566</v>
      </c>
      <c r="C855" s="215" t="s">
        <v>4780</v>
      </c>
      <c r="D855" s="215" t="s">
        <v>8443</v>
      </c>
      <c r="E855" s="215" t="s">
        <v>8443</v>
      </c>
      <c r="F855" s="215" t="s">
        <v>8444</v>
      </c>
      <c r="G855" s="215" t="s">
        <v>8445</v>
      </c>
      <c r="H855" s="215" t="s">
        <v>6500</v>
      </c>
      <c r="I855" s="300"/>
      <c r="J855" s="300"/>
      <c r="K855" s="300"/>
      <c r="L855" s="300"/>
      <c r="M855" s="300"/>
      <c r="N855" s="300"/>
      <c r="O855" s="300"/>
      <c r="P855" s="300"/>
      <c r="Q855" s="300"/>
      <c r="R855" s="300"/>
      <c r="S855" s="300"/>
      <c r="T855" s="300"/>
      <c r="U855" s="300"/>
      <c r="V855" s="300"/>
      <c r="W855" s="300"/>
      <c r="X855" s="300"/>
      <c r="Y855" s="300"/>
      <c r="Z855" s="300"/>
    </row>
    <row r="856" spans="1:26">
      <c r="A856" s="215" t="s">
        <v>4576</v>
      </c>
      <c r="B856" s="207">
        <v>668</v>
      </c>
      <c r="C856" s="215" t="s">
        <v>6478</v>
      </c>
      <c r="D856" s="215" t="s">
        <v>8446</v>
      </c>
      <c r="E856" s="215" t="s">
        <v>8447</v>
      </c>
      <c r="F856" s="215" t="s">
        <v>8444</v>
      </c>
      <c r="G856" s="215" t="s">
        <v>8445</v>
      </c>
      <c r="H856" s="215" t="s">
        <v>6497</v>
      </c>
      <c r="I856" s="300"/>
      <c r="J856" s="300"/>
      <c r="K856" s="300"/>
      <c r="L856" s="300"/>
      <c r="M856" s="300"/>
      <c r="N856" s="300"/>
      <c r="O856" s="300"/>
      <c r="P856" s="300"/>
      <c r="Q856" s="300"/>
      <c r="R856" s="300"/>
      <c r="S856" s="300"/>
      <c r="T856" s="300"/>
      <c r="U856" s="300"/>
      <c r="V856" s="300"/>
      <c r="W856" s="300"/>
      <c r="X856" s="300"/>
      <c r="Y856" s="300"/>
      <c r="Z856" s="300"/>
    </row>
    <row r="857" spans="1:26">
      <c r="A857" s="215" t="s">
        <v>4089</v>
      </c>
      <c r="B857" s="207">
        <v>6</v>
      </c>
      <c r="C857" s="215" t="s">
        <v>6105</v>
      </c>
      <c r="D857" s="215" t="s">
        <v>8448</v>
      </c>
      <c r="E857" s="215" t="s">
        <v>8449</v>
      </c>
      <c r="F857" s="215" t="s">
        <v>8450</v>
      </c>
      <c r="G857" s="215" t="s">
        <v>8451</v>
      </c>
      <c r="H857" s="215" t="s">
        <v>6500</v>
      </c>
      <c r="I857" s="300"/>
      <c r="J857" s="300"/>
      <c r="K857" s="300"/>
      <c r="L857" s="300"/>
      <c r="M857" s="300"/>
      <c r="N857" s="300"/>
      <c r="O857" s="300"/>
      <c r="P857" s="300"/>
      <c r="Q857" s="300"/>
      <c r="R857" s="300"/>
      <c r="S857" s="300"/>
      <c r="T857" s="300"/>
      <c r="U857" s="300"/>
      <c r="V857" s="300"/>
      <c r="W857" s="300"/>
      <c r="X857" s="300"/>
      <c r="Y857" s="300"/>
      <c r="Z857" s="300"/>
    </row>
    <row r="858" spans="1:26">
      <c r="A858" s="215" t="s">
        <v>2985</v>
      </c>
      <c r="B858" s="207">
        <v>8</v>
      </c>
      <c r="C858" s="215" t="s">
        <v>2491</v>
      </c>
      <c r="D858" s="215" t="s">
        <v>8452</v>
      </c>
      <c r="E858" s="215" t="s">
        <v>8453</v>
      </c>
      <c r="F858" s="215" t="s">
        <v>8450</v>
      </c>
      <c r="G858" s="215" t="s">
        <v>8451</v>
      </c>
      <c r="H858" s="215" t="s">
        <v>6548</v>
      </c>
      <c r="I858" s="300"/>
      <c r="J858" s="300"/>
      <c r="K858" s="300"/>
      <c r="L858" s="300"/>
      <c r="M858" s="300"/>
      <c r="N858" s="300"/>
      <c r="O858" s="300"/>
      <c r="P858" s="300"/>
      <c r="Q858" s="300"/>
      <c r="R858" s="300"/>
      <c r="S858" s="300"/>
      <c r="T858" s="300"/>
      <c r="U858" s="300"/>
      <c r="V858" s="300"/>
      <c r="W858" s="300"/>
      <c r="X858" s="300"/>
      <c r="Y858" s="300"/>
      <c r="Z858" s="300"/>
    </row>
    <row r="859" spans="1:26">
      <c r="A859" s="215" t="s">
        <v>4020</v>
      </c>
      <c r="B859" s="207">
        <v>2217</v>
      </c>
      <c r="C859" s="215" t="s">
        <v>6046</v>
      </c>
      <c r="D859" s="215" t="s">
        <v>8454</v>
      </c>
      <c r="E859" s="215" t="s">
        <v>8455</v>
      </c>
      <c r="F859" s="215" t="s">
        <v>8456</v>
      </c>
      <c r="G859" s="215" t="s">
        <v>8457</v>
      </c>
      <c r="H859" s="215" t="s">
        <v>6504</v>
      </c>
      <c r="I859" s="300"/>
      <c r="J859" s="300"/>
      <c r="K859" s="300"/>
      <c r="L859" s="300"/>
      <c r="M859" s="300"/>
      <c r="N859" s="300"/>
      <c r="O859" s="300"/>
      <c r="P859" s="300"/>
      <c r="Q859" s="300"/>
      <c r="R859" s="300"/>
      <c r="S859" s="300"/>
      <c r="T859" s="300"/>
      <c r="U859" s="300"/>
      <c r="V859" s="300"/>
      <c r="W859" s="300"/>
      <c r="X859" s="300"/>
      <c r="Y859" s="300"/>
      <c r="Z859" s="300"/>
    </row>
    <row r="860" spans="1:26">
      <c r="A860" s="215"/>
      <c r="B860" s="207">
        <v>76</v>
      </c>
      <c r="C860" s="215" t="s">
        <v>8458</v>
      </c>
      <c r="D860" s="215" t="s">
        <v>8459</v>
      </c>
      <c r="E860" s="215" t="s">
        <v>8460</v>
      </c>
      <c r="F860" s="215" t="s">
        <v>8461</v>
      </c>
      <c r="G860" s="215" t="s">
        <v>8462</v>
      </c>
      <c r="H860" s="215" t="s">
        <v>6497</v>
      </c>
      <c r="I860" s="300"/>
      <c r="J860" s="300"/>
      <c r="K860" s="300"/>
      <c r="L860" s="300"/>
      <c r="M860" s="300"/>
      <c r="N860" s="300"/>
      <c r="O860" s="300"/>
      <c r="P860" s="300"/>
      <c r="Q860" s="300"/>
      <c r="R860" s="300"/>
      <c r="S860" s="300"/>
      <c r="T860" s="300"/>
      <c r="U860" s="300"/>
      <c r="V860" s="300"/>
      <c r="W860" s="300"/>
      <c r="X860" s="300"/>
      <c r="Y860" s="300"/>
      <c r="Z860" s="300"/>
    </row>
    <row r="861" spans="1:26">
      <c r="A861" s="215" t="s">
        <v>4561</v>
      </c>
      <c r="B861" s="207">
        <v>2190</v>
      </c>
      <c r="C861" s="215" t="s">
        <v>8463</v>
      </c>
      <c r="D861" s="215" t="s">
        <v>8464</v>
      </c>
      <c r="E861" s="215" t="s">
        <v>8465</v>
      </c>
      <c r="F861" s="215" t="s">
        <v>8466</v>
      </c>
      <c r="G861" s="215" t="s">
        <v>8467</v>
      </c>
      <c r="H861" s="215" t="s">
        <v>6497</v>
      </c>
      <c r="I861" s="300"/>
      <c r="J861" s="300"/>
      <c r="K861" s="300"/>
      <c r="L861" s="300"/>
      <c r="M861" s="300"/>
      <c r="N861" s="300"/>
      <c r="O861" s="300"/>
      <c r="P861" s="300"/>
      <c r="Q861" s="300"/>
      <c r="R861" s="300"/>
      <c r="S861" s="300"/>
      <c r="T861" s="300"/>
      <c r="U861" s="300"/>
      <c r="V861" s="300"/>
      <c r="W861" s="300"/>
      <c r="X861" s="300"/>
      <c r="Y861" s="300"/>
      <c r="Z861" s="300"/>
    </row>
    <row r="862" spans="1:26">
      <c r="A862" s="215"/>
      <c r="B862" s="207">
        <v>4</v>
      </c>
      <c r="C862" s="215" t="s">
        <v>8468</v>
      </c>
      <c r="D862" s="215" t="s">
        <v>8469</v>
      </c>
      <c r="E862" s="215" t="s">
        <v>8469</v>
      </c>
      <c r="F862" s="215" t="s">
        <v>8470</v>
      </c>
      <c r="G862" s="215" t="s">
        <v>8471</v>
      </c>
      <c r="H862" s="215" t="s">
        <v>6548</v>
      </c>
      <c r="I862" s="300"/>
      <c r="J862" s="300"/>
      <c r="K862" s="300"/>
      <c r="L862" s="300"/>
      <c r="M862" s="300"/>
      <c r="N862" s="300"/>
      <c r="O862" s="300"/>
      <c r="P862" s="300"/>
      <c r="Q862" s="300"/>
      <c r="R862" s="300"/>
      <c r="S862" s="300"/>
      <c r="T862" s="300"/>
      <c r="U862" s="300"/>
      <c r="V862" s="300"/>
      <c r="W862" s="300"/>
      <c r="X862" s="300"/>
      <c r="Y862" s="300"/>
      <c r="Z862" s="300"/>
    </row>
    <row r="863" spans="1:26">
      <c r="A863" s="215" t="s">
        <v>2701</v>
      </c>
      <c r="B863" s="207">
        <v>330</v>
      </c>
      <c r="C863" s="215" t="s">
        <v>4866</v>
      </c>
      <c r="D863" s="215" t="s">
        <v>8472</v>
      </c>
      <c r="E863" s="215" t="s">
        <v>8473</v>
      </c>
      <c r="F863" s="215" t="s">
        <v>8470</v>
      </c>
      <c r="G863" s="215" t="s">
        <v>8471</v>
      </c>
      <c r="H863" s="215" t="s">
        <v>6500</v>
      </c>
      <c r="I863" s="300"/>
      <c r="J863" s="300"/>
      <c r="K863" s="300"/>
      <c r="L863" s="300"/>
      <c r="M863" s="300"/>
      <c r="N863" s="300"/>
      <c r="O863" s="300"/>
      <c r="P863" s="300"/>
      <c r="Q863" s="300"/>
      <c r="R863" s="300"/>
      <c r="S863" s="300"/>
      <c r="T863" s="300"/>
      <c r="U863" s="300"/>
      <c r="V863" s="300"/>
      <c r="W863" s="300"/>
      <c r="X863" s="300"/>
      <c r="Y863" s="300"/>
      <c r="Z863" s="300"/>
    </row>
    <row r="864" spans="1:26">
      <c r="A864" s="215"/>
      <c r="B864" s="207">
        <v>390</v>
      </c>
      <c r="C864" s="215" t="s">
        <v>8474</v>
      </c>
      <c r="D864" s="215"/>
      <c r="E864" s="215"/>
      <c r="F864" s="215" t="s">
        <v>8470</v>
      </c>
      <c r="G864" s="215" t="s">
        <v>8471</v>
      </c>
      <c r="H864" s="215" t="s">
        <v>6548</v>
      </c>
      <c r="I864" s="300"/>
      <c r="J864" s="300"/>
      <c r="K864" s="300"/>
      <c r="L864" s="300"/>
      <c r="M864" s="300"/>
      <c r="N864" s="300"/>
      <c r="O864" s="300"/>
      <c r="P864" s="300"/>
      <c r="Q864" s="300"/>
      <c r="R864" s="300"/>
      <c r="S864" s="300"/>
      <c r="T864" s="300"/>
      <c r="U864" s="300"/>
      <c r="V864" s="300"/>
      <c r="W864" s="300"/>
      <c r="X864" s="300"/>
      <c r="Y864" s="300"/>
      <c r="Z864" s="300"/>
    </row>
    <row r="865" spans="1:26">
      <c r="A865" s="215" t="s">
        <v>3830</v>
      </c>
      <c r="B865" s="207">
        <v>352</v>
      </c>
      <c r="C865" s="215" t="s">
        <v>5906</v>
      </c>
      <c r="D865" s="215" t="s">
        <v>8475</v>
      </c>
      <c r="E865" s="215" t="s">
        <v>8476</v>
      </c>
      <c r="F865" s="215" t="s">
        <v>8477</v>
      </c>
      <c r="G865" s="215" t="s">
        <v>8478</v>
      </c>
      <c r="H865" s="215" t="s">
        <v>6500</v>
      </c>
      <c r="I865" s="300"/>
      <c r="J865" s="300"/>
      <c r="K865" s="300"/>
      <c r="L865" s="300"/>
      <c r="M865" s="300"/>
      <c r="N865" s="300"/>
      <c r="O865" s="300"/>
      <c r="P865" s="300"/>
      <c r="Q865" s="300"/>
      <c r="R865" s="300"/>
      <c r="S865" s="300"/>
      <c r="T865" s="300"/>
      <c r="U865" s="300"/>
      <c r="V865" s="300"/>
      <c r="W865" s="300"/>
      <c r="X865" s="300"/>
      <c r="Y865" s="300"/>
      <c r="Z865" s="300"/>
    </row>
    <row r="866" spans="1:26">
      <c r="A866" s="215" t="s">
        <v>3105</v>
      </c>
      <c r="B866" s="207">
        <v>415</v>
      </c>
      <c r="C866" s="215" t="s">
        <v>5235</v>
      </c>
      <c r="D866" s="215" t="s">
        <v>8479</v>
      </c>
      <c r="E866" s="215" t="s">
        <v>8480</v>
      </c>
      <c r="F866" s="215" t="s">
        <v>8477</v>
      </c>
      <c r="G866" s="215" t="s">
        <v>8478</v>
      </c>
      <c r="H866" s="215" t="s">
        <v>6521</v>
      </c>
      <c r="I866" s="300"/>
      <c r="J866" s="300"/>
      <c r="K866" s="300"/>
      <c r="L866" s="300"/>
      <c r="M866" s="300"/>
      <c r="N866" s="300"/>
      <c r="O866" s="300"/>
      <c r="P866" s="300"/>
      <c r="Q866" s="300"/>
      <c r="R866" s="300"/>
      <c r="S866" s="300"/>
      <c r="T866" s="300"/>
      <c r="U866" s="300"/>
      <c r="V866" s="300"/>
      <c r="W866" s="300"/>
      <c r="X866" s="300"/>
      <c r="Y866" s="300"/>
      <c r="Z866" s="300"/>
    </row>
    <row r="867" spans="1:26">
      <c r="A867" s="215" t="s">
        <v>8481</v>
      </c>
      <c r="B867" s="207">
        <v>332</v>
      </c>
      <c r="C867" s="215" t="s">
        <v>4877</v>
      </c>
      <c r="D867" s="215" t="s">
        <v>8482</v>
      </c>
      <c r="E867" s="215" t="s">
        <v>8483</v>
      </c>
      <c r="F867" s="215" t="s">
        <v>8484</v>
      </c>
      <c r="G867" s="215" t="s">
        <v>8485</v>
      </c>
      <c r="H867" s="215" t="s">
        <v>6500</v>
      </c>
      <c r="I867" s="300"/>
      <c r="J867" s="300"/>
      <c r="K867" s="300"/>
      <c r="L867" s="300"/>
      <c r="M867" s="300"/>
      <c r="N867" s="300"/>
      <c r="O867" s="300"/>
      <c r="P867" s="300"/>
      <c r="Q867" s="300"/>
      <c r="R867" s="300"/>
      <c r="S867" s="300"/>
      <c r="T867" s="300"/>
      <c r="U867" s="300"/>
      <c r="V867" s="300"/>
      <c r="W867" s="300"/>
      <c r="X867" s="300"/>
      <c r="Y867" s="300"/>
      <c r="Z867" s="300"/>
    </row>
    <row r="868" spans="1:26">
      <c r="A868" s="215" t="s">
        <v>8486</v>
      </c>
      <c r="B868" s="207">
        <v>422</v>
      </c>
      <c r="C868" s="215" t="s">
        <v>6346</v>
      </c>
      <c r="D868" s="215" t="s">
        <v>8487</v>
      </c>
      <c r="E868" s="215" t="s">
        <v>8488</v>
      </c>
      <c r="F868" s="215" t="s">
        <v>8489</v>
      </c>
      <c r="G868" s="215" t="s">
        <v>8490</v>
      </c>
      <c r="H868" s="215" t="s">
        <v>6500</v>
      </c>
      <c r="I868" s="300"/>
      <c r="J868" s="300"/>
      <c r="K868" s="300"/>
      <c r="L868" s="300"/>
      <c r="M868" s="300"/>
      <c r="N868" s="300"/>
      <c r="O868" s="300"/>
      <c r="P868" s="300"/>
      <c r="Q868" s="300"/>
      <c r="R868" s="300"/>
      <c r="S868" s="300"/>
      <c r="T868" s="300"/>
      <c r="U868" s="300"/>
      <c r="V868" s="300"/>
      <c r="W868" s="300"/>
      <c r="X868" s="300"/>
      <c r="Y868" s="300"/>
      <c r="Z868" s="300"/>
    </row>
    <row r="869" spans="1:26">
      <c r="A869" s="215" t="s">
        <v>3236</v>
      </c>
      <c r="B869" s="207">
        <v>77</v>
      </c>
      <c r="C869" s="215" t="s">
        <v>5368</v>
      </c>
      <c r="D869" s="215" t="s">
        <v>8491</v>
      </c>
      <c r="E869" s="215" t="s">
        <v>8492</v>
      </c>
      <c r="F869" s="215" t="s">
        <v>8493</v>
      </c>
      <c r="G869" s="215" t="s">
        <v>8494</v>
      </c>
      <c r="H869" s="215" t="s">
        <v>6500</v>
      </c>
      <c r="I869" s="300"/>
      <c r="J869" s="300"/>
      <c r="K869" s="300"/>
      <c r="L869" s="300"/>
      <c r="M869" s="300"/>
      <c r="N869" s="300"/>
      <c r="O869" s="300"/>
      <c r="P869" s="300"/>
      <c r="Q869" s="300"/>
      <c r="R869" s="300"/>
      <c r="S869" s="300"/>
      <c r="T869" s="300"/>
      <c r="U869" s="300"/>
      <c r="V869" s="300"/>
      <c r="W869" s="300"/>
      <c r="X869" s="300"/>
      <c r="Y869" s="300"/>
      <c r="Z869" s="300"/>
    </row>
    <row r="870" spans="1:26">
      <c r="A870" s="215" t="s">
        <v>2889</v>
      </c>
      <c r="B870" s="207">
        <v>78</v>
      </c>
      <c r="C870" s="302" t="s">
        <v>5051</v>
      </c>
      <c r="D870" s="215" t="s">
        <v>8495</v>
      </c>
      <c r="E870" s="215" t="s">
        <v>8496</v>
      </c>
      <c r="F870" s="215" t="s">
        <v>8493</v>
      </c>
      <c r="G870" s="215" t="s">
        <v>8494</v>
      </c>
      <c r="H870" s="215" t="s">
        <v>6497</v>
      </c>
      <c r="I870" s="300"/>
      <c r="J870" s="300"/>
      <c r="K870" s="300"/>
      <c r="L870" s="300"/>
      <c r="M870" s="300"/>
      <c r="N870" s="300"/>
      <c r="O870" s="300"/>
      <c r="P870" s="300"/>
      <c r="Q870" s="300"/>
      <c r="R870" s="300"/>
      <c r="S870" s="300"/>
      <c r="T870" s="300"/>
      <c r="U870" s="300"/>
      <c r="V870" s="300"/>
      <c r="W870" s="300"/>
      <c r="X870" s="300"/>
      <c r="Y870" s="300"/>
      <c r="Z870" s="300"/>
    </row>
    <row r="871" spans="1:26">
      <c r="A871" s="215" t="s">
        <v>4498</v>
      </c>
      <c r="B871" s="207">
        <v>79</v>
      </c>
      <c r="C871" s="215" t="s">
        <v>6416</v>
      </c>
      <c r="D871" s="215" t="s">
        <v>8497</v>
      </c>
      <c r="E871" s="215" t="s">
        <v>8497</v>
      </c>
      <c r="F871" s="215" t="s">
        <v>8493</v>
      </c>
      <c r="G871" s="215" t="s">
        <v>8494</v>
      </c>
      <c r="H871" s="215" t="s">
        <v>6497</v>
      </c>
      <c r="I871" s="300"/>
      <c r="J871" s="300"/>
      <c r="K871" s="300"/>
      <c r="L871" s="300"/>
      <c r="M871" s="300"/>
      <c r="N871" s="300"/>
      <c r="O871" s="300"/>
      <c r="P871" s="300"/>
      <c r="Q871" s="300"/>
      <c r="R871" s="300"/>
      <c r="S871" s="300"/>
      <c r="T871" s="300"/>
      <c r="U871" s="300"/>
      <c r="V871" s="300"/>
      <c r="W871" s="300"/>
      <c r="X871" s="300"/>
      <c r="Y871" s="300"/>
      <c r="Z871" s="300"/>
    </row>
    <row r="872" spans="1:26">
      <c r="A872" s="215" t="s">
        <v>3352</v>
      </c>
      <c r="B872" s="207">
        <v>80</v>
      </c>
      <c r="C872" s="215" t="s">
        <v>8498</v>
      </c>
      <c r="D872" s="215" t="s">
        <v>8499</v>
      </c>
      <c r="E872" s="215" t="s">
        <v>8500</v>
      </c>
      <c r="F872" s="215" t="s">
        <v>8493</v>
      </c>
      <c r="G872" s="215" t="s">
        <v>8494</v>
      </c>
      <c r="H872" s="215" t="s">
        <v>6500</v>
      </c>
      <c r="I872" s="300"/>
      <c r="J872" s="300"/>
      <c r="K872" s="300"/>
      <c r="L872" s="300"/>
      <c r="M872" s="300"/>
      <c r="N872" s="300"/>
      <c r="O872" s="300"/>
      <c r="P872" s="300"/>
      <c r="Q872" s="300"/>
      <c r="R872" s="300"/>
      <c r="S872" s="300"/>
      <c r="T872" s="300"/>
      <c r="U872" s="300"/>
      <c r="V872" s="300"/>
      <c r="W872" s="300"/>
      <c r="X872" s="300"/>
      <c r="Y872" s="300"/>
      <c r="Z872" s="300"/>
    </row>
    <row r="873" spans="1:26">
      <c r="A873" s="215" t="s">
        <v>2866</v>
      </c>
      <c r="B873" s="207">
        <v>81</v>
      </c>
      <c r="C873" s="215" t="s">
        <v>5033</v>
      </c>
      <c r="D873" s="215" t="s">
        <v>8501</v>
      </c>
      <c r="E873" s="215" t="s">
        <v>8501</v>
      </c>
      <c r="F873" s="215" t="s">
        <v>8493</v>
      </c>
      <c r="G873" s="215" t="s">
        <v>8494</v>
      </c>
      <c r="H873" s="215" t="s">
        <v>6500</v>
      </c>
      <c r="I873" s="300"/>
      <c r="J873" s="300"/>
      <c r="K873" s="300"/>
      <c r="L873" s="300"/>
      <c r="M873" s="300"/>
      <c r="N873" s="300"/>
      <c r="O873" s="300"/>
      <c r="P873" s="300"/>
      <c r="Q873" s="300"/>
      <c r="R873" s="300"/>
      <c r="S873" s="300"/>
      <c r="T873" s="300"/>
      <c r="U873" s="300"/>
      <c r="V873" s="300"/>
      <c r="W873" s="300"/>
      <c r="X873" s="300"/>
      <c r="Y873" s="300"/>
      <c r="Z873" s="300"/>
    </row>
    <row r="874" spans="1:26">
      <c r="A874" s="215" t="s">
        <v>4044</v>
      </c>
      <c r="B874" s="207">
        <v>82</v>
      </c>
      <c r="C874" s="215" t="s">
        <v>6068</v>
      </c>
      <c r="D874" s="215" t="s">
        <v>8502</v>
      </c>
      <c r="E874" s="215" t="s">
        <v>8502</v>
      </c>
      <c r="F874" s="215" t="s">
        <v>8493</v>
      </c>
      <c r="G874" s="215" t="s">
        <v>8494</v>
      </c>
      <c r="H874" s="215" t="s">
        <v>6504</v>
      </c>
      <c r="I874" s="300"/>
      <c r="J874" s="300"/>
      <c r="K874" s="300"/>
      <c r="L874" s="300"/>
      <c r="M874" s="300"/>
      <c r="N874" s="300"/>
      <c r="O874" s="300"/>
      <c r="P874" s="300"/>
      <c r="Q874" s="300"/>
      <c r="R874" s="300"/>
      <c r="S874" s="300"/>
      <c r="T874" s="300"/>
      <c r="U874" s="300"/>
      <c r="V874" s="300"/>
      <c r="W874" s="300"/>
      <c r="X874" s="300"/>
      <c r="Y874" s="300"/>
      <c r="Z874" s="300"/>
    </row>
    <row r="875" spans="1:26">
      <c r="A875" s="215" t="s">
        <v>3047</v>
      </c>
      <c r="B875" s="207">
        <v>83</v>
      </c>
      <c r="C875" s="215" t="s">
        <v>8503</v>
      </c>
      <c r="D875" s="215" t="s">
        <v>8504</v>
      </c>
      <c r="E875" s="215" t="s">
        <v>8505</v>
      </c>
      <c r="F875" s="215" t="s">
        <v>8493</v>
      </c>
      <c r="G875" s="215" t="s">
        <v>8494</v>
      </c>
      <c r="H875" s="215" t="s">
        <v>6521</v>
      </c>
      <c r="I875" s="300"/>
      <c r="J875" s="300"/>
      <c r="K875" s="300"/>
      <c r="L875" s="300"/>
      <c r="M875" s="300"/>
      <c r="N875" s="300"/>
      <c r="O875" s="300"/>
      <c r="P875" s="300"/>
      <c r="Q875" s="300"/>
      <c r="R875" s="300"/>
      <c r="S875" s="300"/>
      <c r="T875" s="300"/>
      <c r="U875" s="300"/>
      <c r="V875" s="300"/>
      <c r="W875" s="300"/>
      <c r="X875" s="300"/>
      <c r="Y875" s="300"/>
      <c r="Z875" s="300"/>
    </row>
    <row r="876" spans="1:26">
      <c r="A876" s="215" t="s">
        <v>4582</v>
      </c>
      <c r="B876" s="207">
        <v>84</v>
      </c>
      <c r="C876" s="215" t="s">
        <v>6483</v>
      </c>
      <c r="D876" s="215" t="s">
        <v>4560</v>
      </c>
      <c r="E876" s="215" t="s">
        <v>8506</v>
      </c>
      <c r="F876" s="215" t="s">
        <v>8493</v>
      </c>
      <c r="G876" s="215" t="s">
        <v>8494</v>
      </c>
      <c r="H876" s="215" t="s">
        <v>6504</v>
      </c>
      <c r="I876" s="300"/>
      <c r="J876" s="300"/>
      <c r="K876" s="300"/>
      <c r="L876" s="300"/>
      <c r="M876" s="300"/>
      <c r="N876" s="300"/>
      <c r="O876" s="300"/>
      <c r="P876" s="300"/>
      <c r="Q876" s="300"/>
      <c r="R876" s="300"/>
      <c r="S876" s="300"/>
      <c r="T876" s="300"/>
      <c r="U876" s="300"/>
      <c r="V876" s="300"/>
      <c r="W876" s="300"/>
      <c r="X876" s="300"/>
      <c r="Y876" s="300"/>
      <c r="Z876" s="300"/>
    </row>
    <row r="877" spans="1:26">
      <c r="A877" s="215" t="s">
        <v>3797</v>
      </c>
      <c r="B877" s="207">
        <v>85</v>
      </c>
      <c r="C877" s="215" t="s">
        <v>5871</v>
      </c>
      <c r="D877" s="215" t="s">
        <v>8507</v>
      </c>
      <c r="E877" s="215" t="s">
        <v>8508</v>
      </c>
      <c r="F877" s="215" t="s">
        <v>8493</v>
      </c>
      <c r="G877" s="215" t="s">
        <v>8494</v>
      </c>
      <c r="H877" s="215" t="s">
        <v>6521</v>
      </c>
      <c r="I877" s="300"/>
      <c r="J877" s="300"/>
      <c r="K877" s="300"/>
      <c r="L877" s="300"/>
      <c r="M877" s="300"/>
      <c r="N877" s="300"/>
      <c r="O877" s="300"/>
      <c r="P877" s="300"/>
      <c r="Q877" s="300"/>
      <c r="R877" s="300"/>
      <c r="S877" s="300"/>
      <c r="T877" s="300"/>
      <c r="U877" s="300"/>
      <c r="V877" s="300"/>
      <c r="W877" s="300"/>
      <c r="X877" s="300"/>
      <c r="Y877" s="300"/>
      <c r="Z877" s="300"/>
    </row>
    <row r="878" spans="1:26">
      <c r="A878" s="215" t="s">
        <v>3712</v>
      </c>
      <c r="B878" s="207">
        <v>86</v>
      </c>
      <c r="C878" s="215" t="s">
        <v>5799</v>
      </c>
      <c r="D878" s="215" t="s">
        <v>8509</v>
      </c>
      <c r="E878" s="215" t="s">
        <v>8509</v>
      </c>
      <c r="F878" s="215" t="s">
        <v>8493</v>
      </c>
      <c r="G878" s="215" t="s">
        <v>8494</v>
      </c>
      <c r="H878" s="215" t="s">
        <v>6497</v>
      </c>
      <c r="I878" s="300"/>
      <c r="J878" s="300"/>
      <c r="K878" s="300"/>
      <c r="L878" s="300"/>
      <c r="M878" s="300"/>
      <c r="N878" s="300"/>
      <c r="O878" s="300"/>
      <c r="P878" s="300"/>
      <c r="Q878" s="300"/>
      <c r="R878" s="300"/>
      <c r="S878" s="300"/>
      <c r="T878" s="300"/>
      <c r="U878" s="300"/>
      <c r="V878" s="300"/>
      <c r="W878" s="300"/>
      <c r="X878" s="300"/>
      <c r="Y878" s="300"/>
      <c r="Z878" s="300"/>
    </row>
    <row r="879" spans="1:26">
      <c r="A879" s="215"/>
      <c r="B879" s="207">
        <v>87</v>
      </c>
      <c r="C879" s="215" t="s">
        <v>8510</v>
      </c>
      <c r="D879" s="215" t="s">
        <v>8511</v>
      </c>
      <c r="E879" s="215" t="s">
        <v>8511</v>
      </c>
      <c r="F879" s="215" t="s">
        <v>8493</v>
      </c>
      <c r="G879" s="215" t="s">
        <v>8494</v>
      </c>
      <c r="H879" s="215" t="s">
        <v>6548</v>
      </c>
      <c r="I879" s="300"/>
      <c r="J879" s="300"/>
      <c r="K879" s="300"/>
      <c r="L879" s="300"/>
      <c r="M879" s="300"/>
      <c r="N879" s="300"/>
      <c r="O879" s="300"/>
      <c r="P879" s="300"/>
      <c r="Q879" s="300"/>
      <c r="R879" s="300"/>
      <c r="S879" s="300"/>
      <c r="T879" s="300"/>
      <c r="U879" s="300"/>
      <c r="V879" s="300"/>
      <c r="W879" s="300"/>
      <c r="X879" s="300"/>
      <c r="Y879" s="300"/>
      <c r="Z879" s="300"/>
    </row>
    <row r="880" spans="1:26">
      <c r="A880" s="215" t="s">
        <v>2582</v>
      </c>
      <c r="B880" s="207">
        <v>88</v>
      </c>
      <c r="C880" s="215" t="s">
        <v>4808</v>
      </c>
      <c r="D880" s="215" t="s">
        <v>8512</v>
      </c>
      <c r="E880" s="215" t="s">
        <v>8512</v>
      </c>
      <c r="F880" s="215" t="s">
        <v>8493</v>
      </c>
      <c r="G880" s="215" t="s">
        <v>8494</v>
      </c>
      <c r="H880" s="215" t="s">
        <v>6497</v>
      </c>
      <c r="I880" s="300"/>
      <c r="J880" s="300"/>
      <c r="K880" s="300"/>
      <c r="L880" s="300"/>
      <c r="M880" s="300"/>
      <c r="N880" s="300"/>
      <c r="O880" s="300"/>
      <c r="P880" s="300"/>
      <c r="Q880" s="300"/>
      <c r="R880" s="300"/>
      <c r="S880" s="300"/>
      <c r="T880" s="300"/>
      <c r="U880" s="300"/>
      <c r="V880" s="300"/>
      <c r="W880" s="300"/>
      <c r="X880" s="300"/>
      <c r="Y880" s="300"/>
      <c r="Z880" s="300"/>
    </row>
    <row r="881" spans="1:26">
      <c r="A881" s="215" t="s">
        <v>8513</v>
      </c>
      <c r="B881" s="207">
        <v>89</v>
      </c>
      <c r="C881" s="215" t="s">
        <v>8514</v>
      </c>
      <c r="D881" s="215" t="s">
        <v>8515</v>
      </c>
      <c r="E881" s="215" t="s">
        <v>8515</v>
      </c>
      <c r="F881" s="215" t="s">
        <v>8493</v>
      </c>
      <c r="G881" s="215" t="s">
        <v>8494</v>
      </c>
      <c r="H881" s="215" t="s">
        <v>6548</v>
      </c>
      <c r="I881" s="300"/>
      <c r="J881" s="300"/>
      <c r="K881" s="300"/>
      <c r="L881" s="300"/>
      <c r="M881" s="300"/>
      <c r="N881" s="300"/>
      <c r="O881" s="300"/>
      <c r="P881" s="300"/>
      <c r="Q881" s="300"/>
      <c r="R881" s="300"/>
      <c r="S881" s="300"/>
      <c r="T881" s="300"/>
      <c r="U881" s="300"/>
      <c r="V881" s="300"/>
      <c r="W881" s="300"/>
      <c r="X881" s="300"/>
      <c r="Y881" s="300"/>
      <c r="Z881" s="300"/>
    </row>
    <row r="882" spans="1:26">
      <c r="A882" s="215" t="s">
        <v>2606</v>
      </c>
      <c r="B882" s="207">
        <v>90</v>
      </c>
      <c r="C882" s="215" t="s">
        <v>8516</v>
      </c>
      <c r="D882" s="215" t="s">
        <v>8517</v>
      </c>
      <c r="E882" s="215" t="s">
        <v>8518</v>
      </c>
      <c r="F882" s="215" t="s">
        <v>8493</v>
      </c>
      <c r="G882" s="215" t="s">
        <v>8494</v>
      </c>
      <c r="H882" s="215" t="s">
        <v>6504</v>
      </c>
      <c r="I882" s="300"/>
      <c r="J882" s="300"/>
      <c r="K882" s="300"/>
      <c r="L882" s="300"/>
      <c r="M882" s="300"/>
      <c r="N882" s="300"/>
      <c r="O882" s="300"/>
      <c r="P882" s="300"/>
      <c r="Q882" s="300"/>
      <c r="R882" s="300"/>
      <c r="S882" s="300"/>
      <c r="T882" s="300"/>
      <c r="U882" s="300"/>
      <c r="V882" s="300"/>
      <c r="W882" s="300"/>
      <c r="X882" s="300"/>
      <c r="Y882" s="300"/>
      <c r="Z882" s="300"/>
    </row>
    <row r="883" spans="1:26">
      <c r="A883" s="215" t="s">
        <v>3709</v>
      </c>
      <c r="B883" s="207">
        <v>1671</v>
      </c>
      <c r="C883" s="215" t="s">
        <v>5796</v>
      </c>
      <c r="D883" s="215" t="s">
        <v>8519</v>
      </c>
      <c r="E883" s="215" t="s">
        <v>8520</v>
      </c>
      <c r="F883" s="215" t="s">
        <v>8493</v>
      </c>
      <c r="G883" s="215" t="s">
        <v>8494</v>
      </c>
      <c r="H883" s="215" t="s">
        <v>6500</v>
      </c>
      <c r="I883" s="300"/>
      <c r="J883" s="300"/>
      <c r="K883" s="300"/>
      <c r="L883" s="300"/>
      <c r="M883" s="300"/>
      <c r="N883" s="300"/>
      <c r="O883" s="300"/>
      <c r="P883" s="300"/>
      <c r="Q883" s="300"/>
      <c r="R883" s="300"/>
      <c r="S883" s="300"/>
      <c r="T883" s="300"/>
      <c r="U883" s="300"/>
      <c r="V883" s="300"/>
      <c r="W883" s="300"/>
      <c r="X883" s="300"/>
      <c r="Y883" s="300"/>
      <c r="Z883" s="300"/>
    </row>
    <row r="884" spans="1:26">
      <c r="A884" s="215" t="s">
        <v>2710</v>
      </c>
      <c r="B884" s="207">
        <v>1673</v>
      </c>
      <c r="C884" s="215" t="s">
        <v>4873</v>
      </c>
      <c r="D884" s="215" t="s">
        <v>8521</v>
      </c>
      <c r="E884" s="215" t="s">
        <v>8521</v>
      </c>
      <c r="F884" s="215" t="s">
        <v>8493</v>
      </c>
      <c r="G884" s="215" t="s">
        <v>8494</v>
      </c>
      <c r="H884" s="215" t="s">
        <v>6500</v>
      </c>
      <c r="I884" s="300"/>
      <c r="J884" s="300"/>
      <c r="K884" s="300"/>
      <c r="L884" s="300"/>
      <c r="M884" s="300"/>
      <c r="N884" s="300"/>
      <c r="O884" s="300"/>
      <c r="P884" s="300"/>
      <c r="Q884" s="300"/>
      <c r="R884" s="300"/>
      <c r="S884" s="300"/>
      <c r="T884" s="300"/>
      <c r="U884" s="300"/>
      <c r="V884" s="300"/>
      <c r="W884" s="300"/>
      <c r="X884" s="300"/>
      <c r="Y884" s="300"/>
      <c r="Z884" s="300"/>
    </row>
    <row r="885" spans="1:26">
      <c r="A885" s="215" t="s">
        <v>3062</v>
      </c>
      <c r="B885" s="207">
        <v>1676</v>
      </c>
      <c r="C885" s="215" t="s">
        <v>5198</v>
      </c>
      <c r="D885" s="215" t="s">
        <v>8522</v>
      </c>
      <c r="E885" s="215" t="s">
        <v>8523</v>
      </c>
      <c r="F885" s="215" t="s">
        <v>8493</v>
      </c>
      <c r="G885" s="215" t="s">
        <v>8494</v>
      </c>
      <c r="H885" s="215" t="s">
        <v>6521</v>
      </c>
      <c r="I885" s="300"/>
      <c r="J885" s="300"/>
      <c r="K885" s="300"/>
      <c r="L885" s="300"/>
      <c r="M885" s="300"/>
      <c r="N885" s="300"/>
      <c r="O885" s="300"/>
      <c r="P885" s="300"/>
      <c r="Q885" s="300"/>
      <c r="R885" s="300"/>
      <c r="S885" s="300"/>
      <c r="T885" s="300"/>
      <c r="U885" s="300"/>
      <c r="V885" s="300"/>
      <c r="W885" s="300"/>
      <c r="X885" s="300"/>
      <c r="Y885" s="300"/>
      <c r="Z885" s="300"/>
    </row>
    <row r="886" spans="1:26">
      <c r="A886" s="215" t="s">
        <v>2993</v>
      </c>
      <c r="B886" s="207">
        <v>1677</v>
      </c>
      <c r="C886" s="215" t="s">
        <v>5097</v>
      </c>
      <c r="D886" s="215" t="s">
        <v>8524</v>
      </c>
      <c r="E886" s="215" t="s">
        <v>8524</v>
      </c>
      <c r="F886" s="215" t="s">
        <v>8493</v>
      </c>
      <c r="G886" s="215" t="s">
        <v>8494</v>
      </c>
      <c r="H886" s="215" t="s">
        <v>6521</v>
      </c>
      <c r="I886" s="300"/>
      <c r="J886" s="300"/>
      <c r="K886" s="300"/>
      <c r="L886" s="300"/>
      <c r="M886" s="300"/>
      <c r="N886" s="300"/>
      <c r="O886" s="300"/>
      <c r="P886" s="300"/>
      <c r="Q886" s="300"/>
      <c r="R886" s="300"/>
      <c r="S886" s="300"/>
      <c r="T886" s="300"/>
      <c r="U886" s="300"/>
      <c r="V886" s="300"/>
      <c r="W886" s="300"/>
      <c r="X886" s="300"/>
      <c r="Y886" s="300"/>
      <c r="Z886" s="300"/>
    </row>
    <row r="887" spans="1:26">
      <c r="A887" s="215" t="s">
        <v>3697</v>
      </c>
      <c r="B887" s="207">
        <v>1679</v>
      </c>
      <c r="C887" s="215" t="s">
        <v>5785</v>
      </c>
      <c r="D887" s="215" t="s">
        <v>8525</v>
      </c>
      <c r="E887" s="215" t="s">
        <v>8525</v>
      </c>
      <c r="F887" s="215" t="s">
        <v>8493</v>
      </c>
      <c r="G887" s="215" t="s">
        <v>8494</v>
      </c>
      <c r="H887" s="215" t="s">
        <v>6521</v>
      </c>
      <c r="I887" s="300"/>
      <c r="J887" s="300"/>
      <c r="K887" s="300"/>
      <c r="L887" s="300"/>
      <c r="M887" s="300"/>
      <c r="N887" s="300"/>
      <c r="O887" s="300"/>
      <c r="P887" s="300"/>
      <c r="Q887" s="300"/>
      <c r="R887" s="300"/>
      <c r="S887" s="300"/>
      <c r="T887" s="300"/>
      <c r="U887" s="300"/>
      <c r="V887" s="300"/>
      <c r="W887" s="300"/>
      <c r="X887" s="300"/>
      <c r="Y887" s="300"/>
      <c r="Z887" s="300"/>
    </row>
    <row r="888" spans="1:26">
      <c r="A888" s="215" t="s">
        <v>3421</v>
      </c>
      <c r="B888" s="207">
        <v>1681</v>
      </c>
      <c r="C888" s="215" t="s">
        <v>5543</v>
      </c>
      <c r="D888" s="215" t="s">
        <v>8526</v>
      </c>
      <c r="E888" s="215" t="s">
        <v>8526</v>
      </c>
      <c r="F888" s="215" t="s">
        <v>8493</v>
      </c>
      <c r="G888" s="215" t="s">
        <v>8494</v>
      </c>
      <c r="H888" s="215" t="s">
        <v>6521</v>
      </c>
      <c r="I888" s="300"/>
      <c r="J888" s="300"/>
      <c r="K888" s="300"/>
      <c r="L888" s="300"/>
      <c r="M888" s="300"/>
      <c r="N888" s="300"/>
      <c r="O888" s="300"/>
      <c r="P888" s="300"/>
      <c r="Q888" s="300"/>
      <c r="R888" s="300"/>
      <c r="S888" s="300"/>
      <c r="T888" s="300"/>
      <c r="U888" s="300"/>
      <c r="V888" s="300"/>
      <c r="W888" s="300"/>
      <c r="X888" s="300"/>
      <c r="Y888" s="300"/>
      <c r="Z888" s="300"/>
    </row>
    <row r="889" spans="1:26">
      <c r="A889" s="215" t="s">
        <v>3530</v>
      </c>
      <c r="B889" s="207">
        <v>1682</v>
      </c>
      <c r="C889" s="215" t="s">
        <v>5643</v>
      </c>
      <c r="D889" s="215" t="s">
        <v>8527</v>
      </c>
      <c r="E889" s="215" t="s">
        <v>8528</v>
      </c>
      <c r="F889" s="215" t="s">
        <v>8493</v>
      </c>
      <c r="G889" s="215" t="s">
        <v>8494</v>
      </c>
      <c r="H889" s="215" t="s">
        <v>6497</v>
      </c>
      <c r="I889" s="300"/>
      <c r="J889" s="300"/>
      <c r="K889" s="300"/>
      <c r="L889" s="300"/>
      <c r="M889" s="300"/>
      <c r="N889" s="300"/>
      <c r="O889" s="300"/>
      <c r="P889" s="300"/>
      <c r="Q889" s="300"/>
      <c r="R889" s="300"/>
      <c r="S889" s="300"/>
      <c r="T889" s="300"/>
      <c r="U889" s="300"/>
      <c r="V889" s="300"/>
      <c r="W889" s="300"/>
      <c r="X889" s="300"/>
      <c r="Y889" s="300"/>
      <c r="Z889" s="300"/>
    </row>
    <row r="890" spans="1:26">
      <c r="A890" s="215" t="s">
        <v>3486</v>
      </c>
      <c r="B890" s="207">
        <v>1683</v>
      </c>
      <c r="C890" s="215" t="s">
        <v>4872</v>
      </c>
      <c r="D890" s="215" t="s">
        <v>7105</v>
      </c>
      <c r="E890" s="215" t="s">
        <v>7105</v>
      </c>
      <c r="F890" s="215" t="s">
        <v>8493</v>
      </c>
      <c r="G890" s="215" t="s">
        <v>8494</v>
      </c>
      <c r="H890" s="215" t="s">
        <v>6497</v>
      </c>
      <c r="I890" s="300"/>
      <c r="J890" s="300"/>
      <c r="K890" s="300"/>
      <c r="L890" s="300"/>
      <c r="M890" s="300"/>
      <c r="N890" s="300"/>
      <c r="O890" s="300"/>
      <c r="P890" s="300"/>
      <c r="Q890" s="300"/>
      <c r="R890" s="300"/>
      <c r="S890" s="300"/>
      <c r="T890" s="300"/>
      <c r="U890" s="300"/>
      <c r="V890" s="300"/>
      <c r="W890" s="300"/>
      <c r="X890" s="300"/>
      <c r="Y890" s="300"/>
      <c r="Z890" s="300"/>
    </row>
    <row r="891" spans="1:26">
      <c r="A891" s="215" t="s">
        <v>3873</v>
      </c>
      <c r="B891" s="207">
        <v>1684</v>
      </c>
      <c r="C891" s="215" t="s">
        <v>5939</v>
      </c>
      <c r="D891" s="215" t="s">
        <v>8529</v>
      </c>
      <c r="E891" s="215" t="s">
        <v>8529</v>
      </c>
      <c r="F891" s="215" t="s">
        <v>8493</v>
      </c>
      <c r="G891" s="215" t="s">
        <v>8494</v>
      </c>
      <c r="H891" s="215" t="s">
        <v>6521</v>
      </c>
      <c r="I891" s="300"/>
      <c r="J891" s="300"/>
      <c r="K891" s="300"/>
      <c r="L891" s="300"/>
      <c r="M891" s="300"/>
      <c r="N891" s="300"/>
      <c r="O891" s="300"/>
      <c r="P891" s="300"/>
      <c r="Q891" s="300"/>
      <c r="R891" s="300"/>
      <c r="S891" s="300"/>
      <c r="T891" s="300"/>
      <c r="U891" s="300"/>
      <c r="V891" s="300"/>
      <c r="W891" s="300"/>
      <c r="X891" s="300"/>
      <c r="Y891" s="300"/>
      <c r="Z891" s="300"/>
    </row>
    <row r="892" spans="1:26">
      <c r="A892" s="215" t="s">
        <v>4315</v>
      </c>
      <c r="B892" s="207">
        <v>1685</v>
      </c>
      <c r="C892" s="215" t="s">
        <v>8530</v>
      </c>
      <c r="D892" s="215" t="s">
        <v>8531</v>
      </c>
      <c r="E892" s="215" t="s">
        <v>8532</v>
      </c>
      <c r="F892" s="215" t="s">
        <v>8493</v>
      </c>
      <c r="G892" s="215" t="s">
        <v>8494</v>
      </c>
      <c r="H892" s="215" t="s">
        <v>6500</v>
      </c>
      <c r="I892" s="300"/>
      <c r="J892" s="300"/>
      <c r="K892" s="300"/>
      <c r="L892" s="300"/>
      <c r="M892" s="300"/>
      <c r="N892" s="300"/>
      <c r="O892" s="300"/>
      <c r="P892" s="300"/>
      <c r="Q892" s="300"/>
      <c r="R892" s="300"/>
      <c r="S892" s="300"/>
      <c r="T892" s="300"/>
      <c r="U892" s="300"/>
      <c r="V892" s="300"/>
      <c r="W892" s="300"/>
      <c r="X892" s="300"/>
      <c r="Y892" s="300"/>
      <c r="Z892" s="300"/>
    </row>
    <row r="893" spans="1:26">
      <c r="A893" s="215" t="s">
        <v>3316</v>
      </c>
      <c r="B893" s="207">
        <v>1686</v>
      </c>
      <c r="C893" s="215" t="s">
        <v>5446</v>
      </c>
      <c r="D893" s="215" t="s">
        <v>8533</v>
      </c>
      <c r="E893" s="215" t="s">
        <v>8534</v>
      </c>
      <c r="F893" s="215" t="s">
        <v>8493</v>
      </c>
      <c r="G893" s="215" t="s">
        <v>8494</v>
      </c>
      <c r="H893" s="215" t="s">
        <v>6521</v>
      </c>
      <c r="I893" s="300"/>
      <c r="J893" s="300"/>
      <c r="K893" s="300"/>
      <c r="L893" s="300"/>
      <c r="M893" s="300"/>
      <c r="N893" s="300"/>
      <c r="O893" s="300"/>
      <c r="P893" s="300"/>
      <c r="Q893" s="300"/>
      <c r="R893" s="300"/>
      <c r="S893" s="300"/>
      <c r="T893" s="300"/>
      <c r="U893" s="300"/>
      <c r="V893" s="300"/>
      <c r="W893" s="300"/>
      <c r="X893" s="300"/>
      <c r="Y893" s="300"/>
      <c r="Z893" s="300"/>
    </row>
    <row r="894" spans="1:26">
      <c r="A894" s="215" t="s">
        <v>3146</v>
      </c>
      <c r="B894" s="207">
        <v>1687</v>
      </c>
      <c r="C894" s="215" t="s">
        <v>8535</v>
      </c>
      <c r="D894" s="215" t="s">
        <v>8535</v>
      </c>
      <c r="E894" s="215" t="s">
        <v>8536</v>
      </c>
      <c r="F894" s="215" t="s">
        <v>8493</v>
      </c>
      <c r="G894" s="215" t="s">
        <v>8494</v>
      </c>
      <c r="H894" s="215" t="s">
        <v>6548</v>
      </c>
      <c r="I894" s="300"/>
      <c r="J894" s="300"/>
      <c r="K894" s="300"/>
      <c r="L894" s="300"/>
      <c r="M894" s="300"/>
      <c r="N894" s="300"/>
      <c r="O894" s="300"/>
      <c r="P894" s="300"/>
      <c r="Q894" s="300"/>
      <c r="R894" s="300"/>
      <c r="S894" s="300"/>
      <c r="T894" s="300"/>
      <c r="U894" s="300"/>
      <c r="V894" s="300"/>
      <c r="W894" s="300"/>
      <c r="X894" s="300"/>
      <c r="Y894" s="300"/>
      <c r="Z894" s="300"/>
    </row>
    <row r="895" spans="1:26">
      <c r="A895" s="215" t="s">
        <v>4485</v>
      </c>
      <c r="B895" s="207">
        <v>1733</v>
      </c>
      <c r="C895" s="215" t="s">
        <v>5544</v>
      </c>
      <c r="D895" s="215" t="s">
        <v>8537</v>
      </c>
      <c r="E895" s="215" t="s">
        <v>8538</v>
      </c>
      <c r="F895" s="215" t="s">
        <v>8539</v>
      </c>
      <c r="G895" s="215" t="s">
        <v>8540</v>
      </c>
      <c r="H895" s="215" t="s">
        <v>6500</v>
      </c>
      <c r="I895" s="300"/>
      <c r="J895" s="300"/>
      <c r="K895" s="300"/>
      <c r="L895" s="300"/>
      <c r="M895" s="300"/>
      <c r="N895" s="300"/>
      <c r="O895" s="300"/>
      <c r="P895" s="300"/>
      <c r="Q895" s="300"/>
      <c r="R895" s="300"/>
      <c r="S895" s="300"/>
      <c r="T895" s="300"/>
      <c r="U895" s="300"/>
      <c r="V895" s="300"/>
      <c r="W895" s="300"/>
      <c r="X895" s="300"/>
      <c r="Y895" s="300"/>
      <c r="Z895" s="300"/>
    </row>
    <row r="896" spans="1:26">
      <c r="A896" s="215"/>
      <c r="B896" s="207">
        <v>17</v>
      </c>
      <c r="C896" s="215" t="s">
        <v>4807</v>
      </c>
      <c r="D896" s="215" t="s">
        <v>8541</v>
      </c>
      <c r="E896" s="215" t="s">
        <v>8542</v>
      </c>
      <c r="F896" s="215" t="s">
        <v>8543</v>
      </c>
      <c r="G896" s="215" t="s">
        <v>8544</v>
      </c>
      <c r="H896" s="215" t="s">
        <v>6548</v>
      </c>
      <c r="I896" s="300"/>
      <c r="J896" s="300"/>
      <c r="K896" s="300"/>
      <c r="L896" s="300"/>
      <c r="M896" s="300"/>
      <c r="N896" s="300"/>
      <c r="O896" s="300"/>
      <c r="P896" s="300"/>
      <c r="Q896" s="300"/>
      <c r="R896" s="300"/>
      <c r="S896" s="300"/>
      <c r="T896" s="300"/>
      <c r="U896" s="300"/>
      <c r="V896" s="300"/>
      <c r="W896" s="300"/>
      <c r="X896" s="300"/>
      <c r="Y896" s="300"/>
      <c r="Z896" s="300"/>
    </row>
    <row r="897" spans="1:26">
      <c r="A897" s="215" t="s">
        <v>4114</v>
      </c>
      <c r="B897" s="207">
        <v>359</v>
      </c>
      <c r="C897" s="215" t="s">
        <v>8545</v>
      </c>
      <c r="D897" s="215" t="s">
        <v>8546</v>
      </c>
      <c r="E897" s="215" t="s">
        <v>8547</v>
      </c>
      <c r="F897" s="215" t="s">
        <v>8548</v>
      </c>
      <c r="G897" s="215" t="s">
        <v>8549</v>
      </c>
      <c r="H897" s="215" t="s">
        <v>6504</v>
      </c>
      <c r="I897" s="300"/>
      <c r="J897" s="300"/>
      <c r="K897" s="300"/>
      <c r="L897" s="300"/>
      <c r="M897" s="300"/>
      <c r="N897" s="300"/>
      <c r="O897" s="300"/>
      <c r="P897" s="300"/>
      <c r="Q897" s="300"/>
      <c r="R897" s="300"/>
      <c r="S897" s="300"/>
      <c r="T897" s="300"/>
      <c r="U897" s="300"/>
      <c r="V897" s="300"/>
      <c r="W897" s="300"/>
      <c r="X897" s="300"/>
      <c r="Y897" s="300"/>
      <c r="Z897" s="300"/>
    </row>
    <row r="898" spans="1:26">
      <c r="A898" s="215"/>
      <c r="B898" s="207">
        <v>371</v>
      </c>
      <c r="C898" s="215" t="s">
        <v>8550</v>
      </c>
      <c r="D898" s="215"/>
      <c r="E898" s="215"/>
      <c r="F898" s="215" t="s">
        <v>8548</v>
      </c>
      <c r="G898" s="215" t="s">
        <v>8549</v>
      </c>
      <c r="H898" s="215" t="s">
        <v>6548</v>
      </c>
      <c r="I898" s="300"/>
      <c r="J898" s="300"/>
      <c r="K898" s="300"/>
      <c r="L898" s="300"/>
      <c r="M898" s="300"/>
      <c r="N898" s="300"/>
      <c r="O898" s="300"/>
      <c r="P898" s="300"/>
      <c r="Q898" s="300"/>
      <c r="R898" s="300"/>
      <c r="S898" s="300"/>
      <c r="T898" s="300"/>
      <c r="U898" s="300"/>
      <c r="V898" s="300"/>
      <c r="W898" s="300"/>
      <c r="X898" s="300"/>
      <c r="Y898" s="300"/>
      <c r="Z898" s="300"/>
    </row>
    <row r="899" spans="1:26">
      <c r="A899" s="215" t="s">
        <v>4115</v>
      </c>
      <c r="B899" s="207">
        <v>412</v>
      </c>
      <c r="C899" s="215" t="s">
        <v>8551</v>
      </c>
      <c r="D899" s="215" t="s">
        <v>8552</v>
      </c>
      <c r="E899" s="215" t="s">
        <v>8553</v>
      </c>
      <c r="F899" s="215" t="s">
        <v>8554</v>
      </c>
      <c r="G899" s="215" t="s">
        <v>8555</v>
      </c>
      <c r="H899" s="215" t="s">
        <v>6504</v>
      </c>
      <c r="I899" s="300"/>
      <c r="J899" s="300"/>
      <c r="K899" s="300"/>
      <c r="L899" s="300"/>
      <c r="M899" s="300"/>
      <c r="N899" s="300"/>
      <c r="O899" s="300"/>
      <c r="P899" s="300"/>
      <c r="Q899" s="300"/>
      <c r="R899" s="300"/>
      <c r="S899" s="300"/>
      <c r="T899" s="300"/>
      <c r="U899" s="300"/>
      <c r="V899" s="300"/>
      <c r="W899" s="300"/>
      <c r="X899" s="300"/>
      <c r="Y899" s="300"/>
      <c r="Z899" s="300"/>
    </row>
    <row r="900" spans="1:26">
      <c r="A900" s="215" t="s">
        <v>4111</v>
      </c>
      <c r="B900" s="207">
        <v>393</v>
      </c>
      <c r="C900" s="215" t="s">
        <v>8556</v>
      </c>
      <c r="D900" s="215" t="s">
        <v>8557</v>
      </c>
      <c r="E900" s="215" t="s">
        <v>8558</v>
      </c>
      <c r="F900" s="215" t="s">
        <v>8559</v>
      </c>
      <c r="G900" s="215" t="s">
        <v>8560</v>
      </c>
      <c r="H900" s="215" t="s">
        <v>6500</v>
      </c>
      <c r="I900" s="300"/>
      <c r="J900" s="300"/>
      <c r="K900" s="300"/>
      <c r="L900" s="300"/>
      <c r="M900" s="300"/>
      <c r="N900" s="300"/>
      <c r="O900" s="300"/>
      <c r="P900" s="300"/>
      <c r="Q900" s="300"/>
      <c r="R900" s="300"/>
      <c r="S900" s="300"/>
      <c r="T900" s="300"/>
      <c r="U900" s="300"/>
      <c r="V900" s="300"/>
      <c r="W900" s="300"/>
      <c r="X900" s="300"/>
      <c r="Y900" s="300"/>
      <c r="Z900" s="300"/>
    </row>
    <row r="901" spans="1:26">
      <c r="A901" s="215" t="s">
        <v>3455</v>
      </c>
      <c r="B901" s="207">
        <v>327</v>
      </c>
      <c r="C901" s="215" t="s">
        <v>8561</v>
      </c>
      <c r="D901" s="215" t="s">
        <v>8562</v>
      </c>
      <c r="E901" s="215" t="s">
        <v>8563</v>
      </c>
      <c r="F901" s="215" t="s">
        <v>8564</v>
      </c>
      <c r="G901" s="215" t="s">
        <v>8565</v>
      </c>
      <c r="H901" s="215" t="s">
        <v>6500</v>
      </c>
      <c r="I901" s="300"/>
      <c r="J901" s="300"/>
      <c r="K901" s="300"/>
      <c r="L901" s="300"/>
      <c r="M901" s="300"/>
      <c r="N901" s="300"/>
      <c r="O901" s="300"/>
      <c r="P901" s="300"/>
      <c r="Q901" s="300"/>
      <c r="R901" s="300"/>
      <c r="S901" s="300"/>
      <c r="T901" s="300"/>
      <c r="U901" s="300"/>
      <c r="V901" s="300"/>
      <c r="W901" s="300"/>
      <c r="X901" s="300"/>
      <c r="Y901" s="300"/>
      <c r="Z901" s="300"/>
    </row>
    <row r="902" spans="1:26">
      <c r="A902" s="215" t="s">
        <v>3843</v>
      </c>
      <c r="B902" s="207">
        <v>396</v>
      </c>
      <c r="C902" s="215" t="s">
        <v>5918</v>
      </c>
      <c r="D902" s="215" t="s">
        <v>8566</v>
      </c>
      <c r="E902" s="215" t="s">
        <v>8567</v>
      </c>
      <c r="F902" s="215" t="s">
        <v>8564</v>
      </c>
      <c r="G902" s="215" t="s">
        <v>8565</v>
      </c>
      <c r="H902" s="215" t="s">
        <v>6500</v>
      </c>
      <c r="I902" s="300"/>
      <c r="J902" s="300"/>
      <c r="K902" s="300"/>
      <c r="L902" s="300"/>
      <c r="M902" s="300"/>
      <c r="N902" s="300"/>
      <c r="O902" s="300"/>
      <c r="P902" s="300"/>
      <c r="Q902" s="300"/>
      <c r="R902" s="300"/>
      <c r="S902" s="300"/>
      <c r="T902" s="300"/>
      <c r="U902" s="300"/>
      <c r="V902" s="300"/>
      <c r="W902" s="300"/>
      <c r="X902" s="300"/>
      <c r="Y902" s="300"/>
      <c r="Z902" s="300"/>
    </row>
    <row r="903" spans="1:26">
      <c r="A903" s="215" t="s">
        <v>4026</v>
      </c>
      <c r="B903" s="207">
        <v>2626</v>
      </c>
      <c r="C903" s="215" t="s">
        <v>6052</v>
      </c>
      <c r="D903" s="215" t="s">
        <v>8568</v>
      </c>
      <c r="E903" s="215" t="s">
        <v>8569</v>
      </c>
      <c r="F903" s="215" t="s">
        <v>5247</v>
      </c>
      <c r="G903" s="215" t="s">
        <v>8570</v>
      </c>
      <c r="H903" s="215" t="s">
        <v>6521</v>
      </c>
      <c r="I903" s="300"/>
      <c r="J903" s="300"/>
      <c r="K903" s="300"/>
      <c r="L903" s="300"/>
      <c r="M903" s="300"/>
      <c r="N903" s="300"/>
      <c r="O903" s="300"/>
      <c r="P903" s="300"/>
      <c r="Q903" s="300"/>
      <c r="R903" s="300"/>
      <c r="S903" s="300"/>
      <c r="T903" s="300"/>
      <c r="U903" s="300"/>
      <c r="V903" s="300"/>
      <c r="W903" s="300"/>
      <c r="X903" s="300"/>
      <c r="Y903" s="300"/>
      <c r="Z903" s="300"/>
    </row>
    <row r="904" spans="1:26">
      <c r="A904" s="215" t="s">
        <v>3830</v>
      </c>
      <c r="B904" s="207">
        <v>333</v>
      </c>
      <c r="C904" s="215" t="s">
        <v>5905</v>
      </c>
      <c r="D904" s="215" t="s">
        <v>8571</v>
      </c>
      <c r="E904" s="215" t="s">
        <v>8572</v>
      </c>
      <c r="F904" s="215" t="s">
        <v>8573</v>
      </c>
      <c r="G904" s="215" t="s">
        <v>8574</v>
      </c>
      <c r="H904" s="215" t="s">
        <v>6504</v>
      </c>
      <c r="I904" s="300"/>
      <c r="J904" s="300"/>
      <c r="K904" s="300"/>
      <c r="L904" s="300"/>
      <c r="M904" s="300"/>
      <c r="N904" s="300"/>
      <c r="O904" s="300"/>
      <c r="P904" s="300"/>
      <c r="Q904" s="300"/>
      <c r="R904" s="300"/>
      <c r="S904" s="300"/>
      <c r="T904" s="300"/>
      <c r="U904" s="300"/>
      <c r="V904" s="300"/>
      <c r="W904" s="300"/>
      <c r="X904" s="300"/>
      <c r="Y904" s="300"/>
      <c r="Z904" s="300"/>
    </row>
    <row r="905" spans="1:26">
      <c r="A905" s="215" t="s">
        <v>2849</v>
      </c>
      <c r="B905" s="207">
        <v>336</v>
      </c>
      <c r="C905" s="215" t="s">
        <v>5013</v>
      </c>
      <c r="D905" s="215" t="s">
        <v>8575</v>
      </c>
      <c r="E905" s="215" t="s">
        <v>8576</v>
      </c>
      <c r="F905" s="215" t="s">
        <v>8573</v>
      </c>
      <c r="G905" s="215" t="s">
        <v>8574</v>
      </c>
      <c r="H905" s="215" t="s">
        <v>6504</v>
      </c>
      <c r="I905" s="300"/>
      <c r="J905" s="300"/>
      <c r="K905" s="300"/>
      <c r="L905" s="300"/>
      <c r="M905" s="300"/>
      <c r="N905" s="300"/>
      <c r="O905" s="300"/>
      <c r="P905" s="300"/>
      <c r="Q905" s="300"/>
      <c r="R905" s="300"/>
      <c r="S905" s="300"/>
      <c r="T905" s="300"/>
      <c r="U905" s="300"/>
      <c r="V905" s="300"/>
      <c r="W905" s="300"/>
      <c r="X905" s="300"/>
      <c r="Y905" s="300"/>
      <c r="Z905" s="300"/>
    </row>
    <row r="906" spans="1:26">
      <c r="A906" s="215" t="s">
        <v>1360</v>
      </c>
      <c r="B906" s="207">
        <v>355</v>
      </c>
      <c r="C906" s="215" t="s">
        <v>5254</v>
      </c>
      <c r="D906" s="215" t="s">
        <v>8577</v>
      </c>
      <c r="E906" s="215" t="s">
        <v>8577</v>
      </c>
      <c r="F906" s="215" t="s">
        <v>8573</v>
      </c>
      <c r="G906" s="215" t="s">
        <v>8574</v>
      </c>
      <c r="H906" s="215" t="s">
        <v>6504</v>
      </c>
      <c r="I906" s="300"/>
      <c r="J906" s="300"/>
      <c r="K906" s="300"/>
      <c r="L906" s="300"/>
      <c r="M906" s="300"/>
      <c r="N906" s="300"/>
      <c r="O906" s="300"/>
      <c r="P906" s="300"/>
      <c r="Q906" s="300"/>
      <c r="R906" s="300"/>
      <c r="S906" s="300"/>
      <c r="T906" s="300"/>
      <c r="U906" s="300"/>
      <c r="V906" s="300"/>
      <c r="W906" s="300"/>
      <c r="X906" s="300"/>
      <c r="Y906" s="300"/>
      <c r="Z906" s="300"/>
    </row>
    <row r="907" spans="1:26">
      <c r="A907" s="215" t="s">
        <v>3830</v>
      </c>
      <c r="B907" s="207">
        <v>375</v>
      </c>
      <c r="C907" s="215" t="s">
        <v>8578</v>
      </c>
      <c r="D907" s="215" t="s">
        <v>8579</v>
      </c>
      <c r="E907" s="215" t="s">
        <v>8580</v>
      </c>
      <c r="F907" s="215" t="s">
        <v>8573</v>
      </c>
      <c r="G907" s="215" t="s">
        <v>8574</v>
      </c>
      <c r="H907" s="215" t="s">
        <v>6504</v>
      </c>
      <c r="I907" s="300"/>
      <c r="J907" s="300"/>
      <c r="K907" s="300"/>
      <c r="L907" s="300"/>
      <c r="M907" s="300"/>
      <c r="N907" s="300"/>
      <c r="O907" s="300"/>
      <c r="P907" s="300"/>
      <c r="Q907" s="300"/>
      <c r="R907" s="300"/>
      <c r="S907" s="300"/>
      <c r="T907" s="300"/>
      <c r="U907" s="300"/>
      <c r="V907" s="300"/>
      <c r="W907" s="300"/>
      <c r="X907" s="300"/>
      <c r="Y907" s="300"/>
      <c r="Z907" s="300"/>
    </row>
    <row r="908" spans="1:26">
      <c r="A908" s="215" t="s">
        <v>3830</v>
      </c>
      <c r="B908" s="207">
        <v>378</v>
      </c>
      <c r="C908" s="215" t="s">
        <v>5907</v>
      </c>
      <c r="D908" s="215" t="s">
        <v>8581</v>
      </c>
      <c r="E908" s="215" t="s">
        <v>8582</v>
      </c>
      <c r="F908" s="215" t="s">
        <v>8573</v>
      </c>
      <c r="G908" s="215" t="s">
        <v>8574</v>
      </c>
      <c r="H908" s="215" t="s">
        <v>6504</v>
      </c>
      <c r="I908" s="300"/>
      <c r="J908" s="300"/>
      <c r="K908" s="300"/>
      <c r="L908" s="300"/>
      <c r="M908" s="300"/>
      <c r="N908" s="300"/>
      <c r="O908" s="300"/>
      <c r="P908" s="300"/>
      <c r="Q908" s="300"/>
      <c r="R908" s="300"/>
      <c r="S908" s="300"/>
      <c r="T908" s="300"/>
      <c r="U908" s="300"/>
      <c r="V908" s="300"/>
      <c r="W908" s="300"/>
      <c r="X908" s="300"/>
      <c r="Y908" s="300"/>
      <c r="Z908" s="300"/>
    </row>
    <row r="909" spans="1:26">
      <c r="A909" s="215" t="s">
        <v>8583</v>
      </c>
      <c r="B909" s="207">
        <v>392</v>
      </c>
      <c r="C909" s="215" t="s">
        <v>5255</v>
      </c>
      <c r="D909" s="215" t="s">
        <v>8584</v>
      </c>
      <c r="E909" s="215" t="s">
        <v>8585</v>
      </c>
      <c r="F909" s="215" t="s">
        <v>8573</v>
      </c>
      <c r="G909" s="215" t="s">
        <v>8574</v>
      </c>
      <c r="H909" s="215" t="s">
        <v>6504</v>
      </c>
      <c r="I909" s="300"/>
      <c r="J909" s="300"/>
      <c r="K909" s="300"/>
      <c r="L909" s="300"/>
      <c r="M909" s="300"/>
      <c r="N909" s="300"/>
      <c r="O909" s="300"/>
      <c r="P909" s="300"/>
      <c r="Q909" s="300"/>
      <c r="R909" s="300"/>
      <c r="S909" s="300"/>
      <c r="T909" s="300"/>
      <c r="U909" s="300"/>
      <c r="V909" s="300"/>
      <c r="W909" s="300"/>
      <c r="X909" s="300"/>
      <c r="Y909" s="300"/>
      <c r="Z909" s="300"/>
    </row>
    <row r="910" spans="1:26">
      <c r="A910" s="215" t="s">
        <v>1360</v>
      </c>
      <c r="B910" s="207">
        <v>402</v>
      </c>
      <c r="C910" s="215" t="s">
        <v>8586</v>
      </c>
      <c r="D910" s="215" t="s">
        <v>8587</v>
      </c>
      <c r="E910" s="215" t="s">
        <v>8588</v>
      </c>
      <c r="F910" s="215" t="s">
        <v>8573</v>
      </c>
      <c r="G910" s="215" t="s">
        <v>8574</v>
      </c>
      <c r="H910" s="215" t="s">
        <v>6504</v>
      </c>
      <c r="I910" s="300"/>
      <c r="J910" s="300"/>
      <c r="K910" s="300"/>
      <c r="L910" s="300"/>
      <c r="M910" s="300"/>
      <c r="N910" s="300"/>
      <c r="O910" s="300"/>
      <c r="P910" s="300"/>
      <c r="Q910" s="300"/>
      <c r="R910" s="300"/>
      <c r="S910" s="300"/>
      <c r="T910" s="300"/>
      <c r="U910" s="300"/>
      <c r="V910" s="300"/>
      <c r="W910" s="300"/>
      <c r="X910" s="300"/>
      <c r="Y910" s="300"/>
      <c r="Z910" s="300"/>
    </row>
    <row r="911" spans="1:26">
      <c r="A911" s="215" t="s">
        <v>3830</v>
      </c>
      <c r="B911" s="207">
        <v>404</v>
      </c>
      <c r="C911" s="215" t="s">
        <v>5908</v>
      </c>
      <c r="D911" s="215" t="s">
        <v>8589</v>
      </c>
      <c r="E911" s="215" t="s">
        <v>8590</v>
      </c>
      <c r="F911" s="215" t="s">
        <v>8573</v>
      </c>
      <c r="G911" s="215" t="s">
        <v>8574</v>
      </c>
      <c r="H911" s="215" t="s">
        <v>6504</v>
      </c>
      <c r="I911" s="300"/>
      <c r="J911" s="300"/>
      <c r="K911" s="300"/>
      <c r="L911" s="300"/>
      <c r="M911" s="300"/>
      <c r="N911" s="300"/>
      <c r="O911" s="300"/>
      <c r="P911" s="300"/>
      <c r="Q911" s="300"/>
      <c r="R911" s="300"/>
      <c r="S911" s="300"/>
      <c r="T911" s="300"/>
      <c r="U911" s="300"/>
      <c r="V911" s="300"/>
      <c r="W911" s="300"/>
      <c r="X911" s="300"/>
      <c r="Y911" s="300"/>
      <c r="Z911" s="300"/>
    </row>
    <row r="912" spans="1:26">
      <c r="A912" s="215" t="s">
        <v>1360</v>
      </c>
      <c r="B912" s="207">
        <v>1521</v>
      </c>
      <c r="C912" s="215" t="s">
        <v>8591</v>
      </c>
      <c r="D912" s="215" t="s">
        <v>8592</v>
      </c>
      <c r="E912" s="215" t="s">
        <v>8593</v>
      </c>
      <c r="F912" s="215" t="s">
        <v>8573</v>
      </c>
      <c r="G912" s="215" t="s">
        <v>8574</v>
      </c>
      <c r="H912" s="215" t="s">
        <v>6504</v>
      </c>
      <c r="I912" s="300"/>
      <c r="J912" s="300"/>
      <c r="K912" s="300"/>
      <c r="L912" s="300"/>
      <c r="M912" s="300"/>
      <c r="N912" s="300"/>
      <c r="O912" s="300"/>
      <c r="P912" s="300"/>
      <c r="Q912" s="300"/>
      <c r="R912" s="300"/>
      <c r="S912" s="300"/>
      <c r="T912" s="300"/>
      <c r="U912" s="300"/>
      <c r="V912" s="300"/>
      <c r="W912" s="300"/>
      <c r="X912" s="300"/>
      <c r="Y912" s="300"/>
      <c r="Z912" s="300"/>
    </row>
    <row r="913" spans="1:26">
      <c r="A913" s="215" t="s">
        <v>1360</v>
      </c>
      <c r="B913" s="207">
        <v>1522</v>
      </c>
      <c r="C913" s="215" t="s">
        <v>5253</v>
      </c>
      <c r="D913" s="215" t="s">
        <v>8594</v>
      </c>
      <c r="E913" s="215" t="s">
        <v>8595</v>
      </c>
      <c r="F913" s="215" t="s">
        <v>8596</v>
      </c>
      <c r="G913" s="215" t="s">
        <v>8597</v>
      </c>
      <c r="H913" s="215" t="s">
        <v>6504</v>
      </c>
      <c r="I913" s="300"/>
      <c r="J913" s="300"/>
      <c r="K913" s="300"/>
      <c r="L913" s="300"/>
      <c r="M913" s="300"/>
      <c r="N913" s="300"/>
      <c r="O913" s="300"/>
      <c r="P913" s="300"/>
      <c r="Q913" s="300"/>
      <c r="R913" s="300"/>
      <c r="S913" s="300"/>
      <c r="T913" s="300"/>
      <c r="U913" s="300"/>
      <c r="V913" s="300"/>
      <c r="W913" s="300"/>
      <c r="X913" s="300"/>
      <c r="Y913" s="300"/>
      <c r="Z913" s="300"/>
    </row>
    <row r="914" spans="1:26">
      <c r="A914" s="215" t="s">
        <v>2987</v>
      </c>
      <c r="B914" s="207">
        <v>340</v>
      </c>
      <c r="C914" s="215" t="s">
        <v>5134</v>
      </c>
      <c r="D914" s="215" t="s">
        <v>8598</v>
      </c>
      <c r="E914" s="215" t="s">
        <v>8599</v>
      </c>
      <c r="F914" s="215" t="s">
        <v>8600</v>
      </c>
      <c r="G914" s="215" t="s">
        <v>8601</v>
      </c>
      <c r="H914" s="215" t="s">
        <v>6500</v>
      </c>
      <c r="I914" s="300"/>
      <c r="J914" s="300"/>
      <c r="K914" s="300"/>
      <c r="L914" s="300"/>
      <c r="M914" s="300"/>
      <c r="N914" s="300"/>
      <c r="O914" s="300"/>
      <c r="P914" s="300"/>
      <c r="Q914" s="300"/>
      <c r="R914" s="300"/>
      <c r="S914" s="300"/>
      <c r="T914" s="300"/>
      <c r="U914" s="300"/>
      <c r="V914" s="300"/>
      <c r="W914" s="300"/>
      <c r="X914" s="300"/>
      <c r="Y914" s="300"/>
      <c r="Z914" s="300"/>
    </row>
    <row r="915" spans="1:26">
      <c r="A915" s="215" t="s">
        <v>3830</v>
      </c>
      <c r="B915" s="207">
        <v>365</v>
      </c>
      <c r="C915" s="215" t="s">
        <v>5904</v>
      </c>
      <c r="D915" s="215" t="s">
        <v>8602</v>
      </c>
      <c r="E915" s="215" t="s">
        <v>8603</v>
      </c>
      <c r="F915" s="215" t="s">
        <v>8600</v>
      </c>
      <c r="G915" s="215" t="s">
        <v>8601</v>
      </c>
      <c r="H915" s="215" t="s">
        <v>6500</v>
      </c>
      <c r="I915" s="300"/>
      <c r="J915" s="300"/>
      <c r="K915" s="300"/>
      <c r="L915" s="300"/>
      <c r="M915" s="300"/>
      <c r="N915" s="300"/>
      <c r="O915" s="300"/>
      <c r="P915" s="300"/>
      <c r="Q915" s="300"/>
      <c r="R915" s="300"/>
      <c r="S915" s="300"/>
      <c r="T915" s="300"/>
      <c r="U915" s="300"/>
      <c r="V915" s="300"/>
      <c r="W915" s="300"/>
      <c r="X915" s="300"/>
      <c r="Y915" s="300"/>
      <c r="Z915" s="300"/>
    </row>
    <row r="916" spans="1:26">
      <c r="A916" s="215" t="s">
        <v>3118</v>
      </c>
      <c r="B916" s="207">
        <v>366</v>
      </c>
      <c r="C916" s="215" t="s">
        <v>5260</v>
      </c>
      <c r="D916" s="215" t="s">
        <v>5259</v>
      </c>
      <c r="E916" s="215" t="s">
        <v>8604</v>
      </c>
      <c r="F916" s="215" t="s">
        <v>8605</v>
      </c>
      <c r="G916" s="215" t="s">
        <v>8606</v>
      </c>
      <c r="H916" s="215" t="s">
        <v>6500</v>
      </c>
      <c r="I916" s="300"/>
      <c r="J916" s="300"/>
      <c r="K916" s="300"/>
      <c r="L916" s="300"/>
      <c r="M916" s="300"/>
      <c r="N916" s="300"/>
      <c r="O916" s="300"/>
      <c r="P916" s="300"/>
      <c r="Q916" s="300"/>
      <c r="R916" s="300"/>
      <c r="S916" s="300"/>
      <c r="T916" s="300"/>
      <c r="U916" s="300"/>
      <c r="V916" s="300"/>
      <c r="W916" s="300"/>
      <c r="X916" s="300"/>
      <c r="Y916" s="300"/>
      <c r="Z916" s="300"/>
    </row>
    <row r="917" spans="1:26">
      <c r="A917" s="215" t="s">
        <v>3537</v>
      </c>
      <c r="B917" s="207">
        <v>377</v>
      </c>
      <c r="C917" s="215" t="s">
        <v>5646</v>
      </c>
      <c r="D917" s="215" t="s">
        <v>8607</v>
      </c>
      <c r="E917" s="215" t="s">
        <v>8608</v>
      </c>
      <c r="F917" s="215" t="s">
        <v>8609</v>
      </c>
      <c r="G917" s="215" t="s">
        <v>8610</v>
      </c>
      <c r="H917" s="215" t="s">
        <v>6500</v>
      </c>
      <c r="I917" s="300"/>
      <c r="J917" s="300"/>
      <c r="K917" s="300"/>
      <c r="L917" s="300"/>
      <c r="M917" s="300"/>
      <c r="N917" s="300"/>
      <c r="O917" s="300"/>
      <c r="P917" s="300"/>
      <c r="Q917" s="300"/>
      <c r="R917" s="300"/>
      <c r="S917" s="300"/>
      <c r="T917" s="300"/>
      <c r="U917" s="300"/>
      <c r="V917" s="300"/>
      <c r="W917" s="300"/>
      <c r="X917" s="300"/>
      <c r="Y917" s="300"/>
      <c r="Z917" s="300"/>
    </row>
    <row r="918" spans="1:26">
      <c r="A918" s="215" t="s">
        <v>3110</v>
      </c>
      <c r="B918" s="207">
        <v>1027</v>
      </c>
      <c r="C918" s="215" t="s">
        <v>5242</v>
      </c>
      <c r="D918" s="215" t="s">
        <v>8611</v>
      </c>
      <c r="E918" s="215" t="s">
        <v>8612</v>
      </c>
      <c r="F918" s="215" t="s">
        <v>8613</v>
      </c>
      <c r="G918" s="215" t="s">
        <v>8614</v>
      </c>
      <c r="H918" s="215" t="s">
        <v>6521</v>
      </c>
      <c r="I918" s="300"/>
      <c r="J918" s="300"/>
      <c r="K918" s="300"/>
      <c r="L918" s="300"/>
      <c r="M918" s="300"/>
      <c r="N918" s="300"/>
      <c r="O918" s="300"/>
      <c r="P918" s="300"/>
      <c r="Q918" s="300"/>
      <c r="R918" s="300"/>
      <c r="S918" s="300"/>
      <c r="T918" s="300"/>
      <c r="U918" s="300"/>
      <c r="V918" s="300"/>
      <c r="W918" s="300"/>
      <c r="X918" s="300"/>
      <c r="Y918" s="300"/>
      <c r="Z918" s="300"/>
    </row>
    <row r="919" spans="1:26">
      <c r="A919" s="215" t="s">
        <v>3437</v>
      </c>
      <c r="B919" s="207">
        <v>2338</v>
      </c>
      <c r="C919" s="215" t="s">
        <v>5557</v>
      </c>
      <c r="D919" s="215" t="s">
        <v>8615</v>
      </c>
      <c r="E919" s="215" t="s">
        <v>8615</v>
      </c>
      <c r="F919" s="215" t="s">
        <v>8616</v>
      </c>
      <c r="G919" s="215" t="s">
        <v>8617</v>
      </c>
      <c r="H919" s="215" t="s">
        <v>6504</v>
      </c>
      <c r="I919" s="300"/>
      <c r="J919" s="300"/>
      <c r="K919" s="300"/>
      <c r="L919" s="300"/>
      <c r="M919" s="300"/>
      <c r="N919" s="300"/>
      <c r="O919" s="300"/>
      <c r="P919" s="300"/>
      <c r="Q919" s="300"/>
      <c r="R919" s="300"/>
      <c r="S919" s="300"/>
      <c r="T919" s="300"/>
      <c r="U919" s="300"/>
      <c r="V919" s="300"/>
      <c r="W919" s="300"/>
      <c r="X919" s="300"/>
      <c r="Y919" s="300"/>
      <c r="Z919" s="300"/>
    </row>
    <row r="920" spans="1:26">
      <c r="A920" s="215" t="s">
        <v>3630</v>
      </c>
      <c r="B920" s="207">
        <v>2340</v>
      </c>
      <c r="C920" s="215" t="s">
        <v>5726</v>
      </c>
      <c r="D920" s="215" t="s">
        <v>8618</v>
      </c>
      <c r="E920" s="215" t="s">
        <v>8619</v>
      </c>
      <c r="F920" s="215" t="s">
        <v>8616</v>
      </c>
      <c r="G920" s="215" t="s">
        <v>8617</v>
      </c>
      <c r="H920" s="215" t="s">
        <v>6497</v>
      </c>
      <c r="I920" s="300"/>
      <c r="J920" s="300"/>
      <c r="K920" s="300"/>
      <c r="L920" s="300"/>
      <c r="M920" s="300"/>
      <c r="N920" s="300"/>
      <c r="O920" s="300"/>
      <c r="P920" s="300"/>
      <c r="Q920" s="300"/>
      <c r="R920" s="300"/>
      <c r="S920" s="300"/>
      <c r="T920" s="300"/>
      <c r="U920" s="300"/>
      <c r="V920" s="300"/>
      <c r="W920" s="300"/>
      <c r="X920" s="300"/>
      <c r="Y920" s="300"/>
      <c r="Z920" s="300"/>
    </row>
    <row r="921" spans="1:26">
      <c r="A921" s="215" t="s">
        <v>3681</v>
      </c>
      <c r="B921" s="207">
        <v>2341</v>
      </c>
      <c r="C921" s="215" t="s">
        <v>5769</v>
      </c>
      <c r="D921" s="215" t="s">
        <v>8620</v>
      </c>
      <c r="E921" s="215" t="s">
        <v>8620</v>
      </c>
      <c r="F921" s="215" t="s">
        <v>8616</v>
      </c>
      <c r="G921" s="215" t="s">
        <v>8617</v>
      </c>
      <c r="H921" s="215" t="s">
        <v>6500</v>
      </c>
      <c r="I921" s="300"/>
      <c r="J921" s="300"/>
      <c r="K921" s="300"/>
      <c r="L921" s="300"/>
      <c r="M921" s="300"/>
      <c r="N921" s="300"/>
      <c r="O921" s="300"/>
      <c r="P921" s="300"/>
      <c r="Q921" s="300"/>
      <c r="R921" s="300"/>
      <c r="S921" s="300"/>
      <c r="T921" s="300"/>
      <c r="U921" s="300"/>
      <c r="V921" s="300"/>
      <c r="W921" s="300"/>
      <c r="X921" s="300"/>
      <c r="Y921" s="300"/>
      <c r="Z921" s="300"/>
    </row>
    <row r="922" spans="1:26">
      <c r="A922" s="215" t="s">
        <v>3786</v>
      </c>
      <c r="B922" s="207">
        <v>2342</v>
      </c>
      <c r="C922" s="215" t="s">
        <v>5861</v>
      </c>
      <c r="D922" s="215" t="s">
        <v>8621</v>
      </c>
      <c r="E922" s="215" t="s">
        <v>8621</v>
      </c>
      <c r="F922" s="215" t="s">
        <v>8616</v>
      </c>
      <c r="G922" s="215" t="s">
        <v>8617</v>
      </c>
      <c r="H922" s="215" t="s">
        <v>6504</v>
      </c>
      <c r="I922" s="300"/>
      <c r="J922" s="300"/>
      <c r="K922" s="300"/>
      <c r="L922" s="300"/>
      <c r="M922" s="300"/>
      <c r="N922" s="300"/>
      <c r="O922" s="300"/>
      <c r="P922" s="300"/>
      <c r="Q922" s="300"/>
      <c r="R922" s="300"/>
      <c r="S922" s="300"/>
      <c r="T922" s="300"/>
      <c r="U922" s="300"/>
      <c r="V922" s="300"/>
      <c r="W922" s="300"/>
      <c r="X922" s="300"/>
      <c r="Y922" s="300"/>
      <c r="Z922" s="300"/>
    </row>
    <row r="923" spans="1:26">
      <c r="A923" s="215" t="s">
        <v>3774</v>
      </c>
      <c r="B923" s="207">
        <v>2343</v>
      </c>
      <c r="C923" s="215" t="s">
        <v>5853</v>
      </c>
      <c r="D923" s="215" t="s">
        <v>8622</v>
      </c>
      <c r="E923" s="215" t="s">
        <v>8622</v>
      </c>
      <c r="F923" s="215" t="s">
        <v>8616</v>
      </c>
      <c r="G923" s="215" t="s">
        <v>8617</v>
      </c>
      <c r="H923" s="215" t="s">
        <v>6500</v>
      </c>
      <c r="I923" s="300"/>
      <c r="J923" s="300"/>
      <c r="K923" s="300"/>
      <c r="L923" s="300"/>
      <c r="M923" s="300"/>
      <c r="N923" s="300"/>
      <c r="O923" s="300"/>
      <c r="P923" s="300"/>
      <c r="Q923" s="300"/>
      <c r="R923" s="300"/>
      <c r="S923" s="300"/>
      <c r="T923" s="300"/>
      <c r="U923" s="300"/>
      <c r="V923" s="300"/>
      <c r="W923" s="300"/>
      <c r="X923" s="300"/>
      <c r="Y923" s="300"/>
      <c r="Z923" s="300"/>
    </row>
    <row r="924" spans="1:26">
      <c r="A924" s="215" t="s">
        <v>3909</v>
      </c>
      <c r="B924" s="207">
        <v>2344</v>
      </c>
      <c r="C924" s="215" t="s">
        <v>8623</v>
      </c>
      <c r="D924" s="215" t="s">
        <v>8624</v>
      </c>
      <c r="E924" s="215" t="s">
        <v>8625</v>
      </c>
      <c r="F924" s="215" t="s">
        <v>8616</v>
      </c>
      <c r="G924" s="215" t="s">
        <v>8617</v>
      </c>
      <c r="H924" s="215" t="s">
        <v>6504</v>
      </c>
      <c r="I924" s="300"/>
      <c r="J924" s="300"/>
      <c r="K924" s="300"/>
      <c r="L924" s="300"/>
      <c r="M924" s="300"/>
      <c r="N924" s="300"/>
      <c r="O924" s="300"/>
      <c r="P924" s="300"/>
      <c r="Q924" s="300"/>
      <c r="R924" s="300"/>
      <c r="S924" s="300"/>
      <c r="T924" s="300"/>
      <c r="U924" s="300"/>
      <c r="V924" s="300"/>
      <c r="W924" s="300"/>
      <c r="X924" s="300"/>
      <c r="Y924" s="300"/>
      <c r="Z924" s="300"/>
    </row>
    <row r="925" spans="1:26">
      <c r="A925" s="215" t="s">
        <v>3920</v>
      </c>
      <c r="B925" s="207">
        <v>2345</v>
      </c>
      <c r="C925" s="215" t="s">
        <v>5967</v>
      </c>
      <c r="D925" s="215" t="s">
        <v>8626</v>
      </c>
      <c r="E925" s="215" t="s">
        <v>8627</v>
      </c>
      <c r="F925" s="215" t="s">
        <v>8616</v>
      </c>
      <c r="G925" s="215" t="s">
        <v>8617</v>
      </c>
      <c r="H925" s="215" t="s">
        <v>6504</v>
      </c>
      <c r="I925" s="300"/>
      <c r="J925" s="300"/>
      <c r="K925" s="300"/>
      <c r="L925" s="300"/>
      <c r="M925" s="300"/>
      <c r="N925" s="300"/>
      <c r="O925" s="300"/>
      <c r="P925" s="300"/>
      <c r="Q925" s="300"/>
      <c r="R925" s="300"/>
      <c r="S925" s="300"/>
      <c r="T925" s="300"/>
      <c r="U925" s="300"/>
      <c r="V925" s="300"/>
      <c r="W925" s="300"/>
      <c r="X925" s="300"/>
      <c r="Y925" s="300"/>
      <c r="Z925" s="300"/>
    </row>
    <row r="926" spans="1:26">
      <c r="A926" s="215" t="s">
        <v>3973</v>
      </c>
      <c r="B926" s="207">
        <v>2346</v>
      </c>
      <c r="C926" s="215" t="s">
        <v>6009</v>
      </c>
      <c r="D926" s="215" t="s">
        <v>8628</v>
      </c>
      <c r="E926" s="215" t="s">
        <v>8628</v>
      </c>
      <c r="F926" s="215" t="s">
        <v>8616</v>
      </c>
      <c r="G926" s="215" t="s">
        <v>8617</v>
      </c>
      <c r="H926" s="215" t="s">
        <v>6504</v>
      </c>
      <c r="I926" s="300"/>
      <c r="J926" s="300"/>
      <c r="K926" s="300"/>
      <c r="L926" s="300"/>
      <c r="M926" s="300"/>
      <c r="N926" s="300"/>
      <c r="O926" s="300"/>
      <c r="P926" s="300"/>
      <c r="Q926" s="300"/>
      <c r="R926" s="300"/>
      <c r="S926" s="300"/>
      <c r="T926" s="300"/>
      <c r="U926" s="300"/>
      <c r="V926" s="300"/>
      <c r="W926" s="300"/>
      <c r="X926" s="300"/>
      <c r="Y926" s="300"/>
      <c r="Z926" s="300"/>
    </row>
    <row r="927" spans="1:26">
      <c r="A927" s="215" t="s">
        <v>4158</v>
      </c>
      <c r="B927" s="207">
        <v>2347</v>
      </c>
      <c r="C927" s="215" t="s">
        <v>6145</v>
      </c>
      <c r="D927" s="215" t="s">
        <v>8629</v>
      </c>
      <c r="E927" s="215" t="s">
        <v>8630</v>
      </c>
      <c r="F927" s="215" t="s">
        <v>8616</v>
      </c>
      <c r="G927" s="215" t="s">
        <v>8617</v>
      </c>
      <c r="H927" s="215" t="s">
        <v>6504</v>
      </c>
      <c r="I927" s="300"/>
      <c r="J927" s="300"/>
      <c r="K927" s="300"/>
      <c r="L927" s="300"/>
      <c r="M927" s="300"/>
      <c r="N927" s="300"/>
      <c r="O927" s="300"/>
      <c r="P927" s="300"/>
      <c r="Q927" s="300"/>
      <c r="R927" s="300"/>
      <c r="S927" s="300"/>
      <c r="T927" s="300"/>
      <c r="U927" s="300"/>
      <c r="V927" s="300"/>
      <c r="W927" s="300"/>
      <c r="X927" s="300"/>
      <c r="Y927" s="300"/>
      <c r="Z927" s="300"/>
    </row>
    <row r="928" spans="1:26">
      <c r="A928" s="215" t="s">
        <v>4440</v>
      </c>
      <c r="B928" s="207">
        <v>2348</v>
      </c>
      <c r="C928" s="215" t="s">
        <v>6372</v>
      </c>
      <c r="D928" s="215" t="s">
        <v>8631</v>
      </c>
      <c r="E928" s="215" t="s">
        <v>8632</v>
      </c>
      <c r="F928" s="215" t="s">
        <v>8616</v>
      </c>
      <c r="G928" s="215" t="s">
        <v>8617</v>
      </c>
      <c r="H928" s="215" t="s">
        <v>6504</v>
      </c>
      <c r="I928" s="300"/>
      <c r="J928" s="300"/>
      <c r="K928" s="300"/>
      <c r="L928" s="300"/>
      <c r="M928" s="300"/>
      <c r="N928" s="300"/>
      <c r="O928" s="300"/>
      <c r="P928" s="300"/>
      <c r="Q928" s="300"/>
      <c r="R928" s="300"/>
      <c r="S928" s="300"/>
      <c r="T928" s="300"/>
      <c r="U928" s="300"/>
      <c r="V928" s="300"/>
      <c r="W928" s="300"/>
      <c r="X928" s="300"/>
      <c r="Y928" s="300"/>
      <c r="Z928" s="300"/>
    </row>
    <row r="929" spans="1:26">
      <c r="A929" s="215" t="s">
        <v>4363</v>
      </c>
      <c r="B929" s="207">
        <v>2349</v>
      </c>
      <c r="C929" s="215" t="s">
        <v>6312</v>
      </c>
      <c r="D929" s="215" t="s">
        <v>8633</v>
      </c>
      <c r="E929" s="215" t="s">
        <v>8634</v>
      </c>
      <c r="F929" s="215" t="s">
        <v>8616</v>
      </c>
      <c r="G929" s="215" t="s">
        <v>8617</v>
      </c>
      <c r="H929" s="215" t="s">
        <v>6504</v>
      </c>
      <c r="I929" s="300"/>
      <c r="J929" s="300"/>
      <c r="K929" s="300"/>
      <c r="L929" s="300"/>
      <c r="M929" s="300"/>
      <c r="N929" s="300"/>
      <c r="O929" s="300"/>
      <c r="P929" s="300"/>
      <c r="Q929" s="300"/>
      <c r="R929" s="300"/>
      <c r="S929" s="300"/>
      <c r="T929" s="300"/>
      <c r="U929" s="300"/>
      <c r="V929" s="300"/>
      <c r="W929" s="300"/>
      <c r="X929" s="300"/>
      <c r="Y929" s="300"/>
      <c r="Z929" s="300"/>
    </row>
    <row r="930" spans="1:26">
      <c r="A930" s="215"/>
      <c r="B930" s="207">
        <v>2625</v>
      </c>
      <c r="C930" s="215" t="s">
        <v>8635</v>
      </c>
      <c r="D930" s="215" t="s">
        <v>8636</v>
      </c>
      <c r="E930" s="215" t="s">
        <v>8637</v>
      </c>
      <c r="F930" s="215" t="s">
        <v>8616</v>
      </c>
      <c r="G930" s="215" t="s">
        <v>8617</v>
      </c>
      <c r="H930" s="215" t="s">
        <v>6500</v>
      </c>
      <c r="I930" s="300"/>
      <c r="J930" s="300"/>
      <c r="K930" s="300"/>
      <c r="L930" s="300"/>
      <c r="M930" s="300"/>
      <c r="N930" s="300"/>
      <c r="O930" s="300"/>
      <c r="P930" s="300"/>
      <c r="Q930" s="300"/>
      <c r="R930" s="300"/>
      <c r="S930" s="300"/>
      <c r="T930" s="300"/>
      <c r="U930" s="300"/>
      <c r="V930" s="300"/>
      <c r="W930" s="300"/>
      <c r="X930" s="300"/>
      <c r="Y930" s="300"/>
      <c r="Z930" s="300"/>
    </row>
    <row r="931" spans="1:26">
      <c r="A931" s="215" t="s">
        <v>3432</v>
      </c>
      <c r="B931" s="207">
        <v>2339</v>
      </c>
      <c r="C931" s="215" t="s">
        <v>5553</v>
      </c>
      <c r="D931" s="215" t="s">
        <v>8638</v>
      </c>
      <c r="E931" s="215" t="s">
        <v>8639</v>
      </c>
      <c r="F931" s="215" t="s">
        <v>8640</v>
      </c>
      <c r="G931" s="215" t="s">
        <v>8641</v>
      </c>
      <c r="H931" s="215" t="s">
        <v>6504</v>
      </c>
      <c r="I931" s="300"/>
      <c r="J931" s="300"/>
      <c r="K931" s="300"/>
      <c r="L931" s="300"/>
      <c r="M931" s="300"/>
      <c r="N931" s="300"/>
      <c r="O931" s="300"/>
      <c r="P931" s="300"/>
      <c r="Q931" s="300"/>
      <c r="R931" s="300"/>
      <c r="S931" s="300"/>
      <c r="T931" s="300"/>
      <c r="U931" s="300"/>
      <c r="V931" s="300"/>
      <c r="W931" s="300"/>
      <c r="X931" s="300"/>
      <c r="Y931" s="300"/>
      <c r="Z931" s="300"/>
    </row>
    <row r="932" spans="1:26">
      <c r="A932" s="215" t="s">
        <v>3345</v>
      </c>
      <c r="B932" s="207">
        <v>49</v>
      </c>
      <c r="C932" s="215" t="s">
        <v>5467</v>
      </c>
      <c r="D932" s="215" t="s">
        <v>8642</v>
      </c>
      <c r="E932" s="215" t="s">
        <v>8643</v>
      </c>
      <c r="F932" s="215" t="s">
        <v>8644</v>
      </c>
      <c r="G932" s="215" t="s">
        <v>8645</v>
      </c>
      <c r="H932" s="215" t="s">
        <v>6504</v>
      </c>
      <c r="I932" s="300"/>
      <c r="J932" s="300"/>
      <c r="K932" s="300"/>
      <c r="L932" s="300"/>
      <c r="M932" s="300"/>
      <c r="N932" s="300"/>
      <c r="O932" s="300"/>
      <c r="P932" s="300"/>
      <c r="Q932" s="300"/>
      <c r="R932" s="300"/>
      <c r="S932" s="300"/>
      <c r="T932" s="300"/>
      <c r="U932" s="300"/>
      <c r="V932" s="300"/>
      <c r="W932" s="300"/>
      <c r="X932" s="300"/>
      <c r="Y932" s="300"/>
      <c r="Z932" s="300"/>
    </row>
    <row r="933" spans="1:26">
      <c r="A933" s="215" t="s">
        <v>4407</v>
      </c>
      <c r="B933" s="207">
        <v>50</v>
      </c>
      <c r="C933" s="215" t="s">
        <v>6347</v>
      </c>
      <c r="D933" s="215" t="s">
        <v>8646</v>
      </c>
      <c r="E933" s="215" t="s">
        <v>8647</v>
      </c>
      <c r="F933" s="215" t="s">
        <v>8644</v>
      </c>
      <c r="G933" s="215" t="s">
        <v>8645</v>
      </c>
      <c r="H933" s="215" t="s">
        <v>6500</v>
      </c>
      <c r="I933" s="300"/>
      <c r="J933" s="300"/>
      <c r="K933" s="300"/>
      <c r="L933" s="300"/>
      <c r="M933" s="300"/>
      <c r="N933" s="300"/>
      <c r="O933" s="300"/>
      <c r="P933" s="300"/>
      <c r="Q933" s="300"/>
      <c r="R933" s="300"/>
      <c r="S933" s="300"/>
      <c r="T933" s="300"/>
      <c r="U933" s="300"/>
      <c r="V933" s="300"/>
      <c r="W933" s="300"/>
      <c r="X933" s="300"/>
      <c r="Y933" s="300"/>
      <c r="Z933" s="300"/>
    </row>
    <row r="934" spans="1:26">
      <c r="A934" s="215" t="s">
        <v>4041</v>
      </c>
      <c r="B934" s="207">
        <v>1745</v>
      </c>
      <c r="C934" s="215" t="s">
        <v>6066</v>
      </c>
      <c r="D934" s="215" t="s">
        <v>8648</v>
      </c>
      <c r="E934" s="215" t="s">
        <v>8649</v>
      </c>
      <c r="F934" s="215" t="s">
        <v>8644</v>
      </c>
      <c r="G934" s="215" t="s">
        <v>8645</v>
      </c>
      <c r="H934" s="215" t="s">
        <v>6504</v>
      </c>
      <c r="I934" s="300"/>
      <c r="J934" s="300"/>
      <c r="K934" s="300"/>
      <c r="L934" s="300"/>
      <c r="M934" s="300"/>
      <c r="N934" s="300"/>
      <c r="O934" s="300"/>
      <c r="P934" s="300"/>
      <c r="Q934" s="300"/>
      <c r="R934" s="300"/>
      <c r="S934" s="300"/>
      <c r="T934" s="300"/>
      <c r="U934" s="300"/>
      <c r="V934" s="300"/>
      <c r="W934" s="300"/>
      <c r="X934" s="300"/>
      <c r="Y934" s="300"/>
      <c r="Z934" s="300"/>
    </row>
    <row r="935" spans="1:26">
      <c r="A935" s="215" t="s">
        <v>3611</v>
      </c>
      <c r="B935" s="207">
        <v>1746</v>
      </c>
      <c r="C935" s="215" t="s">
        <v>5711</v>
      </c>
      <c r="D935" s="215" t="s">
        <v>8650</v>
      </c>
      <c r="E935" s="215" t="s">
        <v>8651</v>
      </c>
      <c r="F935" s="215" t="s">
        <v>8644</v>
      </c>
      <c r="G935" s="215" t="s">
        <v>8645</v>
      </c>
      <c r="H935" s="215" t="s">
        <v>6504</v>
      </c>
      <c r="I935" s="300"/>
      <c r="J935" s="300"/>
      <c r="K935" s="300"/>
      <c r="L935" s="300"/>
      <c r="M935" s="300"/>
      <c r="N935" s="300"/>
      <c r="O935" s="300"/>
      <c r="P935" s="300"/>
      <c r="Q935" s="300"/>
      <c r="R935" s="300"/>
      <c r="S935" s="300"/>
      <c r="T935" s="300"/>
      <c r="U935" s="300"/>
      <c r="V935" s="300"/>
      <c r="W935" s="300"/>
      <c r="X935" s="300"/>
      <c r="Y935" s="300"/>
      <c r="Z935" s="300"/>
    </row>
    <row r="936" spans="1:26">
      <c r="A936" s="215" t="s">
        <v>4173</v>
      </c>
      <c r="B936" s="207">
        <v>1747</v>
      </c>
      <c r="C936" s="215" t="s">
        <v>6163</v>
      </c>
      <c r="D936" s="215" t="s">
        <v>8652</v>
      </c>
      <c r="E936" s="215" t="s">
        <v>8652</v>
      </c>
      <c r="F936" s="215" t="s">
        <v>8644</v>
      </c>
      <c r="G936" s="215" t="s">
        <v>8645</v>
      </c>
      <c r="H936" s="215" t="s">
        <v>6504</v>
      </c>
      <c r="I936" s="300"/>
      <c r="J936" s="300"/>
      <c r="K936" s="300"/>
      <c r="L936" s="300"/>
      <c r="M936" s="300"/>
      <c r="N936" s="300"/>
      <c r="O936" s="300"/>
      <c r="P936" s="300"/>
      <c r="Q936" s="300"/>
      <c r="R936" s="300"/>
      <c r="S936" s="300"/>
      <c r="T936" s="300"/>
      <c r="U936" s="300"/>
      <c r="V936" s="300"/>
      <c r="W936" s="300"/>
      <c r="X936" s="300"/>
      <c r="Y936" s="300"/>
      <c r="Z936" s="300"/>
    </row>
    <row r="937" spans="1:26">
      <c r="A937" s="215" t="s">
        <v>4208</v>
      </c>
      <c r="B937" s="207">
        <v>1748</v>
      </c>
      <c r="C937" s="215" t="s">
        <v>6191</v>
      </c>
      <c r="D937" s="215" t="s">
        <v>8653</v>
      </c>
      <c r="E937" s="215" t="s">
        <v>8653</v>
      </c>
      <c r="F937" s="215" t="s">
        <v>8644</v>
      </c>
      <c r="G937" s="215" t="s">
        <v>8645</v>
      </c>
      <c r="H937" s="215" t="s">
        <v>6500</v>
      </c>
      <c r="I937" s="300"/>
      <c r="J937" s="300"/>
      <c r="K937" s="300"/>
      <c r="L937" s="300"/>
      <c r="M937" s="300"/>
      <c r="N937" s="300"/>
      <c r="O937" s="300"/>
      <c r="P937" s="300"/>
      <c r="Q937" s="300"/>
      <c r="R937" s="300"/>
      <c r="S937" s="300"/>
      <c r="T937" s="300"/>
      <c r="U937" s="300"/>
      <c r="V937" s="300"/>
      <c r="W937" s="300"/>
      <c r="X937" s="300"/>
      <c r="Y937" s="300"/>
      <c r="Z937" s="300"/>
    </row>
    <row r="938" spans="1:26">
      <c r="A938" s="215" t="s">
        <v>2823</v>
      </c>
      <c r="B938" s="207">
        <v>1743</v>
      </c>
      <c r="C938" s="215" t="s">
        <v>4986</v>
      </c>
      <c r="D938" s="215" t="s">
        <v>8654</v>
      </c>
      <c r="E938" s="215" t="s">
        <v>8654</v>
      </c>
      <c r="F938" s="215" t="s">
        <v>8655</v>
      </c>
      <c r="G938" s="215" t="s">
        <v>8656</v>
      </c>
      <c r="H938" s="215" t="s">
        <v>6500</v>
      </c>
      <c r="I938" s="300"/>
      <c r="J938" s="300"/>
      <c r="K938" s="300"/>
      <c r="L938" s="300"/>
      <c r="M938" s="300"/>
      <c r="N938" s="300"/>
      <c r="O938" s="300"/>
      <c r="P938" s="300"/>
      <c r="Q938" s="300"/>
      <c r="R938" s="300"/>
      <c r="S938" s="300"/>
      <c r="T938" s="300"/>
      <c r="U938" s="300"/>
      <c r="V938" s="300"/>
      <c r="W938" s="300"/>
      <c r="X938" s="300"/>
      <c r="Y938" s="300"/>
      <c r="Z938" s="300"/>
    </row>
    <row r="939" spans="1:26">
      <c r="A939" s="215" t="s">
        <v>2986</v>
      </c>
      <c r="B939" s="207">
        <v>339</v>
      </c>
      <c r="C939" s="215" t="s">
        <v>5133</v>
      </c>
      <c r="D939" s="215" t="s">
        <v>8657</v>
      </c>
      <c r="E939" s="215" t="s">
        <v>8658</v>
      </c>
      <c r="F939" s="215" t="s">
        <v>8659</v>
      </c>
      <c r="G939" s="215" t="s">
        <v>8660</v>
      </c>
      <c r="H939" s="215" t="s">
        <v>6497</v>
      </c>
      <c r="I939" s="300"/>
      <c r="J939" s="300"/>
      <c r="K939" s="300"/>
      <c r="L939" s="300"/>
      <c r="M939" s="300"/>
      <c r="N939" s="300"/>
      <c r="O939" s="300"/>
      <c r="P939" s="300"/>
      <c r="Q939" s="300"/>
      <c r="R939" s="300"/>
      <c r="S939" s="300"/>
      <c r="T939" s="300"/>
      <c r="U939" s="300"/>
      <c r="V939" s="300"/>
      <c r="W939" s="300"/>
      <c r="X939" s="300"/>
      <c r="Y939" s="300"/>
      <c r="Z939" s="300"/>
    </row>
    <row r="940" spans="1:26">
      <c r="A940" s="215"/>
      <c r="B940" s="207">
        <v>361</v>
      </c>
      <c r="C940" s="215" t="s">
        <v>8661</v>
      </c>
      <c r="D940" s="215"/>
      <c r="E940" s="215"/>
      <c r="F940" s="215" t="s">
        <v>8659</v>
      </c>
      <c r="G940" s="215" t="s">
        <v>8660</v>
      </c>
      <c r="H940" s="215" t="s">
        <v>6548</v>
      </c>
      <c r="I940" s="300"/>
      <c r="J940" s="300"/>
      <c r="K940" s="300"/>
      <c r="L940" s="300"/>
      <c r="M940" s="300"/>
      <c r="N940" s="300"/>
      <c r="O940" s="300"/>
      <c r="P940" s="300"/>
      <c r="Q940" s="300"/>
      <c r="R940" s="300"/>
      <c r="S940" s="300"/>
      <c r="T940" s="300"/>
      <c r="U940" s="300"/>
      <c r="V940" s="300"/>
      <c r="W940" s="300"/>
      <c r="X940" s="300"/>
      <c r="Y940" s="300"/>
      <c r="Z940" s="300"/>
    </row>
    <row r="941" spans="1:26">
      <c r="A941" s="215" t="s">
        <v>3161</v>
      </c>
      <c r="B941" s="207">
        <v>387</v>
      </c>
      <c r="C941" s="215" t="s">
        <v>5295</v>
      </c>
      <c r="D941" s="215" t="s">
        <v>8662</v>
      </c>
      <c r="E941" s="215" t="s">
        <v>8663</v>
      </c>
      <c r="F941" s="215" t="s">
        <v>8659</v>
      </c>
      <c r="G941" s="215" t="s">
        <v>8660</v>
      </c>
      <c r="H941" s="215" t="s">
        <v>6497</v>
      </c>
      <c r="I941" s="300"/>
      <c r="J941" s="300"/>
      <c r="K941" s="300"/>
      <c r="L941" s="300"/>
      <c r="M941" s="300"/>
      <c r="N941" s="300"/>
      <c r="O941" s="300"/>
      <c r="P941" s="300"/>
      <c r="Q941" s="300"/>
      <c r="R941" s="300"/>
      <c r="S941" s="300"/>
      <c r="T941" s="300"/>
      <c r="U941" s="300"/>
      <c r="V941" s="300"/>
      <c r="W941" s="300"/>
      <c r="X941" s="300"/>
      <c r="Y941" s="300"/>
      <c r="Z941" s="300"/>
    </row>
    <row r="942" spans="1:26">
      <c r="A942" s="215" t="s">
        <v>4048</v>
      </c>
      <c r="B942" s="207">
        <v>410</v>
      </c>
      <c r="C942" s="215" t="s">
        <v>6073</v>
      </c>
      <c r="D942" s="215" t="s">
        <v>8664</v>
      </c>
      <c r="E942" s="215" t="s">
        <v>8665</v>
      </c>
      <c r="F942" s="215" t="s">
        <v>8659</v>
      </c>
      <c r="G942" s="215" t="s">
        <v>8660</v>
      </c>
      <c r="H942" s="215" t="s">
        <v>6521</v>
      </c>
      <c r="I942" s="300"/>
      <c r="J942" s="300"/>
      <c r="K942" s="300"/>
      <c r="L942" s="300"/>
      <c r="M942" s="300"/>
      <c r="N942" s="300"/>
      <c r="O942" s="300"/>
      <c r="P942" s="300"/>
      <c r="Q942" s="300"/>
      <c r="R942" s="300"/>
      <c r="S942" s="300"/>
      <c r="T942" s="300"/>
      <c r="U942" s="300"/>
      <c r="V942" s="300"/>
      <c r="W942" s="300"/>
      <c r="X942" s="300"/>
      <c r="Y942" s="300"/>
      <c r="Z942" s="300"/>
    </row>
    <row r="943" spans="1:26">
      <c r="A943" s="215" t="s">
        <v>3158</v>
      </c>
      <c r="B943" s="207">
        <v>411</v>
      </c>
      <c r="C943" s="215" t="s">
        <v>5290</v>
      </c>
      <c r="D943" s="215" t="s">
        <v>8666</v>
      </c>
      <c r="E943" s="215" t="s">
        <v>8667</v>
      </c>
      <c r="F943" s="215" t="s">
        <v>8659</v>
      </c>
      <c r="G943" s="215" t="s">
        <v>8660</v>
      </c>
      <c r="H943" s="215" t="s">
        <v>6500</v>
      </c>
      <c r="I943" s="300"/>
      <c r="J943" s="300"/>
      <c r="K943" s="300"/>
      <c r="L943" s="300"/>
      <c r="M943" s="300"/>
      <c r="N943" s="300"/>
      <c r="O943" s="300"/>
      <c r="P943" s="300"/>
      <c r="Q943" s="300"/>
      <c r="R943" s="300"/>
      <c r="S943" s="300"/>
      <c r="T943" s="300"/>
      <c r="U943" s="300"/>
      <c r="V943" s="300"/>
      <c r="W943" s="300"/>
      <c r="X943" s="300"/>
      <c r="Y943" s="300"/>
      <c r="Z943" s="300"/>
    </row>
    <row r="944" spans="1:26">
      <c r="A944" s="215" t="s">
        <v>3025</v>
      </c>
      <c r="B944" s="207">
        <v>425</v>
      </c>
      <c r="C944" s="215" t="s">
        <v>5156</v>
      </c>
      <c r="D944" s="215" t="s">
        <v>8668</v>
      </c>
      <c r="E944" s="215" t="s">
        <v>8669</v>
      </c>
      <c r="F944" s="215" t="s">
        <v>8659</v>
      </c>
      <c r="G944" s="215" t="s">
        <v>8660</v>
      </c>
      <c r="H944" s="215" t="s">
        <v>6521</v>
      </c>
      <c r="I944" s="300"/>
      <c r="J944" s="300"/>
      <c r="K944" s="300"/>
      <c r="L944" s="300"/>
      <c r="M944" s="300"/>
      <c r="N944" s="300"/>
      <c r="O944" s="300"/>
      <c r="P944" s="300"/>
      <c r="Q944" s="300"/>
      <c r="R944" s="300"/>
      <c r="S944" s="300"/>
      <c r="T944" s="300"/>
      <c r="U944" s="300"/>
      <c r="V944" s="300"/>
      <c r="W944" s="300"/>
      <c r="X944" s="300"/>
      <c r="Y944" s="300"/>
      <c r="Z944" s="300"/>
    </row>
    <row r="945" spans="1:26">
      <c r="A945" s="215" t="s">
        <v>1360</v>
      </c>
      <c r="B945" s="207">
        <v>1340</v>
      </c>
      <c r="C945" s="215" t="s">
        <v>5878</v>
      </c>
      <c r="D945" s="215" t="s">
        <v>8670</v>
      </c>
      <c r="E945" s="215" t="s">
        <v>8671</v>
      </c>
      <c r="F945" s="215" t="s">
        <v>8659</v>
      </c>
      <c r="G945" s="215" t="s">
        <v>8660</v>
      </c>
      <c r="H945" s="215" t="s">
        <v>6504</v>
      </c>
      <c r="I945" s="300"/>
      <c r="J945" s="300"/>
      <c r="K945" s="300"/>
      <c r="L945" s="300"/>
      <c r="M945" s="300"/>
      <c r="N945" s="300"/>
      <c r="O945" s="300"/>
      <c r="P945" s="300"/>
      <c r="Q945" s="300"/>
      <c r="R945" s="300"/>
      <c r="S945" s="300"/>
      <c r="T945" s="300"/>
      <c r="U945" s="300"/>
      <c r="V945" s="300"/>
      <c r="W945" s="300"/>
      <c r="X945" s="300"/>
      <c r="Y945" s="300"/>
      <c r="Z945" s="300"/>
    </row>
    <row r="946" spans="1:26">
      <c r="A946" s="215" t="s">
        <v>1360</v>
      </c>
      <c r="B946" s="207">
        <v>1341</v>
      </c>
      <c r="C946" s="215" t="s">
        <v>5877</v>
      </c>
      <c r="D946" s="215" t="s">
        <v>8672</v>
      </c>
      <c r="E946" s="215" t="s">
        <v>8673</v>
      </c>
      <c r="F946" s="215" t="s">
        <v>8659</v>
      </c>
      <c r="G946" s="215" t="s">
        <v>8660</v>
      </c>
      <c r="H946" s="215" t="s">
        <v>6504</v>
      </c>
      <c r="I946" s="300"/>
      <c r="J946" s="300"/>
      <c r="K946" s="300"/>
      <c r="L946" s="300"/>
      <c r="M946" s="300"/>
      <c r="N946" s="300"/>
      <c r="O946" s="300"/>
      <c r="P946" s="300"/>
      <c r="Q946" s="300"/>
      <c r="R946" s="300"/>
      <c r="S946" s="300"/>
      <c r="T946" s="300"/>
      <c r="U946" s="300"/>
      <c r="V946" s="300"/>
      <c r="W946" s="300"/>
      <c r="X946" s="300"/>
      <c r="Y946" s="300"/>
      <c r="Z946" s="300"/>
    </row>
    <row r="947" spans="1:26">
      <c r="A947" s="215"/>
      <c r="B947" s="207">
        <v>1342</v>
      </c>
      <c r="C947" s="215" t="s">
        <v>8674</v>
      </c>
      <c r="D947" s="215" t="s">
        <v>8675</v>
      </c>
      <c r="E947" s="215" t="s">
        <v>8676</v>
      </c>
      <c r="F947" s="215" t="s">
        <v>8659</v>
      </c>
      <c r="G947" s="215" t="s">
        <v>8660</v>
      </c>
      <c r="H947" s="215" t="s">
        <v>6548</v>
      </c>
      <c r="I947" s="300"/>
      <c r="J947" s="300"/>
      <c r="K947" s="300"/>
      <c r="L947" s="300"/>
      <c r="M947" s="300"/>
      <c r="N947" s="300"/>
      <c r="O947" s="300"/>
      <c r="P947" s="300"/>
      <c r="Q947" s="300"/>
      <c r="R947" s="300"/>
      <c r="S947" s="300"/>
      <c r="T947" s="300"/>
      <c r="U947" s="300"/>
      <c r="V947" s="300"/>
      <c r="W947" s="300"/>
      <c r="X947" s="300"/>
      <c r="Y947" s="300"/>
      <c r="Z947" s="300"/>
    </row>
    <row r="948" spans="1:26">
      <c r="A948" s="215" t="s">
        <v>2762</v>
      </c>
      <c r="B948" s="207">
        <v>1041</v>
      </c>
      <c r="C948" s="215" t="s">
        <v>4916</v>
      </c>
      <c r="D948" s="215" t="s">
        <v>8677</v>
      </c>
      <c r="E948" s="215" t="s">
        <v>8678</v>
      </c>
      <c r="F948" s="215" t="s">
        <v>8679</v>
      </c>
      <c r="G948" s="215" t="s">
        <v>8680</v>
      </c>
      <c r="H948" s="215" t="s">
        <v>6504</v>
      </c>
      <c r="I948" s="300"/>
      <c r="J948" s="300"/>
      <c r="K948" s="300"/>
      <c r="L948" s="300"/>
      <c r="M948" s="300"/>
      <c r="N948" s="300"/>
      <c r="O948" s="300"/>
      <c r="P948" s="300"/>
      <c r="Q948" s="300"/>
      <c r="R948" s="300"/>
      <c r="S948" s="300"/>
      <c r="T948" s="300"/>
      <c r="U948" s="300"/>
      <c r="V948" s="300"/>
      <c r="W948" s="300"/>
      <c r="X948" s="300"/>
      <c r="Y948" s="300"/>
      <c r="Z948" s="300"/>
    </row>
    <row r="949" spans="1:26">
      <c r="A949" s="215" t="s">
        <v>4479</v>
      </c>
      <c r="B949" s="207">
        <v>1057</v>
      </c>
      <c r="C949" s="215" t="s">
        <v>6405</v>
      </c>
      <c r="D949" s="215" t="s">
        <v>8681</v>
      </c>
      <c r="E949" s="215" t="s">
        <v>8682</v>
      </c>
      <c r="F949" s="215" t="s">
        <v>8679</v>
      </c>
      <c r="G949" s="215" t="s">
        <v>8680</v>
      </c>
      <c r="H949" s="215" t="s">
        <v>6500</v>
      </c>
      <c r="I949" s="300"/>
      <c r="J949" s="300"/>
      <c r="K949" s="300"/>
      <c r="L949" s="300"/>
      <c r="M949" s="300"/>
      <c r="N949" s="300"/>
      <c r="O949" s="300"/>
      <c r="P949" s="300"/>
      <c r="Q949" s="300"/>
      <c r="R949" s="300"/>
      <c r="S949" s="300"/>
      <c r="T949" s="300"/>
      <c r="U949" s="300"/>
      <c r="V949" s="300"/>
      <c r="W949" s="300"/>
      <c r="X949" s="300"/>
      <c r="Y949" s="300"/>
      <c r="Z949" s="300"/>
    </row>
    <row r="950" spans="1:26">
      <c r="A950" s="215" t="s">
        <v>4165</v>
      </c>
      <c r="B950" s="207">
        <v>1058</v>
      </c>
      <c r="C950" s="215" t="s">
        <v>6154</v>
      </c>
      <c r="D950" s="215" t="s">
        <v>8683</v>
      </c>
      <c r="E950" s="215" t="s">
        <v>8684</v>
      </c>
      <c r="F950" s="215" t="s">
        <v>8679</v>
      </c>
      <c r="G950" s="215" t="s">
        <v>8680</v>
      </c>
      <c r="H950" s="215" t="s">
        <v>6500</v>
      </c>
      <c r="I950" s="300"/>
      <c r="J950" s="300"/>
      <c r="K950" s="300"/>
      <c r="L950" s="300"/>
      <c r="M950" s="300"/>
      <c r="N950" s="300"/>
      <c r="O950" s="300"/>
      <c r="P950" s="300"/>
      <c r="Q950" s="300"/>
      <c r="R950" s="300"/>
      <c r="S950" s="300"/>
      <c r="T950" s="300"/>
      <c r="U950" s="300"/>
      <c r="V950" s="300"/>
      <c r="W950" s="300"/>
      <c r="X950" s="300"/>
      <c r="Y950" s="300"/>
      <c r="Z950" s="300"/>
    </row>
    <row r="951" spans="1:26">
      <c r="A951" s="215" t="s">
        <v>4354</v>
      </c>
      <c r="B951" s="207">
        <v>2192</v>
      </c>
      <c r="C951" s="215" t="s">
        <v>8685</v>
      </c>
      <c r="D951" s="215" t="s">
        <v>8686</v>
      </c>
      <c r="E951" s="215" t="s">
        <v>8687</v>
      </c>
      <c r="F951" s="215" t="s">
        <v>8679</v>
      </c>
      <c r="G951" s="215" t="s">
        <v>8680</v>
      </c>
      <c r="H951" s="215" t="s">
        <v>6504</v>
      </c>
      <c r="I951" s="300"/>
      <c r="J951" s="300"/>
      <c r="K951" s="300"/>
      <c r="L951" s="300"/>
      <c r="M951" s="300"/>
      <c r="N951" s="300"/>
      <c r="O951" s="300"/>
      <c r="P951" s="300"/>
      <c r="Q951" s="300"/>
      <c r="R951" s="300"/>
      <c r="S951" s="300"/>
      <c r="T951" s="300"/>
      <c r="U951" s="300"/>
      <c r="V951" s="300"/>
      <c r="W951" s="300"/>
      <c r="X951" s="300"/>
      <c r="Y951" s="300"/>
      <c r="Z951" s="300"/>
    </row>
    <row r="952" spans="1:26">
      <c r="A952" s="215" t="s">
        <v>3863</v>
      </c>
      <c r="B952" s="207">
        <v>1066</v>
      </c>
      <c r="C952" s="215" t="s">
        <v>5934</v>
      </c>
      <c r="D952" s="215" t="s">
        <v>8688</v>
      </c>
      <c r="E952" s="215" t="s">
        <v>8689</v>
      </c>
      <c r="F952" s="215" t="s">
        <v>8690</v>
      </c>
      <c r="G952" s="215" t="s">
        <v>8691</v>
      </c>
      <c r="H952" s="215" t="s">
        <v>6521</v>
      </c>
      <c r="I952" s="300"/>
      <c r="J952" s="300"/>
      <c r="K952" s="300"/>
      <c r="L952" s="300"/>
      <c r="M952" s="300"/>
      <c r="N952" s="300"/>
      <c r="O952" s="300"/>
      <c r="P952" s="300"/>
      <c r="Q952" s="300"/>
      <c r="R952" s="300"/>
      <c r="S952" s="300"/>
      <c r="T952" s="300"/>
      <c r="U952" s="300"/>
      <c r="V952" s="300"/>
      <c r="W952" s="300"/>
      <c r="X952" s="300"/>
      <c r="Y952" s="300"/>
      <c r="Z952" s="300"/>
    </row>
    <row r="953" spans="1:26">
      <c r="A953" s="215" t="s">
        <v>3261</v>
      </c>
      <c r="B953" s="207">
        <v>1493</v>
      </c>
      <c r="C953" s="215" t="s">
        <v>8692</v>
      </c>
      <c r="D953" s="215" t="s">
        <v>8693</v>
      </c>
      <c r="E953" s="215" t="s">
        <v>8694</v>
      </c>
      <c r="F953" s="215" t="s">
        <v>8690</v>
      </c>
      <c r="G953" s="215" t="s">
        <v>8691</v>
      </c>
      <c r="H953" s="215" t="s">
        <v>6504</v>
      </c>
      <c r="I953" s="300"/>
      <c r="J953" s="300"/>
      <c r="K953" s="300"/>
      <c r="L953" s="300"/>
      <c r="M953" s="300"/>
      <c r="N953" s="300"/>
      <c r="O953" s="300"/>
      <c r="P953" s="300"/>
      <c r="Q953" s="300"/>
      <c r="R953" s="300"/>
      <c r="S953" s="300"/>
      <c r="T953" s="300"/>
      <c r="U953" s="300"/>
      <c r="V953" s="300"/>
      <c r="W953" s="300"/>
      <c r="X953" s="300"/>
      <c r="Y953" s="300"/>
      <c r="Z953" s="300"/>
    </row>
    <row r="954" spans="1:26">
      <c r="A954" s="215" t="s">
        <v>2798</v>
      </c>
      <c r="B954" s="207">
        <v>1612</v>
      </c>
      <c r="C954" s="215" t="s">
        <v>4961</v>
      </c>
      <c r="D954" s="215" t="s">
        <v>8695</v>
      </c>
      <c r="E954" s="215" t="s">
        <v>8696</v>
      </c>
      <c r="F954" s="215" t="s">
        <v>8690</v>
      </c>
      <c r="G954" s="215" t="s">
        <v>8691</v>
      </c>
      <c r="H954" s="215" t="s">
        <v>6504</v>
      </c>
      <c r="I954" s="300"/>
      <c r="J954" s="300"/>
      <c r="K954" s="300"/>
      <c r="L954" s="300"/>
      <c r="M954" s="300"/>
      <c r="N954" s="300"/>
      <c r="O954" s="300"/>
      <c r="P954" s="300"/>
      <c r="Q954" s="300"/>
      <c r="R954" s="300"/>
      <c r="S954" s="300"/>
      <c r="T954" s="300"/>
      <c r="U954" s="300"/>
      <c r="V954" s="300"/>
      <c r="W954" s="300"/>
      <c r="X954" s="300"/>
      <c r="Y954" s="300"/>
      <c r="Z954" s="300"/>
    </row>
    <row r="955" spans="1:26">
      <c r="A955" s="215" t="s">
        <v>2460</v>
      </c>
      <c r="B955" s="207">
        <v>1076</v>
      </c>
      <c r="C955" s="215" t="s">
        <v>4776</v>
      </c>
      <c r="D955" s="215" t="s">
        <v>8697</v>
      </c>
      <c r="E955" s="215" t="s">
        <v>8698</v>
      </c>
      <c r="F955" s="215" t="s">
        <v>8699</v>
      </c>
      <c r="G955" s="215" t="s">
        <v>8700</v>
      </c>
      <c r="H955" s="215" t="s">
        <v>6521</v>
      </c>
      <c r="I955" s="300"/>
      <c r="J955" s="300"/>
      <c r="K955" s="300"/>
      <c r="L955" s="300"/>
      <c r="M955" s="300"/>
      <c r="N955" s="300"/>
      <c r="O955" s="300"/>
      <c r="P955" s="300"/>
      <c r="Q955" s="300"/>
      <c r="R955" s="300"/>
      <c r="S955" s="300"/>
      <c r="T955" s="300"/>
      <c r="U955" s="300"/>
      <c r="V955" s="300"/>
      <c r="W955" s="300"/>
      <c r="X955" s="300"/>
      <c r="Y955" s="300"/>
      <c r="Z955" s="300"/>
    </row>
    <row r="956" spans="1:26">
      <c r="A956" s="215" t="s">
        <v>4383</v>
      </c>
      <c r="B956" s="207">
        <v>1336</v>
      </c>
      <c r="C956" s="215" t="s">
        <v>5221</v>
      </c>
      <c r="D956" s="215" t="s">
        <v>8701</v>
      </c>
      <c r="E956" s="215" t="s">
        <v>8702</v>
      </c>
      <c r="F956" s="215" t="s">
        <v>8703</v>
      </c>
      <c r="G956" s="215" t="s">
        <v>8704</v>
      </c>
      <c r="H956" s="215" t="s">
        <v>6500</v>
      </c>
      <c r="I956" s="300"/>
      <c r="J956" s="300"/>
      <c r="K956" s="300"/>
      <c r="L956" s="300"/>
      <c r="M956" s="300"/>
      <c r="N956" s="300"/>
      <c r="O956" s="300"/>
      <c r="P956" s="300"/>
      <c r="Q956" s="300"/>
      <c r="R956" s="300"/>
      <c r="S956" s="300"/>
      <c r="T956" s="300"/>
      <c r="U956" s="300"/>
      <c r="V956" s="300"/>
      <c r="W956" s="300"/>
      <c r="X956" s="300"/>
      <c r="Y956" s="300"/>
      <c r="Z956" s="300"/>
    </row>
    <row r="957" spans="1:26">
      <c r="A957" s="215" t="s">
        <v>3575</v>
      </c>
      <c r="B957" s="207">
        <v>1056</v>
      </c>
      <c r="C957" s="215" t="s">
        <v>5680</v>
      </c>
      <c r="D957" s="215" t="s">
        <v>8705</v>
      </c>
      <c r="E957" s="215" t="s">
        <v>3511</v>
      </c>
      <c r="F957" s="215" t="s">
        <v>8706</v>
      </c>
      <c r="G957" s="215" t="s">
        <v>8707</v>
      </c>
      <c r="H957" s="215" t="s">
        <v>6500</v>
      </c>
      <c r="I957" s="300"/>
      <c r="J957" s="300"/>
      <c r="K957" s="300"/>
      <c r="L957" s="300"/>
      <c r="M957" s="300"/>
      <c r="N957" s="300"/>
      <c r="O957" s="300"/>
      <c r="P957" s="300"/>
      <c r="Q957" s="300"/>
      <c r="R957" s="300"/>
      <c r="S957" s="300"/>
      <c r="T957" s="300"/>
      <c r="U957" s="300"/>
      <c r="V957" s="300"/>
      <c r="W957" s="300"/>
      <c r="X957" s="300"/>
      <c r="Y957" s="300"/>
      <c r="Z957" s="300"/>
    </row>
    <row r="958" spans="1:26">
      <c r="A958" s="215" t="s">
        <v>2670</v>
      </c>
      <c r="B958" s="207">
        <v>18</v>
      </c>
      <c r="C958" s="215" t="s">
        <v>4844</v>
      </c>
      <c r="D958" s="215" t="s">
        <v>8708</v>
      </c>
      <c r="E958" s="215" t="s">
        <v>8708</v>
      </c>
      <c r="F958" s="215" t="s">
        <v>8709</v>
      </c>
      <c r="G958" s="215" t="s">
        <v>8710</v>
      </c>
      <c r="H958" s="215" t="s">
        <v>6497</v>
      </c>
      <c r="I958" s="300"/>
      <c r="J958" s="300"/>
      <c r="K958" s="300"/>
      <c r="L958" s="300"/>
      <c r="M958" s="300"/>
      <c r="N958" s="300"/>
      <c r="O958" s="300"/>
      <c r="P958" s="300"/>
      <c r="Q958" s="300"/>
      <c r="R958" s="300"/>
      <c r="S958" s="300"/>
      <c r="T958" s="300"/>
      <c r="U958" s="300"/>
      <c r="V958" s="300"/>
      <c r="W958" s="300"/>
      <c r="X958" s="300"/>
      <c r="Y958" s="300"/>
      <c r="Z958" s="300"/>
    </row>
    <row r="959" spans="1:26">
      <c r="A959" s="215" t="s">
        <v>2835</v>
      </c>
      <c r="B959" s="207">
        <v>19</v>
      </c>
      <c r="C959" s="215" t="s">
        <v>4996</v>
      </c>
      <c r="D959" s="215" t="s">
        <v>8711</v>
      </c>
      <c r="E959" s="215" t="s">
        <v>8712</v>
      </c>
      <c r="F959" s="215" t="s">
        <v>8709</v>
      </c>
      <c r="G959" s="215" t="s">
        <v>8710</v>
      </c>
      <c r="H959" s="215" t="s">
        <v>6521</v>
      </c>
      <c r="I959" s="300"/>
      <c r="J959" s="300"/>
      <c r="K959" s="300"/>
      <c r="L959" s="300"/>
      <c r="M959" s="300"/>
      <c r="N959" s="300"/>
      <c r="O959" s="300"/>
      <c r="P959" s="300"/>
      <c r="Q959" s="300"/>
      <c r="R959" s="300"/>
      <c r="S959" s="300"/>
      <c r="T959" s="300"/>
      <c r="U959" s="300"/>
      <c r="V959" s="300"/>
      <c r="W959" s="300"/>
      <c r="X959" s="300"/>
      <c r="Y959" s="300"/>
      <c r="Z959" s="300"/>
    </row>
    <row r="960" spans="1:26">
      <c r="A960" s="215" t="s">
        <v>3315</v>
      </c>
      <c r="B960" s="207">
        <v>1322</v>
      </c>
      <c r="C960" s="215" t="s">
        <v>5442</v>
      </c>
      <c r="D960" s="215" t="s">
        <v>8713</v>
      </c>
      <c r="E960" s="215" t="s">
        <v>8713</v>
      </c>
      <c r="F960" s="215" t="s">
        <v>8709</v>
      </c>
      <c r="G960" s="215" t="s">
        <v>8710</v>
      </c>
      <c r="H960" s="215" t="s">
        <v>6500</v>
      </c>
      <c r="I960" s="300"/>
      <c r="J960" s="300"/>
      <c r="K960" s="300"/>
      <c r="L960" s="300"/>
      <c r="M960" s="300"/>
      <c r="N960" s="300"/>
      <c r="O960" s="300"/>
      <c r="P960" s="300"/>
      <c r="Q960" s="300"/>
      <c r="R960" s="300"/>
      <c r="S960" s="300"/>
      <c r="T960" s="300"/>
      <c r="U960" s="300"/>
      <c r="V960" s="300"/>
      <c r="W960" s="300"/>
      <c r="X960" s="300"/>
      <c r="Y960" s="300"/>
      <c r="Z960" s="300"/>
    </row>
    <row r="961" spans="1:26">
      <c r="A961" s="215" t="s">
        <v>3417</v>
      </c>
      <c r="B961" s="207">
        <v>1323</v>
      </c>
      <c r="C961" s="215" t="s">
        <v>5540</v>
      </c>
      <c r="D961" s="215" t="s">
        <v>8714</v>
      </c>
      <c r="E961" s="215" t="s">
        <v>8715</v>
      </c>
      <c r="F961" s="215" t="s">
        <v>8709</v>
      </c>
      <c r="G961" s="215" t="s">
        <v>8710</v>
      </c>
      <c r="H961" s="215" t="s">
        <v>6521</v>
      </c>
      <c r="I961" s="300"/>
      <c r="J961" s="300"/>
      <c r="K961" s="300"/>
      <c r="L961" s="300"/>
      <c r="M961" s="300"/>
      <c r="N961" s="300"/>
      <c r="O961" s="300"/>
      <c r="P961" s="300"/>
      <c r="Q961" s="300"/>
      <c r="R961" s="300"/>
      <c r="S961" s="300"/>
      <c r="T961" s="300"/>
      <c r="U961" s="300"/>
      <c r="V961" s="300"/>
      <c r="W961" s="300"/>
      <c r="X961" s="300"/>
      <c r="Y961" s="300"/>
      <c r="Z961" s="300"/>
    </row>
    <row r="962" spans="1:26">
      <c r="A962" s="215" t="s">
        <v>4205</v>
      </c>
      <c r="B962" s="207">
        <v>1327</v>
      </c>
      <c r="C962" s="215" t="s">
        <v>6189</v>
      </c>
      <c r="D962" s="215" t="s">
        <v>8716</v>
      </c>
      <c r="E962" s="215" t="s">
        <v>8716</v>
      </c>
      <c r="F962" s="215" t="s">
        <v>8709</v>
      </c>
      <c r="G962" s="215" t="s">
        <v>8710</v>
      </c>
      <c r="H962" s="215" t="s">
        <v>6521</v>
      </c>
      <c r="I962" s="300"/>
      <c r="J962" s="300"/>
      <c r="K962" s="300"/>
      <c r="L962" s="300"/>
      <c r="M962" s="300"/>
      <c r="N962" s="300"/>
      <c r="O962" s="300"/>
      <c r="P962" s="300"/>
      <c r="Q962" s="300"/>
      <c r="R962" s="300"/>
      <c r="S962" s="300"/>
      <c r="T962" s="300"/>
      <c r="U962" s="300"/>
      <c r="V962" s="300"/>
      <c r="W962" s="300"/>
      <c r="X962" s="300"/>
      <c r="Y962" s="300"/>
      <c r="Z962" s="300"/>
    </row>
    <row r="963" spans="1:26">
      <c r="A963" s="215" t="s">
        <v>8717</v>
      </c>
      <c r="B963" s="207">
        <v>9</v>
      </c>
      <c r="C963" s="215" t="s">
        <v>4923</v>
      </c>
      <c r="D963" s="215" t="s">
        <v>8718</v>
      </c>
      <c r="E963" s="215" t="s">
        <v>8719</v>
      </c>
      <c r="F963" s="215" t="s">
        <v>8720</v>
      </c>
      <c r="G963" s="215" t="s">
        <v>8721</v>
      </c>
      <c r="H963" s="215" t="s">
        <v>6497</v>
      </c>
      <c r="I963" s="300"/>
      <c r="J963" s="300"/>
      <c r="K963" s="300"/>
      <c r="L963" s="300"/>
      <c r="M963" s="300"/>
      <c r="N963" s="300"/>
      <c r="O963" s="300"/>
      <c r="P963" s="300"/>
      <c r="Q963" s="300"/>
      <c r="R963" s="300"/>
      <c r="S963" s="300"/>
      <c r="T963" s="300"/>
      <c r="U963" s="300"/>
      <c r="V963" s="300"/>
      <c r="W963" s="300"/>
      <c r="X963" s="300"/>
      <c r="Y963" s="300"/>
      <c r="Z963" s="300"/>
    </row>
    <row r="964" spans="1:26">
      <c r="A964" s="215" t="s">
        <v>3726</v>
      </c>
      <c r="B964" s="207">
        <v>11</v>
      </c>
      <c r="C964" s="215" t="s">
        <v>5808</v>
      </c>
      <c r="D964" s="215" t="s">
        <v>8722</v>
      </c>
      <c r="E964" s="215" t="s">
        <v>8722</v>
      </c>
      <c r="F964" s="215" t="s">
        <v>8720</v>
      </c>
      <c r="G964" s="215" t="s">
        <v>8721</v>
      </c>
      <c r="H964" s="215" t="s">
        <v>6500</v>
      </c>
      <c r="I964" s="300"/>
      <c r="J964" s="300"/>
      <c r="K964" s="300"/>
      <c r="L964" s="300"/>
      <c r="M964" s="300"/>
      <c r="N964" s="300"/>
      <c r="O964" s="300"/>
      <c r="P964" s="300"/>
      <c r="Q964" s="300"/>
      <c r="R964" s="300"/>
      <c r="S964" s="300"/>
      <c r="T964" s="300"/>
      <c r="U964" s="300"/>
      <c r="V964" s="300"/>
      <c r="W964" s="300"/>
      <c r="X964" s="300"/>
      <c r="Y964" s="300"/>
      <c r="Z964" s="300"/>
    </row>
    <row r="965" spans="1:26">
      <c r="A965" s="215"/>
      <c r="B965" s="207">
        <v>12</v>
      </c>
      <c r="C965" s="215" t="s">
        <v>8723</v>
      </c>
      <c r="D965" s="215" t="s">
        <v>8724</v>
      </c>
      <c r="E965" s="215" t="s">
        <v>8725</v>
      </c>
      <c r="F965" s="215" t="s">
        <v>8720</v>
      </c>
      <c r="G965" s="215" t="s">
        <v>8721</v>
      </c>
      <c r="H965" s="215" t="s">
        <v>6548</v>
      </c>
      <c r="I965" s="300"/>
      <c r="J965" s="300"/>
      <c r="K965" s="300"/>
      <c r="L965" s="300"/>
      <c r="M965" s="300"/>
      <c r="N965" s="300"/>
      <c r="O965" s="300"/>
      <c r="P965" s="300"/>
      <c r="Q965" s="300"/>
      <c r="R965" s="300"/>
      <c r="S965" s="300"/>
      <c r="T965" s="300"/>
      <c r="U965" s="300"/>
      <c r="V965" s="300"/>
      <c r="W965" s="300"/>
      <c r="X965" s="300"/>
      <c r="Y965" s="300"/>
      <c r="Z965" s="300"/>
    </row>
    <row r="966" spans="1:26">
      <c r="A966" s="215" t="s">
        <v>2864</v>
      </c>
      <c r="B966" s="207">
        <v>13</v>
      </c>
      <c r="C966" s="215" t="s">
        <v>5031</v>
      </c>
      <c r="D966" s="215" t="s">
        <v>8726</v>
      </c>
      <c r="E966" s="215" t="s">
        <v>8727</v>
      </c>
      <c r="F966" s="215" t="s">
        <v>8720</v>
      </c>
      <c r="G966" s="215" t="s">
        <v>8721</v>
      </c>
      <c r="H966" s="215" t="s">
        <v>6504</v>
      </c>
      <c r="I966" s="300"/>
      <c r="J966" s="300"/>
      <c r="K966" s="300"/>
      <c r="L966" s="300"/>
      <c r="M966" s="300"/>
      <c r="N966" s="300"/>
      <c r="O966" s="300"/>
      <c r="P966" s="300"/>
      <c r="Q966" s="300"/>
      <c r="R966" s="300"/>
      <c r="S966" s="300"/>
      <c r="T966" s="300"/>
      <c r="U966" s="300"/>
      <c r="V966" s="300"/>
      <c r="W966" s="300"/>
      <c r="X966" s="300"/>
      <c r="Y966" s="300"/>
      <c r="Z966" s="300"/>
    </row>
    <row r="967" spans="1:26">
      <c r="A967" s="215" t="s">
        <v>3888</v>
      </c>
      <c r="B967" s="207">
        <v>1309</v>
      </c>
      <c r="C967" s="215" t="s">
        <v>8728</v>
      </c>
      <c r="D967" s="215" t="s">
        <v>8729</v>
      </c>
      <c r="E967" s="215" t="s">
        <v>8730</v>
      </c>
      <c r="F967" s="215" t="s">
        <v>8720</v>
      </c>
      <c r="G967" s="215" t="s">
        <v>8721</v>
      </c>
      <c r="H967" s="215" t="s">
        <v>6504</v>
      </c>
      <c r="I967" s="300"/>
      <c r="J967" s="300"/>
      <c r="K967" s="300"/>
      <c r="L967" s="300"/>
      <c r="M967" s="300"/>
      <c r="N967" s="300"/>
      <c r="O967" s="300"/>
      <c r="P967" s="300"/>
      <c r="Q967" s="300"/>
      <c r="R967" s="300"/>
      <c r="S967" s="300"/>
      <c r="T967" s="300"/>
      <c r="U967" s="300"/>
      <c r="V967" s="300"/>
      <c r="W967" s="300"/>
      <c r="X967" s="300"/>
      <c r="Y967" s="300"/>
      <c r="Z967" s="300"/>
    </row>
    <row r="968" spans="1:26">
      <c r="A968" s="215" t="s">
        <v>2766</v>
      </c>
      <c r="B968" s="207">
        <v>1312</v>
      </c>
      <c r="C968" s="215" t="s">
        <v>4924</v>
      </c>
      <c r="D968" s="215" t="s">
        <v>8731</v>
      </c>
      <c r="E968" s="215" t="s">
        <v>8732</v>
      </c>
      <c r="F968" s="215" t="s">
        <v>8720</v>
      </c>
      <c r="G968" s="215" t="s">
        <v>8721</v>
      </c>
      <c r="H968" s="215" t="s">
        <v>6500</v>
      </c>
      <c r="I968" s="300"/>
      <c r="J968" s="300"/>
      <c r="K968" s="300"/>
      <c r="L968" s="300"/>
      <c r="M968" s="300"/>
      <c r="N968" s="300"/>
      <c r="O968" s="300"/>
      <c r="P968" s="300"/>
      <c r="Q968" s="300"/>
      <c r="R968" s="300"/>
      <c r="S968" s="300"/>
      <c r="T968" s="300"/>
      <c r="U968" s="300"/>
      <c r="V968" s="300"/>
      <c r="W968" s="300"/>
      <c r="X968" s="300"/>
      <c r="Y968" s="300"/>
      <c r="Z968" s="300"/>
    </row>
    <row r="969" spans="1:26">
      <c r="A969" s="215" t="s">
        <v>2817</v>
      </c>
      <c r="B969" s="207">
        <v>1313</v>
      </c>
      <c r="C969" s="215" t="s">
        <v>4980</v>
      </c>
      <c r="D969" s="215" t="s">
        <v>8733</v>
      </c>
      <c r="E969" s="215" t="s">
        <v>8734</v>
      </c>
      <c r="F969" s="215" t="s">
        <v>8720</v>
      </c>
      <c r="G969" s="215" t="s">
        <v>8721</v>
      </c>
      <c r="H969" s="215" t="s">
        <v>6500</v>
      </c>
      <c r="I969" s="300"/>
      <c r="J969" s="300"/>
      <c r="K969" s="300"/>
      <c r="L969" s="300"/>
      <c r="M969" s="300"/>
      <c r="N969" s="300"/>
      <c r="O969" s="300"/>
      <c r="P969" s="300"/>
      <c r="Q969" s="300"/>
      <c r="R969" s="300"/>
      <c r="S969" s="300"/>
      <c r="T969" s="300"/>
      <c r="U969" s="300"/>
      <c r="V969" s="300"/>
      <c r="W969" s="300"/>
      <c r="X969" s="300"/>
      <c r="Y969" s="300"/>
      <c r="Z969" s="300"/>
    </row>
    <row r="970" spans="1:26">
      <c r="A970" s="215" t="s">
        <v>2876</v>
      </c>
      <c r="B970" s="207">
        <v>14</v>
      </c>
      <c r="C970" s="215" t="s">
        <v>5042</v>
      </c>
      <c r="D970" s="215" t="s">
        <v>8735</v>
      </c>
      <c r="E970" s="215" t="s">
        <v>8735</v>
      </c>
      <c r="F970" s="215" t="s">
        <v>8736</v>
      </c>
      <c r="G970" s="215" t="s">
        <v>8737</v>
      </c>
      <c r="H970" s="215" t="s">
        <v>6497</v>
      </c>
      <c r="I970" s="300"/>
      <c r="J970" s="300"/>
      <c r="K970" s="300"/>
      <c r="L970" s="300"/>
      <c r="M970" s="300"/>
      <c r="N970" s="300"/>
      <c r="O970" s="300"/>
      <c r="P970" s="300"/>
      <c r="Q970" s="300"/>
      <c r="R970" s="300"/>
      <c r="S970" s="300"/>
      <c r="T970" s="300"/>
      <c r="U970" s="300"/>
      <c r="V970" s="300"/>
      <c r="W970" s="300"/>
      <c r="X970" s="300"/>
      <c r="Y970" s="300"/>
      <c r="Z970" s="300"/>
    </row>
    <row r="971" spans="1:26">
      <c r="A971" s="215" t="s">
        <v>3084</v>
      </c>
      <c r="B971" s="207">
        <v>1306</v>
      </c>
      <c r="C971" s="215" t="s">
        <v>5217</v>
      </c>
      <c r="D971" s="215" t="s">
        <v>8738</v>
      </c>
      <c r="E971" s="215" t="s">
        <v>8739</v>
      </c>
      <c r="F971" s="215" t="s">
        <v>8740</v>
      </c>
      <c r="G971" s="215" t="s">
        <v>8741</v>
      </c>
      <c r="H971" s="215" t="s">
        <v>6521</v>
      </c>
      <c r="I971" s="300"/>
      <c r="J971" s="300"/>
      <c r="K971" s="300"/>
      <c r="L971" s="300"/>
      <c r="M971" s="300"/>
      <c r="N971" s="300"/>
      <c r="O971" s="300"/>
      <c r="P971" s="300"/>
      <c r="Q971" s="300"/>
      <c r="R971" s="300"/>
      <c r="S971" s="300"/>
      <c r="T971" s="300"/>
      <c r="U971" s="300"/>
      <c r="V971" s="300"/>
      <c r="W971" s="300"/>
      <c r="X971" s="300"/>
      <c r="Y971" s="300"/>
      <c r="Z971" s="300"/>
    </row>
    <row r="972" spans="1:26">
      <c r="A972" s="215" t="s">
        <v>2930</v>
      </c>
      <c r="B972" s="207">
        <v>1308</v>
      </c>
      <c r="C972" s="215" t="s">
        <v>5088</v>
      </c>
      <c r="D972" s="215" t="s">
        <v>8742</v>
      </c>
      <c r="E972" s="215" t="s">
        <v>8742</v>
      </c>
      <c r="F972" s="215" t="s">
        <v>8740</v>
      </c>
      <c r="G972" s="215" t="s">
        <v>8741</v>
      </c>
      <c r="H972" s="215" t="s">
        <v>6497</v>
      </c>
      <c r="I972" s="300"/>
      <c r="J972" s="300"/>
      <c r="K972" s="300"/>
      <c r="L972" s="300"/>
      <c r="M972" s="300"/>
      <c r="N972" s="300"/>
      <c r="O972" s="300"/>
      <c r="P972" s="300"/>
      <c r="Q972" s="300"/>
      <c r="R972" s="300"/>
      <c r="S972" s="300"/>
      <c r="T972" s="300"/>
      <c r="U972" s="300"/>
      <c r="V972" s="300"/>
      <c r="W972" s="300"/>
      <c r="X972" s="300"/>
      <c r="Y972" s="300"/>
      <c r="Z972" s="300"/>
    </row>
    <row r="973" spans="1:26">
      <c r="A973" s="215" t="s">
        <v>3348</v>
      </c>
      <c r="B973" s="207">
        <v>10</v>
      </c>
      <c r="C973" s="215" t="s">
        <v>5469</v>
      </c>
      <c r="D973" s="215" t="s">
        <v>8743</v>
      </c>
      <c r="E973" s="215" t="s">
        <v>8743</v>
      </c>
      <c r="F973" s="215" t="s">
        <v>8744</v>
      </c>
      <c r="G973" s="215" t="s">
        <v>8745</v>
      </c>
      <c r="H973" s="215" t="s">
        <v>6497</v>
      </c>
      <c r="I973" s="300"/>
      <c r="J973" s="300"/>
      <c r="K973" s="300"/>
      <c r="L973" s="300"/>
      <c r="M973" s="300"/>
      <c r="N973" s="300"/>
      <c r="O973" s="300"/>
      <c r="P973" s="300"/>
      <c r="Q973" s="300"/>
      <c r="R973" s="300"/>
      <c r="S973" s="300"/>
      <c r="T973" s="300"/>
      <c r="U973" s="300"/>
      <c r="V973" s="300"/>
      <c r="W973" s="300"/>
      <c r="X973" s="300"/>
      <c r="Y973" s="300"/>
      <c r="Z973" s="300"/>
    </row>
    <row r="974" spans="1:26">
      <c r="A974" s="215"/>
      <c r="B974" s="207">
        <v>367</v>
      </c>
      <c r="C974" s="215" t="s">
        <v>8746</v>
      </c>
      <c r="D974" s="215" t="s">
        <v>8747</v>
      </c>
      <c r="E974" s="215" t="s">
        <v>8748</v>
      </c>
      <c r="F974" s="215" t="s">
        <v>2470</v>
      </c>
      <c r="G974" s="215" t="s">
        <v>8749</v>
      </c>
      <c r="H974" s="215" t="s">
        <v>6497</v>
      </c>
      <c r="I974" s="300"/>
      <c r="J974" s="300"/>
      <c r="K974" s="300"/>
      <c r="L974" s="300"/>
      <c r="M974" s="300"/>
      <c r="N974" s="300"/>
      <c r="O974" s="300"/>
      <c r="P974" s="300"/>
      <c r="Q974" s="300"/>
      <c r="R974" s="300"/>
      <c r="S974" s="300"/>
      <c r="T974" s="300"/>
      <c r="U974" s="300"/>
      <c r="V974" s="300"/>
      <c r="W974" s="300"/>
      <c r="X974" s="300"/>
      <c r="Y974" s="300"/>
      <c r="Z974" s="300"/>
    </row>
    <row r="975" spans="1:26">
      <c r="A975" s="215" t="s">
        <v>4316</v>
      </c>
      <c r="B975" s="207">
        <v>417</v>
      </c>
      <c r="C975" s="215" t="s">
        <v>6272</v>
      </c>
      <c r="D975" s="215" t="s">
        <v>8750</v>
      </c>
      <c r="E975" s="215" t="s">
        <v>8751</v>
      </c>
      <c r="F975" s="215" t="s">
        <v>2470</v>
      </c>
      <c r="G975" s="215" t="s">
        <v>8749</v>
      </c>
      <c r="H975" s="215" t="s">
        <v>6497</v>
      </c>
      <c r="I975" s="300"/>
      <c r="J975" s="300"/>
      <c r="K975" s="300"/>
      <c r="L975" s="300"/>
      <c r="M975" s="300"/>
      <c r="N975" s="300"/>
      <c r="O975" s="300"/>
      <c r="P975" s="300"/>
      <c r="Q975" s="300"/>
      <c r="R975" s="300"/>
      <c r="S975" s="300"/>
      <c r="T975" s="300"/>
      <c r="U975" s="300"/>
      <c r="V975" s="300"/>
      <c r="W975" s="300"/>
      <c r="X975" s="300"/>
      <c r="Y975" s="300"/>
      <c r="Z975" s="300"/>
    </row>
    <row r="976" spans="1:26">
      <c r="A976" s="215" t="s">
        <v>2440</v>
      </c>
      <c r="B976" s="207">
        <v>1352</v>
      </c>
      <c r="C976" s="215" t="s">
        <v>4773</v>
      </c>
      <c r="D976" s="215" t="s">
        <v>8752</v>
      </c>
      <c r="E976" s="215" t="s">
        <v>8752</v>
      </c>
      <c r="F976" s="215" t="s">
        <v>2470</v>
      </c>
      <c r="G976" s="215" t="s">
        <v>8749</v>
      </c>
      <c r="H976" s="215" t="s">
        <v>6504</v>
      </c>
      <c r="I976" s="300"/>
      <c r="J976" s="300"/>
      <c r="K976" s="300"/>
      <c r="L976" s="300"/>
      <c r="M976" s="300"/>
      <c r="N976" s="300"/>
      <c r="O976" s="300"/>
      <c r="P976" s="300"/>
      <c r="Q976" s="300"/>
      <c r="R976" s="300"/>
      <c r="S976" s="300"/>
      <c r="T976" s="300"/>
      <c r="U976" s="300"/>
      <c r="V976" s="300"/>
      <c r="W976" s="300"/>
      <c r="X976" s="300"/>
      <c r="Y976" s="300"/>
      <c r="Z976" s="300"/>
    </row>
    <row r="977" spans="1:26">
      <c r="A977" s="215" t="s">
        <v>2992</v>
      </c>
      <c r="B977" s="207">
        <v>2185</v>
      </c>
      <c r="C977" s="215" t="s">
        <v>8753</v>
      </c>
      <c r="D977" s="215" t="s">
        <v>8754</v>
      </c>
      <c r="E977" s="215" t="s">
        <v>8755</v>
      </c>
      <c r="F977" s="215" t="s">
        <v>2470</v>
      </c>
      <c r="G977" s="215" t="s">
        <v>8749</v>
      </c>
      <c r="H977" s="215" t="s">
        <v>6497</v>
      </c>
      <c r="I977" s="300"/>
      <c r="J977" s="300"/>
      <c r="K977" s="300"/>
      <c r="L977" s="300"/>
      <c r="M977" s="300"/>
      <c r="N977" s="300"/>
      <c r="O977" s="300"/>
      <c r="P977" s="300"/>
      <c r="Q977" s="300"/>
      <c r="R977" s="300"/>
      <c r="S977" s="300"/>
      <c r="T977" s="300"/>
      <c r="U977" s="300"/>
      <c r="V977" s="300"/>
      <c r="W977" s="300"/>
      <c r="X977" s="300"/>
      <c r="Y977" s="300"/>
      <c r="Z977" s="300"/>
    </row>
    <row r="978" spans="1:26">
      <c r="A978" s="215" t="s">
        <v>4032</v>
      </c>
      <c r="B978" s="207">
        <v>388</v>
      </c>
      <c r="C978" s="215" t="s">
        <v>8756</v>
      </c>
      <c r="D978" s="215" t="s">
        <v>8757</v>
      </c>
      <c r="E978" s="215" t="s">
        <v>8758</v>
      </c>
      <c r="F978" s="215" t="s">
        <v>8759</v>
      </c>
      <c r="G978" s="215" t="s">
        <v>8760</v>
      </c>
      <c r="H978" s="215" t="s">
        <v>6504</v>
      </c>
      <c r="I978" s="300"/>
      <c r="J978" s="300"/>
      <c r="K978" s="300"/>
      <c r="L978" s="300"/>
      <c r="M978" s="300"/>
      <c r="N978" s="300"/>
      <c r="O978" s="300"/>
      <c r="P978" s="300"/>
      <c r="Q978" s="300"/>
      <c r="R978" s="300"/>
      <c r="S978" s="300"/>
      <c r="T978" s="300"/>
      <c r="U978" s="300"/>
      <c r="V978" s="300"/>
      <c r="W978" s="300"/>
      <c r="X978" s="300"/>
      <c r="Y978" s="300"/>
      <c r="Z978" s="300"/>
    </row>
    <row r="979" spans="1:26">
      <c r="A979" s="215" t="s">
        <v>6882</v>
      </c>
      <c r="B979" s="207">
        <v>673</v>
      </c>
      <c r="C979" s="215" t="s">
        <v>8761</v>
      </c>
      <c r="D979" s="215" t="s">
        <v>8762</v>
      </c>
      <c r="E979" s="215" t="s">
        <v>8763</v>
      </c>
      <c r="F979" s="215" t="s">
        <v>8764</v>
      </c>
      <c r="G979" s="215" t="s">
        <v>8765</v>
      </c>
      <c r="H979" s="215" t="s">
        <v>6504</v>
      </c>
      <c r="I979" s="300"/>
      <c r="J979" s="300"/>
      <c r="K979" s="300"/>
      <c r="L979" s="300"/>
      <c r="M979" s="300"/>
      <c r="N979" s="300"/>
      <c r="O979" s="300"/>
      <c r="P979" s="300"/>
      <c r="Q979" s="300"/>
      <c r="R979" s="300"/>
      <c r="S979" s="300"/>
      <c r="T979" s="300"/>
      <c r="U979" s="300"/>
      <c r="V979" s="300"/>
      <c r="W979" s="300"/>
      <c r="X979" s="300"/>
      <c r="Y979" s="300"/>
      <c r="Z979" s="300"/>
    </row>
    <row r="980" spans="1:26">
      <c r="A980" s="215" t="s">
        <v>3268</v>
      </c>
      <c r="B980" s="207">
        <v>143</v>
      </c>
      <c r="C980" s="215" t="s">
        <v>5457</v>
      </c>
      <c r="D980" s="215" t="s">
        <v>8766</v>
      </c>
      <c r="E980" s="215" t="s">
        <v>8767</v>
      </c>
      <c r="F980" s="215" t="s">
        <v>8768</v>
      </c>
      <c r="G980" s="215" t="s">
        <v>8769</v>
      </c>
      <c r="H980" s="215" t="s">
        <v>6500</v>
      </c>
      <c r="I980" s="300"/>
      <c r="J980" s="300"/>
      <c r="K980" s="300"/>
      <c r="L980" s="300"/>
      <c r="M980" s="300"/>
      <c r="N980" s="300"/>
      <c r="O980" s="300"/>
      <c r="P980" s="300"/>
      <c r="Q980" s="300"/>
      <c r="R980" s="300"/>
      <c r="S980" s="300"/>
      <c r="T980" s="300"/>
      <c r="U980" s="300"/>
      <c r="V980" s="300"/>
      <c r="W980" s="300"/>
      <c r="X980" s="300"/>
      <c r="Y980" s="300"/>
      <c r="Z980" s="300"/>
    </row>
    <row r="981" spans="1:26">
      <c r="A981" s="215" t="s">
        <v>3332</v>
      </c>
      <c r="B981" s="207">
        <v>686</v>
      </c>
      <c r="C981" s="215" t="s">
        <v>5456</v>
      </c>
      <c r="D981" s="215" t="s">
        <v>8770</v>
      </c>
      <c r="E981" s="215" t="s">
        <v>8771</v>
      </c>
      <c r="F981" s="215" t="s">
        <v>8768</v>
      </c>
      <c r="G981" s="215" t="s">
        <v>8769</v>
      </c>
      <c r="H981" s="215" t="s">
        <v>6500</v>
      </c>
      <c r="I981" s="300"/>
      <c r="J981" s="300"/>
      <c r="K981" s="300"/>
      <c r="L981" s="300"/>
      <c r="M981" s="300"/>
      <c r="N981" s="300"/>
      <c r="O981" s="300"/>
      <c r="P981" s="300"/>
      <c r="Q981" s="300"/>
      <c r="R981" s="300"/>
      <c r="S981" s="300"/>
      <c r="T981" s="300"/>
      <c r="U981" s="300"/>
      <c r="V981" s="300"/>
      <c r="W981" s="300"/>
      <c r="X981" s="300"/>
      <c r="Y981" s="300"/>
      <c r="Z981" s="300"/>
    </row>
    <row r="982" spans="1:26">
      <c r="A982" s="215" t="s">
        <v>3332</v>
      </c>
      <c r="B982" s="207">
        <v>687</v>
      </c>
      <c r="C982" s="215" t="s">
        <v>5458</v>
      </c>
      <c r="D982" s="215" t="s">
        <v>8772</v>
      </c>
      <c r="E982" s="215" t="s">
        <v>8773</v>
      </c>
      <c r="F982" s="215" t="s">
        <v>8768</v>
      </c>
      <c r="G982" s="215" t="s">
        <v>8769</v>
      </c>
      <c r="H982" s="215" t="s">
        <v>6521</v>
      </c>
      <c r="I982" s="300"/>
      <c r="J982" s="300"/>
      <c r="K982" s="300"/>
      <c r="L982" s="300"/>
      <c r="M982" s="300"/>
      <c r="N982" s="300"/>
      <c r="O982" s="300"/>
      <c r="P982" s="300"/>
      <c r="Q982" s="300"/>
      <c r="R982" s="300"/>
      <c r="S982" s="300"/>
      <c r="T982" s="300"/>
      <c r="U982" s="300"/>
      <c r="V982" s="300"/>
      <c r="W982" s="300"/>
      <c r="X982" s="300"/>
      <c r="Y982" s="300"/>
      <c r="Z982" s="300"/>
    </row>
    <row r="983" spans="1:26">
      <c r="A983" s="215" t="s">
        <v>2496</v>
      </c>
      <c r="B983" s="207">
        <v>1777</v>
      </c>
      <c r="C983" s="215" t="s">
        <v>8774</v>
      </c>
      <c r="D983" s="215" t="s">
        <v>8775</v>
      </c>
      <c r="E983" s="215" t="s">
        <v>8776</v>
      </c>
      <c r="F983" s="215" t="s">
        <v>8777</v>
      </c>
      <c r="G983" s="215" t="s">
        <v>8778</v>
      </c>
      <c r="H983" s="215" t="s">
        <v>6521</v>
      </c>
      <c r="I983" s="300"/>
      <c r="J983" s="300"/>
      <c r="K983" s="300"/>
      <c r="L983" s="300"/>
      <c r="M983" s="300"/>
      <c r="N983" s="300"/>
      <c r="O983" s="300"/>
      <c r="P983" s="300"/>
      <c r="Q983" s="300"/>
      <c r="R983" s="300"/>
      <c r="S983" s="300"/>
      <c r="T983" s="300"/>
      <c r="U983" s="300"/>
      <c r="V983" s="300"/>
      <c r="W983" s="300"/>
      <c r="X983" s="300"/>
      <c r="Y983" s="300"/>
      <c r="Z983" s="300"/>
    </row>
    <row r="984" spans="1:26">
      <c r="A984" s="215" t="s">
        <v>3425</v>
      </c>
      <c r="B984" s="207">
        <v>1778</v>
      </c>
      <c r="C984" s="215" t="s">
        <v>8779</v>
      </c>
      <c r="D984" s="215" t="s">
        <v>8780</v>
      </c>
      <c r="E984" s="215" t="s">
        <v>8781</v>
      </c>
      <c r="F984" s="215" t="s">
        <v>8777</v>
      </c>
      <c r="G984" s="215" t="s">
        <v>8778</v>
      </c>
      <c r="H984" s="215" t="s">
        <v>6521</v>
      </c>
      <c r="I984" s="300"/>
      <c r="J984" s="300"/>
      <c r="K984" s="300"/>
      <c r="L984" s="300"/>
      <c r="M984" s="300"/>
      <c r="N984" s="300"/>
      <c r="O984" s="300"/>
      <c r="P984" s="300"/>
      <c r="Q984" s="300"/>
      <c r="R984" s="300"/>
      <c r="S984" s="300"/>
      <c r="T984" s="300"/>
      <c r="U984" s="300"/>
      <c r="V984" s="300"/>
      <c r="W984" s="300"/>
      <c r="X984" s="300"/>
      <c r="Y984" s="300"/>
      <c r="Z984" s="300"/>
    </row>
    <row r="985" spans="1:26">
      <c r="A985" s="215"/>
      <c r="B985" s="207">
        <v>1780</v>
      </c>
      <c r="C985" s="215" t="s">
        <v>8782</v>
      </c>
      <c r="D985" s="215" t="s">
        <v>8783</v>
      </c>
      <c r="E985" s="215" t="s">
        <v>8784</v>
      </c>
      <c r="F985" s="215" t="s">
        <v>8777</v>
      </c>
      <c r="G985" s="215" t="s">
        <v>8778</v>
      </c>
      <c r="H985" s="215" t="s">
        <v>6521</v>
      </c>
      <c r="I985" s="300"/>
      <c r="J985" s="300"/>
      <c r="K985" s="300"/>
      <c r="L985" s="300"/>
      <c r="M985" s="300"/>
      <c r="N985" s="300"/>
      <c r="O985" s="300"/>
      <c r="P985" s="300"/>
      <c r="Q985" s="300"/>
      <c r="R985" s="300"/>
      <c r="S985" s="300"/>
      <c r="T985" s="300"/>
      <c r="U985" s="300"/>
      <c r="V985" s="300"/>
      <c r="W985" s="300"/>
      <c r="X985" s="300"/>
      <c r="Y985" s="300"/>
      <c r="Z985" s="300"/>
    </row>
    <row r="986" spans="1:26">
      <c r="A986" s="215" t="s">
        <v>2902</v>
      </c>
      <c r="B986" s="207">
        <v>1784</v>
      </c>
      <c r="C986" s="215" t="s">
        <v>8785</v>
      </c>
      <c r="D986" s="215" t="s">
        <v>8786</v>
      </c>
      <c r="E986" s="215" t="s">
        <v>8787</v>
      </c>
      <c r="F986" s="215" t="s">
        <v>8777</v>
      </c>
      <c r="G986" s="215" t="s">
        <v>8778</v>
      </c>
      <c r="H986" s="215" t="s">
        <v>6500</v>
      </c>
      <c r="I986" s="300"/>
      <c r="J986" s="300"/>
      <c r="K986" s="300"/>
      <c r="L986" s="300"/>
      <c r="M986" s="300"/>
      <c r="N986" s="300"/>
      <c r="O986" s="300"/>
      <c r="P986" s="300"/>
      <c r="Q986" s="300"/>
      <c r="R986" s="300"/>
      <c r="S986" s="300"/>
      <c r="T986" s="300"/>
      <c r="U986" s="300"/>
      <c r="V986" s="300"/>
      <c r="W986" s="300"/>
      <c r="X986" s="300"/>
      <c r="Y986" s="300"/>
      <c r="Z986" s="300"/>
    </row>
    <row r="987" spans="1:26">
      <c r="A987" s="215" t="s">
        <v>8788</v>
      </c>
      <c r="B987" s="207">
        <v>1787</v>
      </c>
      <c r="C987" s="215" t="s">
        <v>8789</v>
      </c>
      <c r="D987" s="215" t="s">
        <v>8790</v>
      </c>
      <c r="E987" s="215" t="s">
        <v>8790</v>
      </c>
      <c r="F987" s="215" t="s">
        <v>8777</v>
      </c>
      <c r="G987" s="215" t="s">
        <v>8778</v>
      </c>
      <c r="H987" s="215" t="s">
        <v>6521</v>
      </c>
      <c r="I987" s="300"/>
      <c r="J987" s="300"/>
      <c r="K987" s="300"/>
      <c r="L987" s="300"/>
      <c r="M987" s="300"/>
      <c r="N987" s="300"/>
      <c r="O987" s="300"/>
      <c r="P987" s="300"/>
      <c r="Q987" s="300"/>
      <c r="R987" s="300"/>
      <c r="S987" s="300"/>
      <c r="T987" s="300"/>
      <c r="U987" s="300"/>
      <c r="V987" s="300"/>
      <c r="W987" s="300"/>
      <c r="X987" s="300"/>
      <c r="Y987" s="300"/>
      <c r="Z987" s="300"/>
    </row>
    <row r="988" spans="1:26">
      <c r="A988" s="215" t="s">
        <v>3288</v>
      </c>
      <c r="B988" s="207">
        <v>1788</v>
      </c>
      <c r="C988" s="215" t="s">
        <v>8791</v>
      </c>
      <c r="D988" s="215" t="s">
        <v>8792</v>
      </c>
      <c r="E988" s="215" t="s">
        <v>8792</v>
      </c>
      <c r="F988" s="215" t="s">
        <v>8777</v>
      </c>
      <c r="G988" s="215" t="s">
        <v>8778</v>
      </c>
      <c r="H988" s="215" t="s">
        <v>6497</v>
      </c>
      <c r="I988" s="300"/>
      <c r="J988" s="300"/>
      <c r="K988" s="300"/>
      <c r="L988" s="300"/>
      <c r="M988" s="300"/>
      <c r="N988" s="300"/>
      <c r="O988" s="300"/>
      <c r="P988" s="300"/>
      <c r="Q988" s="300"/>
      <c r="R988" s="300"/>
      <c r="S988" s="300"/>
      <c r="T988" s="300"/>
      <c r="U988" s="300"/>
      <c r="V988" s="300"/>
      <c r="W988" s="300"/>
      <c r="X988" s="300"/>
      <c r="Y988" s="300"/>
      <c r="Z988" s="300"/>
    </row>
    <row r="989" spans="1:26">
      <c r="A989" s="215"/>
      <c r="B989" s="207">
        <v>1791</v>
      </c>
      <c r="C989" s="215" t="s">
        <v>8793</v>
      </c>
      <c r="D989" s="215" t="s">
        <v>8794</v>
      </c>
      <c r="E989" s="215" t="s">
        <v>8795</v>
      </c>
      <c r="F989" s="215" t="s">
        <v>8777</v>
      </c>
      <c r="G989" s="215" t="s">
        <v>8778</v>
      </c>
      <c r="H989" s="215" t="s">
        <v>6521</v>
      </c>
      <c r="I989" s="300"/>
      <c r="J989" s="300"/>
      <c r="K989" s="300"/>
      <c r="L989" s="300"/>
      <c r="M989" s="300"/>
      <c r="N989" s="300"/>
      <c r="O989" s="300"/>
      <c r="P989" s="300"/>
      <c r="Q989" s="300"/>
      <c r="R989" s="300"/>
      <c r="S989" s="300"/>
      <c r="T989" s="300"/>
      <c r="U989" s="300"/>
      <c r="V989" s="300"/>
      <c r="W989" s="300"/>
      <c r="X989" s="300"/>
      <c r="Y989" s="300"/>
      <c r="Z989" s="300"/>
    </row>
    <row r="990" spans="1:26">
      <c r="A990" s="215" t="s">
        <v>8796</v>
      </c>
      <c r="B990" s="207">
        <v>1800</v>
      </c>
      <c r="C990" s="215" t="s">
        <v>8797</v>
      </c>
      <c r="D990" s="215" t="s">
        <v>8798</v>
      </c>
      <c r="E990" s="215" t="s">
        <v>8799</v>
      </c>
      <c r="F990" s="215" t="s">
        <v>8777</v>
      </c>
      <c r="G990" s="215" t="s">
        <v>8778</v>
      </c>
      <c r="H990" s="215" t="s">
        <v>6500</v>
      </c>
      <c r="I990" s="300"/>
      <c r="J990" s="300"/>
      <c r="K990" s="300"/>
      <c r="L990" s="300"/>
      <c r="M990" s="300"/>
      <c r="N990" s="300"/>
      <c r="O990" s="300"/>
      <c r="P990" s="300"/>
      <c r="Q990" s="300"/>
      <c r="R990" s="300"/>
      <c r="S990" s="300"/>
      <c r="T990" s="300"/>
      <c r="U990" s="300"/>
      <c r="V990" s="300"/>
      <c r="W990" s="300"/>
      <c r="X990" s="300"/>
      <c r="Y990" s="300"/>
      <c r="Z990" s="300"/>
    </row>
    <row r="991" spans="1:26">
      <c r="A991" s="215"/>
      <c r="B991" s="207">
        <v>1801</v>
      </c>
      <c r="C991" s="215" t="s">
        <v>8800</v>
      </c>
      <c r="D991" s="215" t="s">
        <v>8801</v>
      </c>
      <c r="E991" s="215" t="s">
        <v>8802</v>
      </c>
      <c r="F991" s="215" t="s">
        <v>8777</v>
      </c>
      <c r="G991" s="215" t="s">
        <v>8778</v>
      </c>
      <c r="H991" s="215" t="s">
        <v>6521</v>
      </c>
      <c r="I991" s="300"/>
      <c r="J991" s="300"/>
      <c r="K991" s="300"/>
      <c r="L991" s="300"/>
      <c r="M991" s="300"/>
      <c r="N991" s="300"/>
      <c r="O991" s="300"/>
      <c r="P991" s="300"/>
      <c r="Q991" s="300"/>
      <c r="R991" s="300"/>
      <c r="S991" s="300"/>
      <c r="T991" s="300"/>
      <c r="U991" s="300"/>
      <c r="V991" s="300"/>
      <c r="W991" s="300"/>
      <c r="X991" s="300"/>
      <c r="Y991" s="300"/>
      <c r="Z991" s="300"/>
    </row>
    <row r="992" spans="1:26">
      <c r="A992" s="215" t="s">
        <v>3981</v>
      </c>
      <c r="B992" s="207">
        <v>1803</v>
      </c>
      <c r="C992" s="215" t="s">
        <v>8803</v>
      </c>
      <c r="D992" s="215" t="s">
        <v>8804</v>
      </c>
      <c r="E992" s="215" t="s">
        <v>8805</v>
      </c>
      <c r="F992" s="215" t="s">
        <v>8777</v>
      </c>
      <c r="G992" s="215" t="s">
        <v>8778</v>
      </c>
      <c r="H992" s="215" t="s">
        <v>6521</v>
      </c>
      <c r="I992" s="300"/>
      <c r="J992" s="300"/>
      <c r="K992" s="300"/>
      <c r="L992" s="300"/>
      <c r="M992" s="300"/>
      <c r="N992" s="300"/>
      <c r="O992" s="300"/>
      <c r="P992" s="300"/>
      <c r="Q992" s="300"/>
      <c r="R992" s="300"/>
      <c r="S992" s="300"/>
      <c r="T992" s="300"/>
      <c r="U992" s="300"/>
      <c r="V992" s="300"/>
      <c r="W992" s="300"/>
      <c r="X992" s="300"/>
      <c r="Y992" s="300"/>
      <c r="Z992" s="300"/>
    </row>
    <row r="993" spans="1:26">
      <c r="A993" s="215"/>
      <c r="B993" s="207">
        <v>1822</v>
      </c>
      <c r="C993" s="215" t="s">
        <v>8806</v>
      </c>
      <c r="D993" s="215" t="s">
        <v>8807</v>
      </c>
      <c r="E993" s="215" t="s">
        <v>8807</v>
      </c>
      <c r="F993" s="215" t="s">
        <v>8777</v>
      </c>
      <c r="G993" s="215" t="s">
        <v>8778</v>
      </c>
      <c r="H993" s="215" t="s">
        <v>6521</v>
      </c>
      <c r="I993" s="300"/>
      <c r="J993" s="300"/>
      <c r="K993" s="300"/>
      <c r="L993" s="300"/>
      <c r="M993" s="300"/>
      <c r="N993" s="300"/>
      <c r="O993" s="300"/>
      <c r="P993" s="300"/>
      <c r="Q993" s="300"/>
      <c r="R993" s="300"/>
      <c r="S993" s="300"/>
      <c r="T993" s="300"/>
      <c r="U993" s="300"/>
      <c r="V993" s="300"/>
      <c r="W993" s="300"/>
      <c r="X993" s="300"/>
      <c r="Y993" s="300"/>
      <c r="Z993" s="300"/>
    </row>
    <row r="994" spans="1:26">
      <c r="A994" s="215" t="s">
        <v>3654</v>
      </c>
      <c r="B994" s="207">
        <v>1823</v>
      </c>
      <c r="C994" s="215" t="s">
        <v>8808</v>
      </c>
      <c r="D994" s="215" t="s">
        <v>8809</v>
      </c>
      <c r="E994" s="215" t="s">
        <v>8809</v>
      </c>
      <c r="F994" s="215" t="s">
        <v>8777</v>
      </c>
      <c r="G994" s="215" t="s">
        <v>8778</v>
      </c>
      <c r="H994" s="215" t="s">
        <v>6504</v>
      </c>
      <c r="I994" s="300"/>
      <c r="J994" s="300"/>
      <c r="K994" s="300"/>
      <c r="L994" s="300"/>
      <c r="M994" s="300"/>
      <c r="N994" s="300"/>
      <c r="O994" s="300"/>
      <c r="P994" s="300"/>
      <c r="Q994" s="300"/>
      <c r="R994" s="300"/>
      <c r="S994" s="300"/>
      <c r="T994" s="300"/>
      <c r="U994" s="300"/>
      <c r="V994" s="300"/>
      <c r="W994" s="300"/>
      <c r="X994" s="300"/>
      <c r="Y994" s="300"/>
      <c r="Z994" s="300"/>
    </row>
    <row r="995" spans="1:26">
      <c r="A995" s="215"/>
      <c r="B995" s="207">
        <v>1824</v>
      </c>
      <c r="C995" s="215" t="s">
        <v>5987</v>
      </c>
      <c r="D995" s="215" t="s">
        <v>8810</v>
      </c>
      <c r="E995" s="215" t="s">
        <v>5987</v>
      </c>
      <c r="F995" s="215" t="s">
        <v>8777</v>
      </c>
      <c r="G995" s="215" t="s">
        <v>8778</v>
      </c>
      <c r="H995" s="215" t="s">
        <v>6500</v>
      </c>
      <c r="I995" s="300"/>
      <c r="J995" s="300"/>
      <c r="K995" s="300"/>
      <c r="L995" s="300"/>
      <c r="M995" s="300"/>
      <c r="N995" s="300"/>
      <c r="O995" s="300"/>
      <c r="P995" s="300"/>
      <c r="Q995" s="300"/>
      <c r="R995" s="300"/>
      <c r="S995" s="300"/>
      <c r="T995" s="300"/>
      <c r="U995" s="300"/>
      <c r="V995" s="300"/>
      <c r="W995" s="300"/>
      <c r="X995" s="300"/>
      <c r="Y995" s="300"/>
      <c r="Z995" s="300"/>
    </row>
    <row r="996" spans="1:26">
      <c r="A996" s="215" t="s">
        <v>8811</v>
      </c>
      <c r="B996" s="207">
        <v>1825</v>
      </c>
      <c r="C996" s="215" t="s">
        <v>8812</v>
      </c>
      <c r="D996" s="215" t="s">
        <v>8813</v>
      </c>
      <c r="E996" s="215" t="s">
        <v>8814</v>
      </c>
      <c r="F996" s="215" t="s">
        <v>8777</v>
      </c>
      <c r="G996" s="215" t="s">
        <v>8778</v>
      </c>
      <c r="H996" s="215" t="s">
        <v>6521</v>
      </c>
      <c r="I996" s="300"/>
      <c r="J996" s="300"/>
      <c r="K996" s="300"/>
      <c r="L996" s="300"/>
      <c r="M996" s="300"/>
      <c r="N996" s="300"/>
      <c r="O996" s="300"/>
      <c r="P996" s="300"/>
      <c r="Q996" s="300"/>
      <c r="R996" s="300"/>
      <c r="S996" s="300"/>
      <c r="T996" s="300"/>
      <c r="U996" s="300"/>
      <c r="V996" s="300"/>
      <c r="W996" s="300"/>
      <c r="X996" s="300"/>
      <c r="Y996" s="300"/>
      <c r="Z996" s="300"/>
    </row>
    <row r="997" spans="1:26">
      <c r="A997" s="215"/>
      <c r="B997" s="207">
        <v>1826</v>
      </c>
      <c r="C997" s="215" t="s">
        <v>8815</v>
      </c>
      <c r="D997" s="215" t="s">
        <v>8816</v>
      </c>
      <c r="E997" s="215" t="s">
        <v>8817</v>
      </c>
      <c r="F997" s="215" t="s">
        <v>8777</v>
      </c>
      <c r="G997" s="215" t="s">
        <v>8778</v>
      </c>
      <c r="H997" s="215" t="s">
        <v>6521</v>
      </c>
      <c r="I997" s="300"/>
      <c r="J997" s="300"/>
      <c r="K997" s="300"/>
      <c r="L997" s="300"/>
      <c r="M997" s="300"/>
      <c r="N997" s="300"/>
      <c r="O997" s="300"/>
      <c r="P997" s="300"/>
      <c r="Q997" s="300"/>
      <c r="R997" s="300"/>
      <c r="S997" s="300"/>
      <c r="T997" s="300"/>
      <c r="U997" s="300"/>
      <c r="V997" s="300"/>
      <c r="W997" s="300"/>
      <c r="X997" s="300"/>
      <c r="Y997" s="300"/>
      <c r="Z997" s="300"/>
    </row>
    <row r="998" spans="1:26">
      <c r="A998" s="215" t="s">
        <v>3363</v>
      </c>
      <c r="B998" s="207">
        <v>1827</v>
      </c>
      <c r="C998" s="215" t="s">
        <v>8818</v>
      </c>
      <c r="D998" s="215" t="s">
        <v>8819</v>
      </c>
      <c r="E998" s="215" t="s">
        <v>8820</v>
      </c>
      <c r="F998" s="215" t="s">
        <v>8777</v>
      </c>
      <c r="G998" s="215" t="s">
        <v>8778</v>
      </c>
      <c r="H998" s="215" t="s">
        <v>6521</v>
      </c>
      <c r="I998" s="300"/>
      <c r="J998" s="300"/>
      <c r="K998" s="300"/>
      <c r="L998" s="300"/>
      <c r="M998" s="300"/>
      <c r="N998" s="300"/>
      <c r="O998" s="300"/>
      <c r="P998" s="300"/>
      <c r="Q998" s="300"/>
      <c r="R998" s="300"/>
      <c r="S998" s="300"/>
      <c r="T998" s="300"/>
      <c r="U998" s="300"/>
      <c r="V998" s="300"/>
      <c r="W998" s="300"/>
      <c r="X998" s="300"/>
      <c r="Y998" s="300"/>
      <c r="Z998" s="300"/>
    </row>
    <row r="999" spans="1:26">
      <c r="A999" s="215" t="s">
        <v>3989</v>
      </c>
      <c r="B999" s="207">
        <v>1828</v>
      </c>
      <c r="C999" s="215" t="s">
        <v>8821</v>
      </c>
      <c r="D999" s="215" t="s">
        <v>8822</v>
      </c>
      <c r="E999" s="215" t="s">
        <v>8823</v>
      </c>
      <c r="F999" s="215" t="s">
        <v>8777</v>
      </c>
      <c r="G999" s="215" t="s">
        <v>8778</v>
      </c>
      <c r="H999" s="215" t="s">
        <v>6500</v>
      </c>
      <c r="I999" s="300"/>
      <c r="J999" s="300"/>
      <c r="K999" s="300"/>
      <c r="L999" s="300"/>
      <c r="M999" s="300"/>
      <c r="N999" s="300"/>
      <c r="O999" s="300"/>
      <c r="P999" s="300"/>
      <c r="Q999" s="300"/>
      <c r="R999" s="300"/>
      <c r="S999" s="300"/>
      <c r="T999" s="300"/>
      <c r="U999" s="300"/>
      <c r="V999" s="300"/>
      <c r="W999" s="300"/>
      <c r="X999" s="300"/>
      <c r="Y999" s="300"/>
      <c r="Z999" s="300"/>
    </row>
    <row r="1000" spans="1:26">
      <c r="A1000" s="215" t="s">
        <v>3986</v>
      </c>
      <c r="B1000" s="207">
        <v>1829</v>
      </c>
      <c r="C1000" s="215" t="s">
        <v>6017</v>
      </c>
      <c r="D1000" s="215" t="s">
        <v>8824</v>
      </c>
      <c r="E1000" s="215" t="s">
        <v>8825</v>
      </c>
      <c r="F1000" s="215" t="s">
        <v>8777</v>
      </c>
      <c r="G1000" s="215" t="s">
        <v>8778</v>
      </c>
      <c r="H1000" s="215" t="s">
        <v>6500</v>
      </c>
      <c r="I1000" s="300"/>
      <c r="J1000" s="300"/>
      <c r="K1000" s="300"/>
      <c r="L1000" s="300"/>
      <c r="M1000" s="300"/>
      <c r="N1000" s="300"/>
      <c r="O1000" s="300"/>
      <c r="P1000" s="300"/>
      <c r="Q1000" s="300"/>
      <c r="R1000" s="300"/>
      <c r="S1000" s="300"/>
      <c r="T1000" s="300"/>
      <c r="U1000" s="300"/>
      <c r="V1000" s="300"/>
      <c r="W1000" s="300"/>
      <c r="X1000" s="300"/>
      <c r="Y1000" s="300"/>
      <c r="Z1000" s="300"/>
    </row>
    <row r="1001" spans="1:26">
      <c r="A1001" s="215" t="s">
        <v>4321</v>
      </c>
      <c r="B1001" s="207">
        <v>1830</v>
      </c>
      <c r="C1001" s="215" t="s">
        <v>8826</v>
      </c>
      <c r="D1001" s="215" t="s">
        <v>8827</v>
      </c>
      <c r="E1001" s="215" t="s">
        <v>8828</v>
      </c>
      <c r="F1001" s="215" t="s">
        <v>8777</v>
      </c>
      <c r="G1001" s="215" t="s">
        <v>8778</v>
      </c>
      <c r="H1001" s="215" t="s">
        <v>6500</v>
      </c>
      <c r="I1001" s="300"/>
      <c r="J1001" s="300"/>
      <c r="K1001" s="300"/>
      <c r="L1001" s="300"/>
      <c r="M1001" s="300"/>
      <c r="N1001" s="300"/>
      <c r="O1001" s="300"/>
      <c r="P1001" s="300"/>
      <c r="Q1001" s="300"/>
      <c r="R1001" s="300"/>
      <c r="S1001" s="300"/>
      <c r="T1001" s="300"/>
      <c r="U1001" s="300"/>
      <c r="V1001" s="300"/>
      <c r="W1001" s="300"/>
      <c r="X1001" s="300"/>
      <c r="Y1001" s="300"/>
      <c r="Z1001" s="300"/>
    </row>
    <row r="1002" spans="1:26">
      <c r="A1002" s="215" t="s">
        <v>8829</v>
      </c>
      <c r="B1002" s="207">
        <v>1831</v>
      </c>
      <c r="C1002" s="215" t="s">
        <v>8830</v>
      </c>
      <c r="D1002" s="215" t="s">
        <v>8831</v>
      </c>
      <c r="E1002" s="215" t="s">
        <v>8832</v>
      </c>
      <c r="F1002" s="215" t="s">
        <v>8777</v>
      </c>
      <c r="G1002" s="215" t="s">
        <v>8778</v>
      </c>
      <c r="H1002" s="215" t="s">
        <v>6500</v>
      </c>
      <c r="I1002" s="300"/>
      <c r="J1002" s="300"/>
      <c r="K1002" s="300"/>
      <c r="L1002" s="300"/>
      <c r="M1002" s="300"/>
      <c r="N1002" s="300"/>
      <c r="O1002" s="300"/>
      <c r="P1002" s="300"/>
      <c r="Q1002" s="300"/>
      <c r="R1002" s="300"/>
      <c r="S1002" s="300"/>
      <c r="T1002" s="300"/>
      <c r="U1002" s="300"/>
      <c r="V1002" s="300"/>
      <c r="W1002" s="300"/>
      <c r="X1002" s="300"/>
      <c r="Y1002" s="300"/>
      <c r="Z1002" s="300"/>
    </row>
    <row r="1003" spans="1:26">
      <c r="A1003" s="215" t="s">
        <v>4380</v>
      </c>
      <c r="B1003" s="207">
        <v>1832</v>
      </c>
      <c r="C1003" s="215" t="s">
        <v>8833</v>
      </c>
      <c r="D1003" s="215" t="s">
        <v>8834</v>
      </c>
      <c r="E1003" s="215" t="s">
        <v>8835</v>
      </c>
      <c r="F1003" s="215" t="s">
        <v>8777</v>
      </c>
      <c r="G1003" s="215" t="s">
        <v>8778</v>
      </c>
      <c r="H1003" s="215" t="s">
        <v>6521</v>
      </c>
      <c r="I1003" s="300"/>
      <c r="J1003" s="300"/>
      <c r="K1003" s="300"/>
      <c r="L1003" s="300"/>
      <c r="M1003" s="300"/>
      <c r="N1003" s="300"/>
      <c r="O1003" s="300"/>
      <c r="P1003" s="300"/>
      <c r="Q1003" s="300"/>
      <c r="R1003" s="300"/>
      <c r="S1003" s="300"/>
      <c r="T1003" s="300"/>
      <c r="U1003" s="300"/>
      <c r="V1003" s="300"/>
      <c r="W1003" s="300"/>
      <c r="X1003" s="300"/>
      <c r="Y1003" s="300"/>
      <c r="Z1003" s="300"/>
    </row>
    <row r="1004" spans="1:26">
      <c r="A1004" s="215"/>
      <c r="B1004" s="207">
        <v>1833</v>
      </c>
      <c r="C1004" s="215" t="s">
        <v>6398</v>
      </c>
      <c r="D1004" s="215" t="s">
        <v>8836</v>
      </c>
      <c r="E1004" s="215" t="s">
        <v>8836</v>
      </c>
      <c r="F1004" s="215" t="s">
        <v>8777</v>
      </c>
      <c r="G1004" s="215" t="s">
        <v>8778</v>
      </c>
      <c r="H1004" s="215" t="s">
        <v>6497</v>
      </c>
      <c r="I1004" s="300"/>
      <c r="J1004" s="300"/>
      <c r="K1004" s="300"/>
      <c r="L1004" s="300"/>
      <c r="M1004" s="300"/>
      <c r="N1004" s="300"/>
      <c r="O1004" s="300"/>
      <c r="P1004" s="300"/>
      <c r="Q1004" s="300"/>
      <c r="R1004" s="300"/>
      <c r="S1004" s="300"/>
      <c r="T1004" s="300"/>
      <c r="U1004" s="300"/>
      <c r="V1004" s="300"/>
      <c r="W1004" s="300"/>
      <c r="X1004" s="300"/>
      <c r="Y1004" s="300"/>
      <c r="Z1004" s="300"/>
    </row>
    <row r="1005" spans="1:26">
      <c r="A1005" s="215" t="s">
        <v>2903</v>
      </c>
      <c r="B1005" s="207">
        <v>1834</v>
      </c>
      <c r="C1005" s="215" t="s">
        <v>8837</v>
      </c>
      <c r="D1005" s="215" t="s">
        <v>8838</v>
      </c>
      <c r="E1005" s="215" t="s">
        <v>8839</v>
      </c>
      <c r="F1005" s="215" t="s">
        <v>8777</v>
      </c>
      <c r="G1005" s="215" t="s">
        <v>8778</v>
      </c>
      <c r="H1005" s="215" t="s">
        <v>6521</v>
      </c>
      <c r="I1005" s="300"/>
      <c r="J1005" s="300"/>
      <c r="K1005" s="300"/>
      <c r="L1005" s="300"/>
      <c r="M1005" s="300"/>
      <c r="N1005" s="300"/>
      <c r="O1005" s="300"/>
      <c r="P1005" s="300"/>
      <c r="Q1005" s="300"/>
      <c r="R1005" s="300"/>
      <c r="S1005" s="300"/>
      <c r="T1005" s="300"/>
      <c r="U1005" s="300"/>
      <c r="V1005" s="300"/>
      <c r="W1005" s="300"/>
      <c r="X1005" s="300"/>
      <c r="Y1005" s="300"/>
      <c r="Z1005" s="300"/>
    </row>
    <row r="1006" spans="1:26">
      <c r="A1006" s="215" t="s">
        <v>3089</v>
      </c>
      <c r="B1006" s="207">
        <v>293</v>
      </c>
      <c r="C1006" s="215" t="s">
        <v>8840</v>
      </c>
      <c r="D1006" s="215" t="s">
        <v>8841</v>
      </c>
      <c r="E1006" s="215" t="s">
        <v>8842</v>
      </c>
      <c r="F1006" s="215" t="s">
        <v>8843</v>
      </c>
      <c r="G1006" s="215" t="s">
        <v>8844</v>
      </c>
      <c r="H1006" s="215" t="s">
        <v>6504</v>
      </c>
      <c r="I1006" s="300"/>
      <c r="J1006" s="300"/>
      <c r="K1006" s="300"/>
      <c r="L1006" s="300"/>
      <c r="M1006" s="300"/>
      <c r="N1006" s="300"/>
      <c r="O1006" s="300"/>
      <c r="P1006" s="300"/>
      <c r="Q1006" s="300"/>
      <c r="R1006" s="300"/>
      <c r="S1006" s="300"/>
      <c r="T1006" s="300"/>
      <c r="U1006" s="300"/>
      <c r="V1006" s="300"/>
      <c r="W1006" s="300"/>
      <c r="X1006" s="300"/>
      <c r="Y1006" s="300"/>
      <c r="Z1006" s="300"/>
    </row>
    <row r="1007" spans="1:26">
      <c r="A1007" s="215" t="s">
        <v>3936</v>
      </c>
      <c r="B1007" s="207">
        <v>306</v>
      </c>
      <c r="C1007" s="215" t="s">
        <v>8845</v>
      </c>
      <c r="D1007" s="215" t="s">
        <v>8846</v>
      </c>
      <c r="E1007" s="215" t="s">
        <v>8847</v>
      </c>
      <c r="F1007" s="215" t="s">
        <v>8843</v>
      </c>
      <c r="G1007" s="215" t="s">
        <v>8844</v>
      </c>
      <c r="H1007" s="215" t="s">
        <v>6504</v>
      </c>
      <c r="I1007" s="300"/>
      <c r="J1007" s="300"/>
      <c r="K1007" s="300"/>
      <c r="L1007" s="300"/>
      <c r="M1007" s="300"/>
      <c r="N1007" s="300"/>
      <c r="O1007" s="300"/>
      <c r="P1007" s="300"/>
      <c r="Q1007" s="300"/>
      <c r="R1007" s="300"/>
      <c r="S1007" s="300"/>
      <c r="T1007" s="300"/>
      <c r="U1007" s="300"/>
      <c r="V1007" s="300"/>
      <c r="W1007" s="300"/>
      <c r="X1007" s="300"/>
      <c r="Y1007" s="300"/>
      <c r="Z1007" s="300"/>
    </row>
    <row r="1008" spans="1:26">
      <c r="A1008" s="215" t="s">
        <v>7182</v>
      </c>
      <c r="B1008" s="207">
        <v>597</v>
      </c>
      <c r="C1008" s="215" t="s">
        <v>8848</v>
      </c>
      <c r="D1008" s="215" t="s">
        <v>8849</v>
      </c>
      <c r="E1008" s="215" t="s">
        <v>8850</v>
      </c>
      <c r="F1008" s="215" t="s">
        <v>8843</v>
      </c>
      <c r="G1008" s="215" t="s">
        <v>8844</v>
      </c>
      <c r="H1008" s="215" t="s">
        <v>6500</v>
      </c>
      <c r="I1008" s="300"/>
      <c r="J1008" s="300"/>
      <c r="K1008" s="300"/>
      <c r="L1008" s="300"/>
      <c r="M1008" s="300"/>
      <c r="N1008" s="300"/>
      <c r="O1008" s="300"/>
      <c r="P1008" s="300"/>
      <c r="Q1008" s="300"/>
      <c r="R1008" s="300"/>
      <c r="S1008" s="300"/>
      <c r="T1008" s="300"/>
      <c r="U1008" s="300"/>
      <c r="V1008" s="300"/>
      <c r="W1008" s="300"/>
      <c r="X1008" s="300"/>
      <c r="Y1008" s="300"/>
      <c r="Z1008" s="300"/>
    </row>
    <row r="1009" spans="1:26">
      <c r="A1009" s="215" t="s">
        <v>2711</v>
      </c>
      <c r="B1009" s="207">
        <v>684</v>
      </c>
      <c r="C1009" s="215" t="s">
        <v>8851</v>
      </c>
      <c r="D1009" s="215" t="s">
        <v>8852</v>
      </c>
      <c r="E1009" s="215" t="s">
        <v>8853</v>
      </c>
      <c r="F1009" s="215" t="s">
        <v>8854</v>
      </c>
      <c r="G1009" s="215" t="s">
        <v>8855</v>
      </c>
      <c r="H1009" s="215" t="s">
        <v>6504</v>
      </c>
      <c r="I1009" s="300"/>
      <c r="J1009" s="300"/>
      <c r="K1009" s="300"/>
      <c r="L1009" s="300"/>
      <c r="M1009" s="300"/>
      <c r="N1009" s="300"/>
      <c r="O1009" s="300"/>
      <c r="P1009" s="300"/>
      <c r="Q1009" s="300"/>
      <c r="R1009" s="300"/>
      <c r="S1009" s="300"/>
      <c r="T1009" s="300"/>
      <c r="U1009" s="300"/>
      <c r="V1009" s="300"/>
      <c r="W1009" s="300"/>
      <c r="X1009" s="300"/>
      <c r="Y1009" s="300"/>
      <c r="Z1009" s="300"/>
    </row>
    <row r="1010" spans="1:26">
      <c r="A1010" s="215" t="s">
        <v>2939</v>
      </c>
      <c r="B1010" s="207">
        <v>2350</v>
      </c>
      <c r="C1010" s="215" t="s">
        <v>5098</v>
      </c>
      <c r="D1010" s="215" t="s">
        <v>8856</v>
      </c>
      <c r="E1010" s="215" t="s">
        <v>8856</v>
      </c>
      <c r="F1010" s="215" t="s">
        <v>8857</v>
      </c>
      <c r="G1010" s="215" t="s">
        <v>8858</v>
      </c>
      <c r="H1010" s="215" t="s">
        <v>6521</v>
      </c>
      <c r="I1010" s="300"/>
      <c r="J1010" s="300"/>
      <c r="K1010" s="300"/>
      <c r="L1010" s="300"/>
      <c r="M1010" s="300"/>
      <c r="N1010" s="300"/>
      <c r="O1010" s="300"/>
      <c r="P1010" s="300"/>
      <c r="Q1010" s="300"/>
      <c r="R1010" s="300"/>
      <c r="S1010" s="300"/>
      <c r="T1010" s="300"/>
      <c r="U1010" s="300"/>
      <c r="V1010" s="300"/>
      <c r="W1010" s="300"/>
      <c r="X1010" s="300"/>
      <c r="Y1010" s="300"/>
      <c r="Z1010" s="300"/>
    </row>
    <row r="1011" spans="1:26">
      <c r="A1011" s="215" t="s">
        <v>3885</v>
      </c>
      <c r="B1011" s="207">
        <v>307</v>
      </c>
      <c r="C1011" s="215" t="s">
        <v>8859</v>
      </c>
      <c r="D1011" s="215" t="s">
        <v>8860</v>
      </c>
      <c r="E1011" s="215" t="s">
        <v>8861</v>
      </c>
      <c r="F1011" s="215" t="s">
        <v>8862</v>
      </c>
      <c r="G1011" s="215" t="s">
        <v>8863</v>
      </c>
      <c r="H1011" s="215" t="s">
        <v>6521</v>
      </c>
      <c r="I1011" s="300"/>
      <c r="J1011" s="300"/>
      <c r="K1011" s="300"/>
      <c r="L1011" s="300"/>
      <c r="M1011" s="300"/>
      <c r="N1011" s="300"/>
      <c r="O1011" s="300"/>
      <c r="P1011" s="300"/>
      <c r="Q1011" s="300"/>
      <c r="R1011" s="300"/>
      <c r="S1011" s="300"/>
      <c r="T1011" s="300"/>
      <c r="U1011" s="300"/>
      <c r="V1011" s="300"/>
      <c r="W1011" s="300"/>
      <c r="X1011" s="300"/>
      <c r="Y1011" s="300"/>
      <c r="Z1011" s="300"/>
    </row>
    <row r="1012" spans="1:26">
      <c r="A1012" s="215" t="s">
        <v>4414</v>
      </c>
      <c r="B1012" s="207">
        <v>318</v>
      </c>
      <c r="C1012" s="215" t="s">
        <v>8864</v>
      </c>
      <c r="D1012" s="215" t="s">
        <v>8865</v>
      </c>
      <c r="E1012" s="215" t="s">
        <v>8866</v>
      </c>
      <c r="F1012" s="215" t="s">
        <v>8862</v>
      </c>
      <c r="G1012" s="215" t="s">
        <v>8863</v>
      </c>
      <c r="H1012" s="215" t="s">
        <v>6521</v>
      </c>
      <c r="I1012" s="300"/>
      <c r="J1012" s="300"/>
      <c r="K1012" s="300"/>
      <c r="L1012" s="300"/>
      <c r="M1012" s="300"/>
      <c r="N1012" s="300"/>
      <c r="O1012" s="300"/>
      <c r="P1012" s="300"/>
      <c r="Q1012" s="300"/>
      <c r="R1012" s="300"/>
      <c r="S1012" s="300"/>
      <c r="T1012" s="300"/>
      <c r="U1012" s="300"/>
      <c r="V1012" s="300"/>
      <c r="W1012" s="300"/>
      <c r="X1012" s="300"/>
      <c r="Y1012" s="300"/>
      <c r="Z1012" s="300"/>
    </row>
    <row r="1013" spans="1:26">
      <c r="A1013" s="215" t="s">
        <v>4410</v>
      </c>
      <c r="B1013" s="207">
        <v>320</v>
      </c>
      <c r="C1013" s="215" t="s">
        <v>8867</v>
      </c>
      <c r="D1013" s="215" t="s">
        <v>8868</v>
      </c>
      <c r="E1013" s="215" t="s">
        <v>8869</v>
      </c>
      <c r="F1013" s="215" t="s">
        <v>8862</v>
      </c>
      <c r="G1013" s="215" t="s">
        <v>8863</v>
      </c>
      <c r="H1013" s="215" t="s">
        <v>6521</v>
      </c>
      <c r="I1013" s="300"/>
      <c r="J1013" s="300"/>
      <c r="K1013" s="300"/>
      <c r="L1013" s="300"/>
      <c r="M1013" s="300"/>
      <c r="N1013" s="300"/>
      <c r="O1013" s="300"/>
      <c r="P1013" s="300"/>
      <c r="Q1013" s="300"/>
      <c r="R1013" s="300"/>
      <c r="S1013" s="300"/>
      <c r="T1013" s="300"/>
      <c r="U1013" s="300"/>
      <c r="V1013" s="300"/>
      <c r="W1013" s="300"/>
      <c r="X1013" s="300"/>
      <c r="Y1013" s="300"/>
      <c r="Z1013" s="300"/>
    </row>
    <row r="1014" spans="1:26">
      <c r="A1014" s="215"/>
      <c r="B1014" s="207">
        <v>1982</v>
      </c>
      <c r="C1014" s="215" t="s">
        <v>6199</v>
      </c>
      <c r="D1014" s="215" t="s">
        <v>8870</v>
      </c>
      <c r="E1014" s="215" t="s">
        <v>8870</v>
      </c>
      <c r="F1014" s="215" t="s">
        <v>8862</v>
      </c>
      <c r="G1014" s="215" t="s">
        <v>8863</v>
      </c>
      <c r="H1014" s="215" t="s">
        <v>6497</v>
      </c>
      <c r="I1014" s="300"/>
      <c r="J1014" s="300"/>
      <c r="K1014" s="300"/>
      <c r="L1014" s="300"/>
      <c r="M1014" s="300"/>
      <c r="N1014" s="300"/>
      <c r="O1014" s="300"/>
      <c r="P1014" s="300"/>
      <c r="Q1014" s="300"/>
      <c r="R1014" s="300"/>
      <c r="S1014" s="300"/>
      <c r="T1014" s="300"/>
      <c r="U1014" s="300"/>
      <c r="V1014" s="300"/>
      <c r="W1014" s="300"/>
      <c r="X1014" s="300"/>
      <c r="Y1014" s="300"/>
      <c r="Z1014" s="300"/>
    </row>
    <row r="1015" spans="1:26">
      <c r="A1015" s="215" t="s">
        <v>3583</v>
      </c>
      <c r="B1015" s="207">
        <v>1983</v>
      </c>
      <c r="C1015" s="215" t="s">
        <v>8871</v>
      </c>
      <c r="D1015" s="215" t="s">
        <v>8872</v>
      </c>
      <c r="E1015" s="215" t="s">
        <v>8873</v>
      </c>
      <c r="F1015" s="215" t="s">
        <v>8862</v>
      </c>
      <c r="G1015" s="215" t="s">
        <v>8863</v>
      </c>
      <c r="H1015" s="215" t="s">
        <v>6521</v>
      </c>
      <c r="I1015" s="300"/>
      <c r="J1015" s="300"/>
      <c r="K1015" s="300"/>
      <c r="L1015" s="300"/>
      <c r="M1015" s="300"/>
      <c r="N1015" s="300"/>
      <c r="O1015" s="300"/>
      <c r="P1015" s="300"/>
      <c r="Q1015" s="300"/>
      <c r="R1015" s="300"/>
      <c r="S1015" s="300"/>
      <c r="T1015" s="300"/>
      <c r="U1015" s="300"/>
      <c r="V1015" s="300"/>
      <c r="W1015" s="300"/>
      <c r="X1015" s="300"/>
      <c r="Y1015" s="300"/>
      <c r="Z1015" s="300"/>
    </row>
    <row r="1016" spans="1:26">
      <c r="A1016" s="215" t="s">
        <v>7425</v>
      </c>
      <c r="B1016" s="207">
        <v>1992</v>
      </c>
      <c r="C1016" s="215" t="s">
        <v>8874</v>
      </c>
      <c r="D1016" s="215" t="s">
        <v>8875</v>
      </c>
      <c r="E1016" s="215" t="s">
        <v>8876</v>
      </c>
      <c r="F1016" s="215" t="s">
        <v>8862</v>
      </c>
      <c r="G1016" s="215" t="s">
        <v>8863</v>
      </c>
      <c r="H1016" s="215" t="s">
        <v>6497</v>
      </c>
      <c r="I1016" s="300"/>
      <c r="J1016" s="300"/>
      <c r="K1016" s="300"/>
      <c r="L1016" s="300"/>
      <c r="M1016" s="300"/>
      <c r="N1016" s="300"/>
      <c r="O1016" s="300"/>
      <c r="P1016" s="300"/>
      <c r="Q1016" s="300"/>
      <c r="R1016" s="300"/>
      <c r="S1016" s="300"/>
      <c r="T1016" s="300"/>
      <c r="U1016" s="300"/>
      <c r="V1016" s="300"/>
      <c r="W1016" s="300"/>
      <c r="X1016" s="300"/>
      <c r="Y1016" s="300"/>
      <c r="Z1016" s="300"/>
    </row>
    <row r="1017" spans="1:26">
      <c r="A1017" s="215" t="s">
        <v>2847</v>
      </c>
      <c r="B1017" s="207">
        <v>2062</v>
      </c>
      <c r="C1017" s="215" t="s">
        <v>5012</v>
      </c>
      <c r="D1017" s="215" t="s">
        <v>8877</v>
      </c>
      <c r="E1017" s="215" t="s">
        <v>8878</v>
      </c>
      <c r="F1017" s="215" t="s">
        <v>8862</v>
      </c>
      <c r="G1017" s="215" t="s">
        <v>8863</v>
      </c>
      <c r="H1017" s="215" t="s">
        <v>6497</v>
      </c>
      <c r="I1017" s="300"/>
      <c r="J1017" s="300"/>
      <c r="K1017" s="300"/>
      <c r="L1017" s="300"/>
      <c r="M1017" s="300"/>
      <c r="N1017" s="300"/>
      <c r="O1017" s="300"/>
      <c r="P1017" s="300"/>
      <c r="Q1017" s="300"/>
      <c r="R1017" s="300"/>
      <c r="S1017" s="300"/>
      <c r="T1017" s="300"/>
      <c r="U1017" s="300"/>
      <c r="V1017" s="300"/>
      <c r="W1017" s="300"/>
      <c r="X1017" s="300"/>
      <c r="Y1017" s="300"/>
      <c r="Z1017" s="300"/>
    </row>
    <row r="1018" spans="1:26">
      <c r="A1018" s="215" t="s">
        <v>7182</v>
      </c>
      <c r="B1018" s="207">
        <v>670</v>
      </c>
      <c r="C1018" s="215" t="s">
        <v>8879</v>
      </c>
      <c r="D1018" s="215" t="s">
        <v>8880</v>
      </c>
      <c r="E1018" s="215" t="s">
        <v>8881</v>
      </c>
      <c r="F1018" s="215" t="s">
        <v>8882</v>
      </c>
      <c r="G1018" s="215" t="s">
        <v>8883</v>
      </c>
      <c r="H1018" s="215" t="s">
        <v>6504</v>
      </c>
      <c r="I1018" s="300"/>
      <c r="J1018" s="300"/>
      <c r="K1018" s="300"/>
      <c r="L1018" s="300"/>
      <c r="M1018" s="300"/>
      <c r="N1018" s="300"/>
      <c r="O1018" s="300"/>
      <c r="P1018" s="300"/>
      <c r="Q1018" s="300"/>
      <c r="R1018" s="300"/>
      <c r="S1018" s="300"/>
      <c r="T1018" s="300"/>
      <c r="U1018" s="300"/>
      <c r="V1018" s="300"/>
      <c r="W1018" s="300"/>
      <c r="X1018" s="300"/>
      <c r="Y1018" s="300"/>
      <c r="Z1018" s="300"/>
    </row>
    <row r="1019" spans="1:26">
      <c r="A1019" s="215" t="s">
        <v>2645</v>
      </c>
      <c r="B1019" s="207">
        <v>285</v>
      </c>
      <c r="C1019" s="215" t="s">
        <v>8884</v>
      </c>
      <c r="D1019" s="215" t="s">
        <v>8885</v>
      </c>
      <c r="E1019" s="215" t="s">
        <v>8886</v>
      </c>
      <c r="F1019" s="215" t="s">
        <v>8887</v>
      </c>
      <c r="G1019" s="215" t="s">
        <v>8888</v>
      </c>
      <c r="H1019" s="215" t="s">
        <v>6500</v>
      </c>
      <c r="I1019" s="300"/>
      <c r="J1019" s="300"/>
      <c r="K1019" s="300"/>
      <c r="L1019" s="300"/>
      <c r="M1019" s="300"/>
      <c r="N1019" s="300"/>
      <c r="O1019" s="300"/>
      <c r="P1019" s="300"/>
      <c r="Q1019" s="300"/>
      <c r="R1019" s="300"/>
      <c r="S1019" s="300"/>
      <c r="T1019" s="300"/>
      <c r="U1019" s="300"/>
      <c r="V1019" s="300"/>
      <c r="W1019" s="300"/>
      <c r="X1019" s="300"/>
      <c r="Y1019" s="300"/>
      <c r="Z1019" s="300"/>
    </row>
    <row r="1020" spans="1:26">
      <c r="A1020" s="215" t="s">
        <v>2711</v>
      </c>
      <c r="B1020" s="207">
        <v>302</v>
      </c>
      <c r="C1020" s="215" t="s">
        <v>8889</v>
      </c>
      <c r="D1020" s="215" t="s">
        <v>8890</v>
      </c>
      <c r="E1020" s="215" t="s">
        <v>8891</v>
      </c>
      <c r="F1020" s="215" t="s">
        <v>8887</v>
      </c>
      <c r="G1020" s="215" t="s">
        <v>8888</v>
      </c>
      <c r="H1020" s="215" t="s">
        <v>6497</v>
      </c>
      <c r="I1020" s="300"/>
      <c r="J1020" s="300"/>
      <c r="K1020" s="300"/>
      <c r="L1020" s="300"/>
      <c r="M1020" s="300"/>
      <c r="N1020" s="300"/>
      <c r="O1020" s="300"/>
      <c r="P1020" s="300"/>
      <c r="Q1020" s="300"/>
      <c r="R1020" s="300"/>
      <c r="S1020" s="300"/>
      <c r="T1020" s="300"/>
      <c r="U1020" s="300"/>
      <c r="V1020" s="300"/>
      <c r="W1020" s="300"/>
      <c r="X1020" s="300"/>
      <c r="Y1020" s="300"/>
      <c r="Z1020" s="300"/>
    </row>
    <row r="1021" spans="1:26">
      <c r="A1021" s="215" t="s">
        <v>4416</v>
      </c>
      <c r="B1021" s="207">
        <v>1964</v>
      </c>
      <c r="C1021" s="215" t="s">
        <v>6354</v>
      </c>
      <c r="D1021" s="215" t="s">
        <v>8892</v>
      </c>
      <c r="E1021" s="215" t="s">
        <v>8892</v>
      </c>
      <c r="F1021" s="215" t="s">
        <v>8887</v>
      </c>
      <c r="G1021" s="215" t="s">
        <v>8888</v>
      </c>
      <c r="H1021" s="215" t="s">
        <v>6500</v>
      </c>
      <c r="I1021" s="300"/>
      <c r="J1021" s="300"/>
      <c r="K1021" s="300"/>
      <c r="L1021" s="300"/>
      <c r="M1021" s="300"/>
      <c r="N1021" s="300"/>
      <c r="O1021" s="300"/>
      <c r="P1021" s="300"/>
      <c r="Q1021" s="300"/>
      <c r="R1021" s="300"/>
      <c r="S1021" s="300"/>
      <c r="T1021" s="300"/>
      <c r="U1021" s="300"/>
      <c r="V1021" s="300"/>
      <c r="W1021" s="300"/>
      <c r="X1021" s="300"/>
      <c r="Y1021" s="300"/>
      <c r="Z1021" s="300"/>
    </row>
    <row r="1022" spans="1:26">
      <c r="A1022" s="215" t="s">
        <v>2676</v>
      </c>
      <c r="B1022" s="207">
        <v>1965</v>
      </c>
      <c r="C1022" s="215" t="s">
        <v>8893</v>
      </c>
      <c r="D1022" s="215" t="s">
        <v>8894</v>
      </c>
      <c r="E1022" s="215" t="s">
        <v>8895</v>
      </c>
      <c r="F1022" s="215" t="s">
        <v>8887</v>
      </c>
      <c r="G1022" s="215" t="s">
        <v>8888</v>
      </c>
      <c r="H1022" s="215" t="s">
        <v>6521</v>
      </c>
      <c r="I1022" s="300"/>
      <c r="J1022" s="300"/>
      <c r="K1022" s="300"/>
      <c r="L1022" s="300"/>
      <c r="M1022" s="300"/>
      <c r="N1022" s="300"/>
      <c r="O1022" s="300"/>
      <c r="P1022" s="300"/>
      <c r="Q1022" s="300"/>
      <c r="R1022" s="300"/>
      <c r="S1022" s="300"/>
      <c r="T1022" s="300"/>
      <c r="U1022" s="300"/>
      <c r="V1022" s="300"/>
      <c r="W1022" s="300"/>
      <c r="X1022" s="300"/>
      <c r="Y1022" s="300"/>
      <c r="Z1022" s="300"/>
    </row>
    <row r="1023" spans="1:26">
      <c r="A1023" s="215" t="s">
        <v>2903</v>
      </c>
      <c r="B1023" s="207">
        <v>1861</v>
      </c>
      <c r="C1023" s="215" t="s">
        <v>8896</v>
      </c>
      <c r="D1023" s="215" t="s">
        <v>8897</v>
      </c>
      <c r="E1023" s="215" t="s">
        <v>8898</v>
      </c>
      <c r="F1023" s="215" t="s">
        <v>8899</v>
      </c>
      <c r="G1023" s="215" t="s">
        <v>8900</v>
      </c>
      <c r="H1023" s="215" t="s">
        <v>6521</v>
      </c>
      <c r="I1023" s="300"/>
      <c r="J1023" s="300"/>
      <c r="K1023" s="300"/>
      <c r="L1023" s="300"/>
      <c r="M1023" s="300"/>
      <c r="N1023" s="300"/>
      <c r="O1023" s="300"/>
      <c r="P1023" s="300"/>
      <c r="Q1023" s="300"/>
      <c r="R1023" s="300"/>
      <c r="S1023" s="300"/>
      <c r="T1023" s="300"/>
      <c r="U1023" s="300"/>
      <c r="V1023" s="300"/>
      <c r="W1023" s="300"/>
      <c r="X1023" s="300"/>
      <c r="Y1023" s="300"/>
      <c r="Z1023" s="300"/>
    </row>
    <row r="1024" spans="1:26">
      <c r="A1024" s="215"/>
      <c r="B1024" s="207">
        <v>1862</v>
      </c>
      <c r="C1024" s="215" t="s">
        <v>8901</v>
      </c>
      <c r="D1024" s="215" t="s">
        <v>8902</v>
      </c>
      <c r="E1024" s="215" t="s">
        <v>8903</v>
      </c>
      <c r="F1024" s="215" t="s">
        <v>8899</v>
      </c>
      <c r="G1024" s="215" t="s">
        <v>8900</v>
      </c>
      <c r="H1024" s="215" t="s">
        <v>6521</v>
      </c>
      <c r="I1024" s="300"/>
      <c r="J1024" s="300"/>
      <c r="K1024" s="300"/>
      <c r="L1024" s="300"/>
      <c r="M1024" s="300"/>
      <c r="N1024" s="300"/>
      <c r="O1024" s="300"/>
      <c r="P1024" s="300"/>
      <c r="Q1024" s="300"/>
      <c r="R1024" s="300"/>
      <c r="S1024" s="300"/>
      <c r="T1024" s="300"/>
      <c r="U1024" s="300"/>
      <c r="V1024" s="300"/>
      <c r="W1024" s="300"/>
      <c r="X1024" s="300"/>
      <c r="Y1024" s="300"/>
      <c r="Z1024" s="300"/>
    </row>
    <row r="1025" spans="1:26">
      <c r="A1025" s="215" t="s">
        <v>3310</v>
      </c>
      <c r="B1025" s="207">
        <v>1863</v>
      </c>
      <c r="C1025" s="215" t="s">
        <v>5436</v>
      </c>
      <c r="D1025" s="215" t="s">
        <v>8904</v>
      </c>
      <c r="E1025" s="215" t="s">
        <v>4289</v>
      </c>
      <c r="F1025" s="215" t="s">
        <v>8899</v>
      </c>
      <c r="G1025" s="215" t="s">
        <v>8900</v>
      </c>
      <c r="H1025" s="215" t="s">
        <v>6497</v>
      </c>
      <c r="I1025" s="300"/>
      <c r="J1025" s="300"/>
      <c r="K1025" s="300"/>
      <c r="L1025" s="300"/>
      <c r="M1025" s="300"/>
      <c r="N1025" s="300"/>
      <c r="O1025" s="300"/>
      <c r="P1025" s="300"/>
      <c r="Q1025" s="300"/>
      <c r="R1025" s="300"/>
      <c r="S1025" s="300"/>
      <c r="T1025" s="300"/>
      <c r="U1025" s="300"/>
      <c r="V1025" s="300"/>
      <c r="W1025" s="300"/>
      <c r="X1025" s="300"/>
      <c r="Y1025" s="300"/>
      <c r="Z1025" s="300"/>
    </row>
    <row r="1026" spans="1:26">
      <c r="A1026" s="215" t="s">
        <v>2902</v>
      </c>
      <c r="B1026" s="207">
        <v>1864</v>
      </c>
      <c r="C1026" s="215" t="s">
        <v>8905</v>
      </c>
      <c r="D1026" s="215" t="s">
        <v>8906</v>
      </c>
      <c r="E1026" s="215" t="s">
        <v>8907</v>
      </c>
      <c r="F1026" s="215" t="s">
        <v>8899</v>
      </c>
      <c r="G1026" s="215" t="s">
        <v>8900</v>
      </c>
      <c r="H1026" s="215" t="s">
        <v>6497</v>
      </c>
      <c r="I1026" s="300"/>
      <c r="J1026" s="300"/>
      <c r="K1026" s="300"/>
      <c r="L1026" s="300"/>
      <c r="M1026" s="300"/>
      <c r="N1026" s="300"/>
      <c r="O1026" s="300"/>
      <c r="P1026" s="300"/>
      <c r="Q1026" s="300"/>
      <c r="R1026" s="300"/>
      <c r="S1026" s="300"/>
      <c r="T1026" s="300"/>
      <c r="U1026" s="300"/>
      <c r="V1026" s="300"/>
      <c r="W1026" s="300"/>
      <c r="X1026" s="300"/>
      <c r="Y1026" s="300"/>
      <c r="Z1026" s="300"/>
    </row>
    <row r="1027" spans="1:26">
      <c r="A1027" s="215" t="s">
        <v>3883</v>
      </c>
      <c r="B1027" s="207">
        <v>1865</v>
      </c>
      <c r="C1027" s="215" t="s">
        <v>5947</v>
      </c>
      <c r="D1027" s="215" t="s">
        <v>8908</v>
      </c>
      <c r="E1027" s="215" t="s">
        <v>8909</v>
      </c>
      <c r="F1027" s="215" t="s">
        <v>8899</v>
      </c>
      <c r="G1027" s="215" t="s">
        <v>8900</v>
      </c>
      <c r="H1027" s="215" t="s">
        <v>6504</v>
      </c>
      <c r="I1027" s="300"/>
      <c r="J1027" s="300"/>
      <c r="K1027" s="300"/>
      <c r="L1027" s="300"/>
      <c r="M1027" s="300"/>
      <c r="N1027" s="300"/>
      <c r="O1027" s="300"/>
      <c r="P1027" s="300"/>
      <c r="Q1027" s="300"/>
      <c r="R1027" s="300"/>
      <c r="S1027" s="300"/>
      <c r="T1027" s="300"/>
      <c r="U1027" s="300"/>
      <c r="V1027" s="300"/>
      <c r="W1027" s="300"/>
      <c r="X1027" s="300"/>
      <c r="Y1027" s="300"/>
      <c r="Z1027" s="300"/>
    </row>
    <row r="1028" spans="1:26">
      <c r="A1028" s="215" t="s">
        <v>8910</v>
      </c>
      <c r="B1028" s="207">
        <v>1866</v>
      </c>
      <c r="C1028" s="215" t="s">
        <v>6423</v>
      </c>
      <c r="D1028" s="215" t="s">
        <v>8911</v>
      </c>
      <c r="E1028" s="215" t="s">
        <v>8911</v>
      </c>
      <c r="F1028" s="215" t="s">
        <v>8899</v>
      </c>
      <c r="G1028" s="215" t="s">
        <v>8900</v>
      </c>
      <c r="H1028" s="215" t="s">
        <v>6504</v>
      </c>
      <c r="I1028" s="300"/>
      <c r="J1028" s="300"/>
      <c r="K1028" s="300"/>
      <c r="L1028" s="300"/>
      <c r="M1028" s="300"/>
      <c r="N1028" s="300"/>
      <c r="O1028" s="300"/>
      <c r="P1028" s="300"/>
      <c r="Q1028" s="300"/>
      <c r="R1028" s="300"/>
      <c r="S1028" s="300"/>
      <c r="T1028" s="300"/>
      <c r="U1028" s="300"/>
      <c r="V1028" s="300"/>
      <c r="W1028" s="300"/>
      <c r="X1028" s="300"/>
      <c r="Y1028" s="300"/>
      <c r="Z1028" s="300"/>
    </row>
    <row r="1029" spans="1:26">
      <c r="A1029" s="215"/>
      <c r="B1029" s="207">
        <v>2087</v>
      </c>
      <c r="C1029" s="215" t="s">
        <v>8912</v>
      </c>
      <c r="D1029" s="215" t="s">
        <v>8913</v>
      </c>
      <c r="E1029" s="215" t="s">
        <v>8914</v>
      </c>
      <c r="F1029" s="215" t="s">
        <v>8899</v>
      </c>
      <c r="G1029" s="215" t="s">
        <v>8900</v>
      </c>
      <c r="H1029" s="215" t="s">
        <v>6497</v>
      </c>
      <c r="I1029" s="300"/>
      <c r="J1029" s="300"/>
      <c r="K1029" s="300"/>
      <c r="L1029" s="300"/>
      <c r="M1029" s="300"/>
      <c r="N1029" s="300"/>
      <c r="O1029" s="300"/>
      <c r="P1029" s="300"/>
      <c r="Q1029" s="300"/>
      <c r="R1029" s="300"/>
      <c r="S1029" s="300"/>
      <c r="T1029" s="300"/>
      <c r="U1029" s="300"/>
      <c r="V1029" s="300"/>
      <c r="W1029" s="300"/>
      <c r="X1029" s="300"/>
      <c r="Y1029" s="300"/>
      <c r="Z1029" s="300"/>
    </row>
    <row r="1030" spans="1:26">
      <c r="A1030" s="215" t="s">
        <v>8915</v>
      </c>
      <c r="B1030" s="207">
        <v>345</v>
      </c>
      <c r="C1030" s="215" t="s">
        <v>8916</v>
      </c>
      <c r="D1030" s="215" t="s">
        <v>8917</v>
      </c>
      <c r="E1030" s="215" t="s">
        <v>8918</v>
      </c>
      <c r="F1030" s="215" t="s">
        <v>8919</v>
      </c>
      <c r="G1030" s="215" t="s">
        <v>8920</v>
      </c>
      <c r="H1030" s="215" t="s">
        <v>6548</v>
      </c>
      <c r="I1030" s="300"/>
      <c r="J1030" s="300"/>
      <c r="K1030" s="300"/>
      <c r="L1030" s="300"/>
      <c r="M1030" s="300"/>
      <c r="N1030" s="300"/>
      <c r="O1030" s="300"/>
      <c r="P1030" s="300"/>
      <c r="Q1030" s="300"/>
      <c r="R1030" s="300"/>
      <c r="S1030" s="300"/>
      <c r="T1030" s="300"/>
      <c r="U1030" s="300"/>
      <c r="V1030" s="300"/>
      <c r="W1030" s="300"/>
      <c r="X1030" s="300"/>
      <c r="Y1030" s="300"/>
      <c r="Z1030" s="300"/>
    </row>
    <row r="1031" spans="1:26">
      <c r="A1031" s="215" t="s">
        <v>3281</v>
      </c>
      <c r="B1031" s="207">
        <v>363</v>
      </c>
      <c r="C1031" s="215" t="s">
        <v>5411</v>
      </c>
      <c r="D1031" s="215" t="s">
        <v>8921</v>
      </c>
      <c r="E1031" s="215" t="s">
        <v>8922</v>
      </c>
      <c r="F1031" s="215" t="s">
        <v>8919</v>
      </c>
      <c r="G1031" s="215" t="s">
        <v>8920</v>
      </c>
      <c r="H1031" s="215" t="s">
        <v>6504</v>
      </c>
      <c r="I1031" s="300"/>
      <c r="J1031" s="300"/>
      <c r="K1031" s="300"/>
      <c r="L1031" s="300"/>
      <c r="M1031" s="300"/>
      <c r="N1031" s="300"/>
      <c r="O1031" s="300"/>
      <c r="P1031" s="300"/>
      <c r="Q1031" s="300"/>
      <c r="R1031" s="300"/>
      <c r="S1031" s="300"/>
      <c r="T1031" s="300"/>
      <c r="U1031" s="300"/>
      <c r="V1031" s="300"/>
      <c r="W1031" s="300"/>
      <c r="X1031" s="300"/>
      <c r="Y1031" s="300"/>
      <c r="Z1031" s="300"/>
    </row>
    <row r="1032" spans="1:26">
      <c r="A1032" s="215" t="s">
        <v>4030</v>
      </c>
      <c r="B1032" s="207">
        <v>364</v>
      </c>
      <c r="C1032" s="215" t="s">
        <v>6055</v>
      </c>
      <c r="D1032" s="215" t="s">
        <v>8923</v>
      </c>
      <c r="E1032" s="215" t="s">
        <v>8924</v>
      </c>
      <c r="F1032" s="215" t="s">
        <v>8919</v>
      </c>
      <c r="G1032" s="215" t="s">
        <v>8920</v>
      </c>
      <c r="H1032" s="215" t="s">
        <v>6504</v>
      </c>
      <c r="I1032" s="300"/>
      <c r="J1032" s="300"/>
      <c r="K1032" s="300"/>
      <c r="L1032" s="300"/>
      <c r="M1032" s="300"/>
      <c r="N1032" s="300"/>
      <c r="O1032" s="300"/>
      <c r="P1032" s="300"/>
      <c r="Q1032" s="300"/>
      <c r="R1032" s="300"/>
      <c r="S1032" s="300"/>
      <c r="T1032" s="300"/>
      <c r="U1032" s="300"/>
      <c r="V1032" s="300"/>
      <c r="W1032" s="300"/>
      <c r="X1032" s="300"/>
      <c r="Y1032" s="300"/>
      <c r="Z1032" s="300"/>
    </row>
    <row r="1033" spans="1:26">
      <c r="A1033" s="215"/>
      <c r="B1033" s="207">
        <v>1514</v>
      </c>
      <c r="C1033" s="215" t="s">
        <v>8925</v>
      </c>
      <c r="D1033" s="215" t="s">
        <v>8926</v>
      </c>
      <c r="E1033" s="215" t="s">
        <v>8926</v>
      </c>
      <c r="F1033" s="215" t="s">
        <v>8919</v>
      </c>
      <c r="G1033" s="215" t="s">
        <v>8920</v>
      </c>
      <c r="H1033" s="215" t="s">
        <v>6504</v>
      </c>
      <c r="I1033" s="300"/>
      <c r="J1033" s="300"/>
      <c r="K1033" s="300"/>
      <c r="L1033" s="300"/>
      <c r="M1033" s="300"/>
      <c r="N1033" s="300"/>
      <c r="O1033" s="300"/>
      <c r="P1033" s="300"/>
      <c r="Q1033" s="300"/>
      <c r="R1033" s="300"/>
      <c r="S1033" s="300"/>
      <c r="T1033" s="300"/>
      <c r="U1033" s="300"/>
      <c r="V1033" s="300"/>
      <c r="W1033" s="300"/>
      <c r="X1033" s="300"/>
      <c r="Y1033" s="300"/>
      <c r="Z1033" s="300"/>
    </row>
    <row r="1034" spans="1:26">
      <c r="A1034" s="215" t="s">
        <v>4391</v>
      </c>
      <c r="B1034" s="207">
        <v>1021</v>
      </c>
      <c r="C1034" s="215" t="s">
        <v>8927</v>
      </c>
      <c r="D1034" s="215" t="s">
        <v>8928</v>
      </c>
      <c r="E1034" s="215" t="s">
        <v>8929</v>
      </c>
      <c r="F1034" s="215" t="s">
        <v>8930</v>
      </c>
      <c r="G1034" s="215" t="s">
        <v>8931</v>
      </c>
      <c r="H1034" s="215" t="s">
        <v>6521</v>
      </c>
      <c r="I1034" s="300"/>
      <c r="J1034" s="300"/>
      <c r="K1034" s="300"/>
      <c r="L1034" s="300"/>
      <c r="M1034" s="300"/>
      <c r="N1034" s="300"/>
      <c r="O1034" s="300"/>
      <c r="P1034" s="300"/>
      <c r="Q1034" s="300"/>
      <c r="R1034" s="300"/>
      <c r="S1034" s="300"/>
      <c r="T1034" s="300"/>
      <c r="U1034" s="300"/>
      <c r="V1034" s="300"/>
      <c r="W1034" s="300"/>
      <c r="X1034" s="300"/>
      <c r="Y1034" s="300"/>
      <c r="Z1034" s="300"/>
    </row>
    <row r="1035" spans="1:26">
      <c r="A1035" s="215"/>
      <c r="B1035" s="207">
        <v>421</v>
      </c>
      <c r="C1035" s="215" t="s">
        <v>8932</v>
      </c>
      <c r="D1035" s="215" t="s">
        <v>8933</v>
      </c>
      <c r="E1035" s="215" t="s">
        <v>8934</v>
      </c>
      <c r="F1035" s="215" t="s">
        <v>8935</v>
      </c>
      <c r="G1035" s="215" t="s">
        <v>8936</v>
      </c>
      <c r="H1035" s="215" t="s">
        <v>6500</v>
      </c>
      <c r="I1035" s="300"/>
      <c r="J1035" s="300"/>
      <c r="K1035" s="300"/>
      <c r="L1035" s="300"/>
      <c r="M1035" s="300"/>
      <c r="N1035" s="300"/>
      <c r="O1035" s="300"/>
      <c r="P1035" s="300"/>
      <c r="Q1035" s="300"/>
      <c r="R1035" s="300"/>
      <c r="S1035" s="300"/>
      <c r="T1035" s="300"/>
      <c r="U1035" s="300"/>
      <c r="V1035" s="300"/>
      <c r="W1035" s="300"/>
      <c r="X1035" s="300"/>
      <c r="Y1035" s="300"/>
      <c r="Z1035" s="300"/>
    </row>
    <row r="1036" spans="1:26">
      <c r="A1036" s="215"/>
      <c r="B1036" s="207">
        <v>1609</v>
      </c>
      <c r="C1036" s="215" t="s">
        <v>8937</v>
      </c>
      <c r="D1036" s="215"/>
      <c r="E1036" s="215"/>
      <c r="F1036" s="215" t="s">
        <v>8938</v>
      </c>
      <c r="G1036" s="215" t="s">
        <v>8939</v>
      </c>
      <c r="H1036" s="215" t="s">
        <v>6548</v>
      </c>
      <c r="I1036" s="300"/>
      <c r="J1036" s="300"/>
      <c r="K1036" s="300"/>
      <c r="L1036" s="300"/>
      <c r="M1036" s="300"/>
      <c r="N1036" s="300"/>
      <c r="O1036" s="300"/>
      <c r="P1036" s="300"/>
      <c r="Q1036" s="300"/>
      <c r="R1036" s="300"/>
      <c r="S1036" s="300"/>
      <c r="T1036" s="300"/>
      <c r="U1036" s="300"/>
      <c r="V1036" s="300"/>
      <c r="W1036" s="300"/>
      <c r="X1036" s="300"/>
      <c r="Y1036" s="300"/>
      <c r="Z1036" s="300"/>
    </row>
    <row r="1037" spans="1:26">
      <c r="A1037" s="215" t="s">
        <v>4028</v>
      </c>
      <c r="B1037" s="207">
        <v>407</v>
      </c>
      <c r="C1037" s="215" t="s">
        <v>6053</v>
      </c>
      <c r="D1037" s="215" t="s">
        <v>8940</v>
      </c>
      <c r="E1037" s="215" t="s">
        <v>8941</v>
      </c>
      <c r="F1037" s="215" t="s">
        <v>8942</v>
      </c>
      <c r="G1037" s="215" t="s">
        <v>8943</v>
      </c>
      <c r="H1037" s="215" t="s">
        <v>6521</v>
      </c>
      <c r="I1037" s="300"/>
      <c r="J1037" s="300"/>
      <c r="K1037" s="300"/>
      <c r="L1037" s="300"/>
      <c r="M1037" s="300"/>
      <c r="N1037" s="300"/>
      <c r="O1037" s="300"/>
      <c r="P1037" s="300"/>
      <c r="Q1037" s="300"/>
      <c r="R1037" s="300"/>
      <c r="S1037" s="300"/>
      <c r="T1037" s="300"/>
      <c r="U1037" s="300"/>
      <c r="V1037" s="300"/>
      <c r="W1037" s="300"/>
      <c r="X1037" s="300"/>
      <c r="Y1037" s="300"/>
      <c r="Z1037" s="300"/>
    </row>
    <row r="1038" spans="1:26">
      <c r="A1038" s="215" t="s">
        <v>2736</v>
      </c>
      <c r="B1038" s="207">
        <v>1886</v>
      </c>
      <c r="C1038" s="215" t="s">
        <v>4894</v>
      </c>
      <c r="D1038" s="215" t="s">
        <v>8944</v>
      </c>
      <c r="E1038" s="215" t="s">
        <v>8945</v>
      </c>
      <c r="F1038" s="215" t="s">
        <v>8946</v>
      </c>
      <c r="G1038" s="215" t="s">
        <v>8947</v>
      </c>
      <c r="H1038" s="215" t="s">
        <v>6504</v>
      </c>
      <c r="I1038" s="300"/>
      <c r="J1038" s="300"/>
      <c r="K1038" s="300"/>
      <c r="L1038" s="300"/>
      <c r="M1038" s="300"/>
      <c r="N1038" s="300"/>
      <c r="O1038" s="300"/>
      <c r="P1038" s="300"/>
      <c r="Q1038" s="300"/>
      <c r="R1038" s="300"/>
      <c r="S1038" s="300"/>
      <c r="T1038" s="300"/>
      <c r="U1038" s="300"/>
      <c r="V1038" s="300"/>
      <c r="W1038" s="300"/>
      <c r="X1038" s="300"/>
      <c r="Y1038" s="300"/>
      <c r="Z1038" s="300"/>
    </row>
    <row r="1039" spans="1:26">
      <c r="A1039" s="215" t="s">
        <v>2577</v>
      </c>
      <c r="B1039" s="207">
        <v>1887</v>
      </c>
      <c r="C1039" s="215" t="s">
        <v>4806</v>
      </c>
      <c r="D1039" s="215" t="s">
        <v>8948</v>
      </c>
      <c r="E1039" s="215" t="s">
        <v>8948</v>
      </c>
      <c r="F1039" s="215" t="s">
        <v>8946</v>
      </c>
      <c r="G1039" s="215" t="s">
        <v>8947</v>
      </c>
      <c r="H1039" s="215" t="s">
        <v>6521</v>
      </c>
      <c r="I1039" s="300"/>
      <c r="J1039" s="300"/>
      <c r="K1039" s="300"/>
      <c r="L1039" s="300"/>
      <c r="M1039" s="300"/>
      <c r="N1039" s="300"/>
      <c r="O1039" s="300"/>
      <c r="P1039" s="300"/>
      <c r="Q1039" s="300"/>
      <c r="R1039" s="300"/>
      <c r="S1039" s="300"/>
      <c r="T1039" s="300"/>
      <c r="U1039" s="300"/>
      <c r="V1039" s="300"/>
      <c r="W1039" s="300"/>
      <c r="X1039" s="300"/>
      <c r="Y1039" s="300"/>
      <c r="Z1039" s="300"/>
    </row>
    <row r="1040" spans="1:26">
      <c r="A1040" s="215" t="s">
        <v>2719</v>
      </c>
      <c r="B1040" s="207">
        <v>1888</v>
      </c>
      <c r="C1040" s="215" t="s">
        <v>4878</v>
      </c>
      <c r="D1040" s="215" t="s">
        <v>8949</v>
      </c>
      <c r="E1040" s="215" t="s">
        <v>8949</v>
      </c>
      <c r="F1040" s="215" t="s">
        <v>8946</v>
      </c>
      <c r="G1040" s="215" t="s">
        <v>8947</v>
      </c>
      <c r="H1040" s="215" t="s">
        <v>6521</v>
      </c>
      <c r="I1040" s="300"/>
      <c r="J1040" s="300"/>
      <c r="K1040" s="300"/>
      <c r="L1040" s="300"/>
      <c r="M1040" s="300"/>
      <c r="N1040" s="300"/>
      <c r="O1040" s="300"/>
      <c r="P1040" s="300"/>
      <c r="Q1040" s="300"/>
      <c r="R1040" s="300"/>
      <c r="S1040" s="300"/>
      <c r="T1040" s="300"/>
      <c r="U1040" s="300"/>
      <c r="V1040" s="300"/>
      <c r="W1040" s="300"/>
      <c r="X1040" s="300"/>
      <c r="Y1040" s="300"/>
      <c r="Z1040" s="300"/>
    </row>
    <row r="1041" spans="1:26">
      <c r="A1041" s="215" t="s">
        <v>3890</v>
      </c>
      <c r="B1041" s="207">
        <v>2123</v>
      </c>
      <c r="C1041" s="215" t="s">
        <v>5950</v>
      </c>
      <c r="D1041" s="215" t="s">
        <v>3979</v>
      </c>
      <c r="E1041" s="215" t="s">
        <v>3979</v>
      </c>
      <c r="F1041" s="215" t="s">
        <v>8946</v>
      </c>
      <c r="G1041" s="215" t="s">
        <v>8947</v>
      </c>
      <c r="H1041" s="215" t="s">
        <v>6504</v>
      </c>
      <c r="I1041" s="300"/>
      <c r="J1041" s="300"/>
      <c r="K1041" s="300"/>
      <c r="L1041" s="300"/>
      <c r="M1041" s="300"/>
      <c r="N1041" s="300"/>
      <c r="O1041" s="300"/>
      <c r="P1041" s="300"/>
      <c r="Q1041" s="300"/>
      <c r="R1041" s="300"/>
      <c r="S1041" s="300"/>
      <c r="T1041" s="300"/>
      <c r="U1041" s="300"/>
      <c r="V1041" s="300"/>
      <c r="W1041" s="300"/>
      <c r="X1041" s="300"/>
      <c r="Y1041" s="300"/>
      <c r="Z1041" s="300"/>
    </row>
    <row r="1042" spans="1:26">
      <c r="A1042" s="215" t="s">
        <v>3529</v>
      </c>
      <c r="B1042" s="207">
        <v>2266</v>
      </c>
      <c r="C1042" s="215" t="s">
        <v>5641</v>
      </c>
      <c r="D1042" s="215" t="s">
        <v>5641</v>
      </c>
      <c r="E1042" s="215" t="s">
        <v>8950</v>
      </c>
      <c r="F1042" s="215" t="s">
        <v>8946</v>
      </c>
      <c r="G1042" s="215" t="s">
        <v>8947</v>
      </c>
      <c r="H1042" s="215" t="s">
        <v>6497</v>
      </c>
      <c r="I1042" s="300"/>
      <c r="J1042" s="300"/>
      <c r="K1042" s="300"/>
      <c r="L1042" s="300"/>
      <c r="M1042" s="300"/>
      <c r="N1042" s="300"/>
      <c r="O1042" s="300"/>
      <c r="P1042" s="300"/>
      <c r="Q1042" s="300"/>
      <c r="R1042" s="300"/>
      <c r="S1042" s="300"/>
      <c r="T1042" s="300"/>
      <c r="U1042" s="300"/>
      <c r="V1042" s="300"/>
      <c r="W1042" s="300"/>
      <c r="X1042" s="300"/>
      <c r="Y1042" s="300"/>
      <c r="Z1042" s="300"/>
    </row>
    <row r="1043" spans="1:26">
      <c r="A1043" s="215" t="s">
        <v>3096</v>
      </c>
      <c r="B1043" s="207">
        <v>2269</v>
      </c>
      <c r="C1043" s="215" t="s">
        <v>5231</v>
      </c>
      <c r="D1043" s="215" t="s">
        <v>8951</v>
      </c>
      <c r="E1043" s="215" t="s">
        <v>8951</v>
      </c>
      <c r="F1043" s="215" t="s">
        <v>8946</v>
      </c>
      <c r="G1043" s="215" t="s">
        <v>8947</v>
      </c>
      <c r="H1043" s="215" t="s">
        <v>6521</v>
      </c>
      <c r="I1043" s="300"/>
      <c r="J1043" s="300"/>
      <c r="K1043" s="300"/>
      <c r="L1043" s="300"/>
      <c r="M1043" s="300"/>
      <c r="N1043" s="300"/>
      <c r="O1043" s="300"/>
      <c r="P1043" s="300"/>
      <c r="Q1043" s="300"/>
      <c r="R1043" s="300"/>
      <c r="S1043" s="300"/>
      <c r="T1043" s="300"/>
      <c r="U1043" s="300"/>
      <c r="V1043" s="300"/>
      <c r="W1043" s="300"/>
      <c r="X1043" s="300"/>
      <c r="Y1043" s="300"/>
      <c r="Z1043" s="300"/>
    </row>
    <row r="1044" spans="1:26">
      <c r="A1044" s="215"/>
      <c r="B1044" s="207">
        <v>2270</v>
      </c>
      <c r="C1044" s="215" t="s">
        <v>5705</v>
      </c>
      <c r="D1044" s="215" t="s">
        <v>8952</v>
      </c>
      <c r="E1044" s="215" t="s">
        <v>3559</v>
      </c>
      <c r="F1044" s="215" t="s">
        <v>8946</v>
      </c>
      <c r="G1044" s="215" t="s">
        <v>8947</v>
      </c>
      <c r="H1044" s="215" t="s">
        <v>6497</v>
      </c>
      <c r="I1044" s="300"/>
      <c r="J1044" s="300"/>
      <c r="K1044" s="300"/>
      <c r="L1044" s="300"/>
      <c r="M1044" s="300"/>
      <c r="N1044" s="300"/>
      <c r="O1044" s="300"/>
      <c r="P1044" s="300"/>
      <c r="Q1044" s="300"/>
      <c r="R1044" s="300"/>
      <c r="S1044" s="300"/>
      <c r="T1044" s="300"/>
      <c r="U1044" s="300"/>
      <c r="V1044" s="300"/>
      <c r="W1044" s="300"/>
      <c r="X1044" s="300"/>
      <c r="Y1044" s="300"/>
      <c r="Z1044" s="300"/>
    </row>
    <row r="1045" spans="1:26">
      <c r="A1045" s="215" t="s">
        <v>3509</v>
      </c>
      <c r="B1045" s="207">
        <v>2271</v>
      </c>
      <c r="C1045" s="215" t="s">
        <v>8953</v>
      </c>
      <c r="D1045" s="215" t="s">
        <v>8954</v>
      </c>
      <c r="E1045" s="215" t="s">
        <v>8955</v>
      </c>
      <c r="F1045" s="215" t="s">
        <v>8946</v>
      </c>
      <c r="G1045" s="215" t="s">
        <v>8947</v>
      </c>
      <c r="H1045" s="215" t="s">
        <v>6521</v>
      </c>
      <c r="I1045" s="300"/>
      <c r="J1045" s="300"/>
      <c r="K1045" s="300"/>
      <c r="L1045" s="300"/>
      <c r="M1045" s="300"/>
      <c r="N1045" s="300"/>
      <c r="O1045" s="300"/>
      <c r="P1045" s="300"/>
      <c r="Q1045" s="300"/>
      <c r="R1045" s="300"/>
      <c r="S1045" s="300"/>
      <c r="T1045" s="300"/>
      <c r="U1045" s="300"/>
      <c r="V1045" s="300"/>
      <c r="W1045" s="300"/>
      <c r="X1045" s="300"/>
      <c r="Y1045" s="300"/>
      <c r="Z1045" s="300"/>
    </row>
    <row r="1046" spans="1:26">
      <c r="A1046" s="215" t="s">
        <v>2897</v>
      </c>
      <c r="B1046" s="207">
        <v>2272</v>
      </c>
      <c r="C1046" s="215" t="s">
        <v>5059</v>
      </c>
      <c r="D1046" s="215" t="s">
        <v>8956</v>
      </c>
      <c r="E1046" s="215" t="s">
        <v>8956</v>
      </c>
      <c r="F1046" s="215" t="s">
        <v>8946</v>
      </c>
      <c r="G1046" s="215" t="s">
        <v>8947</v>
      </c>
      <c r="H1046" s="215" t="s">
        <v>6521</v>
      </c>
      <c r="I1046" s="300"/>
      <c r="J1046" s="300"/>
      <c r="K1046" s="300"/>
      <c r="L1046" s="300"/>
      <c r="M1046" s="300"/>
      <c r="N1046" s="300"/>
      <c r="O1046" s="300"/>
      <c r="P1046" s="300"/>
      <c r="Q1046" s="300"/>
      <c r="R1046" s="300"/>
      <c r="S1046" s="300"/>
      <c r="T1046" s="300"/>
      <c r="U1046" s="300"/>
      <c r="V1046" s="300"/>
      <c r="W1046" s="300"/>
      <c r="X1046" s="300"/>
      <c r="Y1046" s="300"/>
      <c r="Z1046" s="300"/>
    </row>
    <row r="1047" spans="1:26">
      <c r="A1047" s="215" t="s">
        <v>2865</v>
      </c>
      <c r="B1047" s="207">
        <v>2273</v>
      </c>
      <c r="C1047" s="215" t="s">
        <v>5032</v>
      </c>
      <c r="D1047" s="215" t="s">
        <v>8957</v>
      </c>
      <c r="E1047" s="215" t="s">
        <v>8958</v>
      </c>
      <c r="F1047" s="215" t="s">
        <v>8946</v>
      </c>
      <c r="G1047" s="215" t="s">
        <v>8947</v>
      </c>
      <c r="H1047" s="215" t="s">
        <v>6500</v>
      </c>
      <c r="I1047" s="300"/>
      <c r="J1047" s="300"/>
      <c r="K1047" s="300"/>
      <c r="L1047" s="300"/>
      <c r="M1047" s="300"/>
      <c r="N1047" s="300"/>
      <c r="O1047" s="300"/>
      <c r="P1047" s="300"/>
      <c r="Q1047" s="300"/>
      <c r="R1047" s="300"/>
      <c r="S1047" s="300"/>
      <c r="T1047" s="300"/>
      <c r="U1047" s="300"/>
      <c r="V1047" s="300"/>
      <c r="W1047" s="300"/>
      <c r="X1047" s="300"/>
      <c r="Y1047" s="300"/>
      <c r="Z1047" s="300"/>
    </row>
    <row r="1048" spans="1:26">
      <c r="A1048" s="215" t="s">
        <v>2815</v>
      </c>
      <c r="B1048" s="207">
        <v>2274</v>
      </c>
      <c r="C1048" s="215" t="s">
        <v>8959</v>
      </c>
      <c r="D1048" s="215" t="s">
        <v>8960</v>
      </c>
      <c r="E1048" s="215" t="s">
        <v>8961</v>
      </c>
      <c r="F1048" s="215" t="s">
        <v>8946</v>
      </c>
      <c r="G1048" s="215" t="s">
        <v>8947</v>
      </c>
      <c r="H1048" s="215" t="s">
        <v>6500</v>
      </c>
      <c r="I1048" s="300"/>
      <c r="J1048" s="300"/>
      <c r="K1048" s="300"/>
      <c r="L1048" s="300"/>
      <c r="M1048" s="300"/>
      <c r="N1048" s="300"/>
      <c r="O1048" s="300"/>
      <c r="P1048" s="300"/>
      <c r="Q1048" s="300"/>
      <c r="R1048" s="300"/>
      <c r="S1048" s="300"/>
      <c r="T1048" s="300"/>
      <c r="U1048" s="300"/>
      <c r="V1048" s="300"/>
      <c r="W1048" s="300"/>
      <c r="X1048" s="300"/>
      <c r="Y1048" s="300"/>
      <c r="Z1048" s="300"/>
    </row>
    <row r="1049" spans="1:26">
      <c r="A1049" s="215" t="s">
        <v>2855</v>
      </c>
      <c r="B1049" s="207">
        <v>2275</v>
      </c>
      <c r="C1049" s="215" t="s">
        <v>5020</v>
      </c>
      <c r="D1049" s="215" t="s">
        <v>8962</v>
      </c>
      <c r="E1049" s="215" t="s">
        <v>8962</v>
      </c>
      <c r="F1049" s="215" t="s">
        <v>8946</v>
      </c>
      <c r="G1049" s="215" t="s">
        <v>8947</v>
      </c>
      <c r="H1049" s="215" t="s">
        <v>6504</v>
      </c>
      <c r="I1049" s="300"/>
      <c r="J1049" s="300"/>
      <c r="K1049" s="300"/>
      <c r="L1049" s="300"/>
      <c r="M1049" s="300"/>
      <c r="N1049" s="300"/>
      <c r="O1049" s="300"/>
      <c r="P1049" s="300"/>
      <c r="Q1049" s="300"/>
      <c r="R1049" s="300"/>
      <c r="S1049" s="300"/>
      <c r="T1049" s="300"/>
      <c r="U1049" s="300"/>
      <c r="V1049" s="300"/>
      <c r="W1049" s="300"/>
      <c r="X1049" s="300"/>
      <c r="Y1049" s="300"/>
      <c r="Z1049" s="300"/>
    </row>
    <row r="1050" spans="1:26">
      <c r="A1050" s="215" t="s">
        <v>2782</v>
      </c>
      <c r="B1050" s="207">
        <v>2276</v>
      </c>
      <c r="C1050" s="215" t="s">
        <v>4944</v>
      </c>
      <c r="D1050" s="215" t="s">
        <v>8963</v>
      </c>
      <c r="E1050" s="215" t="s">
        <v>8964</v>
      </c>
      <c r="F1050" s="215" t="s">
        <v>8946</v>
      </c>
      <c r="G1050" s="215" t="s">
        <v>8947</v>
      </c>
      <c r="H1050" s="215" t="s">
        <v>6521</v>
      </c>
      <c r="I1050" s="300"/>
      <c r="J1050" s="300"/>
      <c r="K1050" s="300"/>
      <c r="L1050" s="300"/>
      <c r="M1050" s="300"/>
      <c r="N1050" s="300"/>
      <c r="O1050" s="300"/>
      <c r="P1050" s="300"/>
      <c r="Q1050" s="300"/>
      <c r="R1050" s="300"/>
      <c r="S1050" s="300"/>
      <c r="T1050" s="300"/>
      <c r="U1050" s="300"/>
      <c r="V1050" s="300"/>
      <c r="W1050" s="300"/>
      <c r="X1050" s="300"/>
      <c r="Y1050" s="300"/>
      <c r="Z1050" s="300"/>
    </row>
    <row r="1051" spans="1:26">
      <c r="A1051" s="215" t="s">
        <v>2901</v>
      </c>
      <c r="B1051" s="207">
        <v>2277</v>
      </c>
      <c r="C1051" s="215" t="s">
        <v>5065</v>
      </c>
      <c r="D1051" s="215" t="s">
        <v>8965</v>
      </c>
      <c r="E1051" s="215" t="s">
        <v>8965</v>
      </c>
      <c r="F1051" s="215" t="s">
        <v>8946</v>
      </c>
      <c r="G1051" s="215" t="s">
        <v>8947</v>
      </c>
      <c r="H1051" s="215" t="s">
        <v>6521</v>
      </c>
      <c r="I1051" s="300"/>
      <c r="J1051" s="300"/>
      <c r="K1051" s="300"/>
      <c r="L1051" s="300"/>
      <c r="M1051" s="300"/>
      <c r="N1051" s="300"/>
      <c r="O1051" s="300"/>
      <c r="P1051" s="300"/>
      <c r="Q1051" s="300"/>
      <c r="R1051" s="300"/>
      <c r="S1051" s="300"/>
      <c r="T1051" s="300"/>
      <c r="U1051" s="300"/>
      <c r="V1051" s="300"/>
      <c r="W1051" s="300"/>
      <c r="X1051" s="300"/>
      <c r="Y1051" s="300"/>
      <c r="Z1051" s="300"/>
    </row>
    <row r="1052" spans="1:26">
      <c r="A1052" s="215" t="s">
        <v>2776</v>
      </c>
      <c r="B1052" s="207">
        <v>2278</v>
      </c>
      <c r="C1052" s="215" t="s">
        <v>4936</v>
      </c>
      <c r="D1052" s="215" t="s">
        <v>8966</v>
      </c>
      <c r="E1052" s="215" t="s">
        <v>8967</v>
      </c>
      <c r="F1052" s="215" t="s">
        <v>8946</v>
      </c>
      <c r="G1052" s="215" t="s">
        <v>8947</v>
      </c>
      <c r="H1052" s="215" t="s">
        <v>6497</v>
      </c>
      <c r="I1052" s="300"/>
      <c r="J1052" s="300"/>
      <c r="K1052" s="300"/>
      <c r="L1052" s="300"/>
      <c r="M1052" s="300"/>
      <c r="N1052" s="300"/>
      <c r="O1052" s="300"/>
      <c r="P1052" s="300"/>
      <c r="Q1052" s="300"/>
      <c r="R1052" s="300"/>
      <c r="S1052" s="300"/>
      <c r="T1052" s="300"/>
      <c r="U1052" s="300"/>
      <c r="V1052" s="300"/>
      <c r="W1052" s="300"/>
      <c r="X1052" s="300"/>
      <c r="Y1052" s="300"/>
      <c r="Z1052" s="300"/>
    </row>
    <row r="1053" spans="1:26">
      <c r="A1053" s="215"/>
      <c r="B1053" s="207">
        <v>2279</v>
      </c>
      <c r="C1053" s="215" t="s">
        <v>5087</v>
      </c>
      <c r="D1053" s="215" t="s">
        <v>8968</v>
      </c>
      <c r="E1053" s="215" t="s">
        <v>8968</v>
      </c>
      <c r="F1053" s="215" t="s">
        <v>8946</v>
      </c>
      <c r="G1053" s="215" t="s">
        <v>8947</v>
      </c>
      <c r="H1053" s="215" t="s">
        <v>6521</v>
      </c>
      <c r="I1053" s="300"/>
      <c r="J1053" s="300"/>
      <c r="K1053" s="300"/>
      <c r="L1053" s="300"/>
      <c r="M1053" s="300"/>
      <c r="N1053" s="300"/>
      <c r="O1053" s="300"/>
      <c r="P1053" s="300"/>
      <c r="Q1053" s="300"/>
      <c r="R1053" s="300"/>
      <c r="S1053" s="300"/>
      <c r="T1053" s="300"/>
      <c r="U1053" s="300"/>
      <c r="V1053" s="300"/>
      <c r="W1053" s="300"/>
      <c r="X1053" s="300"/>
      <c r="Y1053" s="300"/>
      <c r="Z1053" s="300"/>
    </row>
    <row r="1054" spans="1:26">
      <c r="A1054" s="215"/>
      <c r="B1054" s="207">
        <v>2280</v>
      </c>
      <c r="C1054" s="215" t="s">
        <v>8969</v>
      </c>
      <c r="D1054" s="215" t="s">
        <v>8970</v>
      </c>
      <c r="E1054" s="215" t="s">
        <v>8970</v>
      </c>
      <c r="F1054" s="215" t="s">
        <v>8946</v>
      </c>
      <c r="G1054" s="215" t="s">
        <v>8947</v>
      </c>
      <c r="H1054" s="215" t="s">
        <v>6497</v>
      </c>
      <c r="I1054" s="300"/>
      <c r="J1054" s="300"/>
      <c r="K1054" s="300"/>
      <c r="L1054" s="300"/>
      <c r="M1054" s="300"/>
      <c r="N1054" s="300"/>
      <c r="O1054" s="300"/>
      <c r="P1054" s="300"/>
      <c r="Q1054" s="300"/>
      <c r="R1054" s="300"/>
      <c r="S1054" s="300"/>
      <c r="T1054" s="300"/>
      <c r="U1054" s="300"/>
      <c r="V1054" s="300"/>
      <c r="W1054" s="300"/>
      <c r="X1054" s="300"/>
      <c r="Y1054" s="300"/>
      <c r="Z1054" s="300"/>
    </row>
    <row r="1055" spans="1:26">
      <c r="A1055" s="215" t="s">
        <v>3061</v>
      </c>
      <c r="B1055" s="207">
        <v>2304</v>
      </c>
      <c r="C1055" s="215" t="s">
        <v>5167</v>
      </c>
      <c r="D1055" s="215" t="s">
        <v>8971</v>
      </c>
      <c r="E1055" s="215" t="s">
        <v>8971</v>
      </c>
      <c r="F1055" s="215" t="s">
        <v>8946</v>
      </c>
      <c r="G1055" s="215" t="s">
        <v>8947</v>
      </c>
      <c r="H1055" s="215" t="s">
        <v>6521</v>
      </c>
      <c r="I1055" s="300"/>
      <c r="J1055" s="300"/>
      <c r="K1055" s="300"/>
      <c r="L1055" s="300"/>
      <c r="M1055" s="300"/>
      <c r="N1055" s="300"/>
      <c r="O1055" s="300"/>
      <c r="P1055" s="300"/>
      <c r="Q1055" s="300"/>
      <c r="R1055" s="300"/>
      <c r="S1055" s="300"/>
      <c r="T1055" s="300"/>
      <c r="U1055" s="300"/>
      <c r="V1055" s="300"/>
      <c r="W1055" s="300"/>
      <c r="X1055" s="300"/>
      <c r="Y1055" s="300"/>
      <c r="Z1055" s="300"/>
    </row>
    <row r="1056" spans="1:26">
      <c r="A1056" s="215" t="s">
        <v>3416</v>
      </c>
      <c r="B1056" s="207">
        <v>2305</v>
      </c>
      <c r="C1056" s="215" t="s">
        <v>5539</v>
      </c>
      <c r="D1056" s="215" t="s">
        <v>8972</v>
      </c>
      <c r="E1056" s="215" t="s">
        <v>8972</v>
      </c>
      <c r="F1056" s="215" t="s">
        <v>8946</v>
      </c>
      <c r="G1056" s="215" t="s">
        <v>8947</v>
      </c>
      <c r="H1056" s="215" t="s">
        <v>6500</v>
      </c>
      <c r="I1056" s="300"/>
      <c r="J1056" s="300"/>
      <c r="K1056" s="300"/>
      <c r="L1056" s="300"/>
      <c r="M1056" s="300"/>
      <c r="N1056" s="300"/>
      <c r="O1056" s="300"/>
      <c r="P1056" s="300"/>
      <c r="Q1056" s="300"/>
      <c r="R1056" s="300"/>
      <c r="S1056" s="300"/>
      <c r="T1056" s="300"/>
      <c r="U1056" s="300"/>
      <c r="V1056" s="300"/>
      <c r="W1056" s="300"/>
      <c r="X1056" s="300"/>
      <c r="Y1056" s="300"/>
      <c r="Z1056" s="300"/>
    </row>
    <row r="1057" spans="1:26">
      <c r="A1057" s="215" t="s">
        <v>4398</v>
      </c>
      <c r="B1057" s="207">
        <v>2306</v>
      </c>
      <c r="C1057" s="215" t="s">
        <v>6339</v>
      </c>
      <c r="D1057" s="215" t="s">
        <v>8973</v>
      </c>
      <c r="E1057" s="215" t="s">
        <v>8973</v>
      </c>
      <c r="F1057" s="215" t="s">
        <v>8946</v>
      </c>
      <c r="G1057" s="215" t="s">
        <v>8947</v>
      </c>
      <c r="H1057" s="215" t="s">
        <v>6521</v>
      </c>
      <c r="I1057" s="300"/>
      <c r="J1057" s="300"/>
      <c r="K1057" s="300"/>
      <c r="L1057" s="300"/>
      <c r="M1057" s="300"/>
      <c r="N1057" s="300"/>
      <c r="O1057" s="300"/>
      <c r="P1057" s="300"/>
      <c r="Q1057" s="300"/>
      <c r="R1057" s="300"/>
      <c r="S1057" s="300"/>
      <c r="T1057" s="300"/>
      <c r="U1057" s="300"/>
      <c r="V1057" s="300"/>
      <c r="W1057" s="300"/>
      <c r="X1057" s="300"/>
      <c r="Y1057" s="300"/>
      <c r="Z1057" s="300"/>
    </row>
    <row r="1058" spans="1:26">
      <c r="A1058" s="215" t="s">
        <v>4474</v>
      </c>
      <c r="B1058" s="207">
        <v>2307</v>
      </c>
      <c r="C1058" s="215" t="s">
        <v>6400</v>
      </c>
      <c r="D1058" s="215" t="s">
        <v>8974</v>
      </c>
      <c r="E1058" s="215" t="s">
        <v>8974</v>
      </c>
      <c r="F1058" s="215" t="s">
        <v>8946</v>
      </c>
      <c r="G1058" s="215" t="s">
        <v>8947</v>
      </c>
      <c r="H1058" s="215" t="s">
        <v>6500</v>
      </c>
      <c r="I1058" s="300"/>
      <c r="J1058" s="300"/>
      <c r="K1058" s="300"/>
      <c r="L1058" s="300"/>
      <c r="M1058" s="300"/>
      <c r="N1058" s="300"/>
      <c r="O1058" s="300"/>
      <c r="P1058" s="300"/>
      <c r="Q1058" s="300"/>
      <c r="R1058" s="300"/>
      <c r="S1058" s="300"/>
      <c r="T1058" s="300"/>
      <c r="U1058" s="300"/>
      <c r="V1058" s="300"/>
      <c r="W1058" s="300"/>
      <c r="X1058" s="300"/>
      <c r="Y1058" s="300"/>
      <c r="Z1058" s="300"/>
    </row>
    <row r="1059" spans="1:26">
      <c r="A1059" s="215" t="s">
        <v>3542</v>
      </c>
      <c r="B1059" s="207">
        <v>2308</v>
      </c>
      <c r="C1059" s="215" t="s">
        <v>5651</v>
      </c>
      <c r="D1059" s="215" t="s">
        <v>5651</v>
      </c>
      <c r="E1059" s="215" t="s">
        <v>8975</v>
      </c>
      <c r="F1059" s="215" t="s">
        <v>8946</v>
      </c>
      <c r="G1059" s="215" t="s">
        <v>8947</v>
      </c>
      <c r="H1059" s="215" t="s">
        <v>6500</v>
      </c>
      <c r="I1059" s="300"/>
      <c r="J1059" s="300"/>
      <c r="K1059" s="300"/>
      <c r="L1059" s="300"/>
      <c r="M1059" s="300"/>
      <c r="N1059" s="300"/>
      <c r="O1059" s="300"/>
      <c r="P1059" s="300"/>
      <c r="Q1059" s="300"/>
      <c r="R1059" s="300"/>
      <c r="S1059" s="300"/>
      <c r="T1059" s="300"/>
      <c r="U1059" s="300"/>
      <c r="V1059" s="300"/>
      <c r="W1059" s="300"/>
      <c r="X1059" s="300"/>
      <c r="Y1059" s="300"/>
      <c r="Z1059" s="300"/>
    </row>
    <row r="1060" spans="1:26">
      <c r="A1060" s="215" t="s">
        <v>3509</v>
      </c>
      <c r="B1060" s="207">
        <v>2309</v>
      </c>
      <c r="C1060" s="215" t="s">
        <v>5615</v>
      </c>
      <c r="D1060" s="215" t="s">
        <v>5615</v>
      </c>
      <c r="E1060" s="215" t="s">
        <v>8955</v>
      </c>
      <c r="F1060" s="215" t="s">
        <v>8946</v>
      </c>
      <c r="G1060" s="215" t="s">
        <v>8947</v>
      </c>
      <c r="H1060" s="215" t="s">
        <v>6521</v>
      </c>
      <c r="I1060" s="300"/>
      <c r="J1060" s="300"/>
      <c r="K1060" s="300"/>
      <c r="L1060" s="300"/>
      <c r="M1060" s="300"/>
      <c r="N1060" s="300"/>
      <c r="O1060" s="300"/>
      <c r="P1060" s="300"/>
      <c r="Q1060" s="300"/>
      <c r="R1060" s="300"/>
      <c r="S1060" s="300"/>
      <c r="T1060" s="300"/>
      <c r="U1060" s="300"/>
      <c r="V1060" s="300"/>
      <c r="W1060" s="300"/>
      <c r="X1060" s="300"/>
      <c r="Y1060" s="300"/>
      <c r="Z1060" s="300"/>
    </row>
    <row r="1061" spans="1:26">
      <c r="A1061" s="215" t="s">
        <v>3525</v>
      </c>
      <c r="B1061" s="207">
        <v>2310</v>
      </c>
      <c r="C1061" s="215" t="s">
        <v>5637</v>
      </c>
      <c r="D1061" s="215" t="s">
        <v>8976</v>
      </c>
      <c r="E1061" s="215" t="s">
        <v>8977</v>
      </c>
      <c r="F1061" s="215" t="s">
        <v>8946</v>
      </c>
      <c r="G1061" s="215" t="s">
        <v>8947</v>
      </c>
      <c r="H1061" s="215" t="s">
        <v>6521</v>
      </c>
      <c r="I1061" s="300"/>
      <c r="J1061" s="300"/>
      <c r="K1061" s="300"/>
      <c r="L1061" s="300"/>
      <c r="M1061" s="300"/>
      <c r="N1061" s="300"/>
      <c r="O1061" s="300"/>
      <c r="P1061" s="300"/>
      <c r="Q1061" s="300"/>
      <c r="R1061" s="300"/>
      <c r="S1061" s="300"/>
      <c r="T1061" s="300"/>
      <c r="U1061" s="300"/>
      <c r="V1061" s="300"/>
      <c r="W1061" s="300"/>
      <c r="X1061" s="300"/>
      <c r="Y1061" s="300"/>
      <c r="Z1061" s="300"/>
    </row>
    <row r="1062" spans="1:26">
      <c r="A1062" s="215" t="s">
        <v>3550</v>
      </c>
      <c r="B1062" s="207">
        <v>2311</v>
      </c>
      <c r="C1062" s="215" t="s">
        <v>5658</v>
      </c>
      <c r="D1062" s="215" t="s">
        <v>8978</v>
      </c>
      <c r="E1062" s="215" t="s">
        <v>8978</v>
      </c>
      <c r="F1062" s="215" t="s">
        <v>8946</v>
      </c>
      <c r="G1062" s="215" t="s">
        <v>8947</v>
      </c>
      <c r="H1062" s="215" t="s">
        <v>6497</v>
      </c>
      <c r="I1062" s="300"/>
      <c r="J1062" s="300"/>
      <c r="K1062" s="300"/>
      <c r="L1062" s="300"/>
      <c r="M1062" s="300"/>
      <c r="N1062" s="300"/>
      <c r="O1062" s="300"/>
      <c r="P1062" s="300"/>
      <c r="Q1062" s="300"/>
      <c r="R1062" s="300"/>
      <c r="S1062" s="300"/>
      <c r="T1062" s="300"/>
      <c r="U1062" s="300"/>
      <c r="V1062" s="300"/>
      <c r="W1062" s="300"/>
      <c r="X1062" s="300"/>
      <c r="Y1062" s="300"/>
      <c r="Z1062" s="300"/>
    </row>
    <row r="1063" spans="1:26">
      <c r="A1063" s="215" t="s">
        <v>3802</v>
      </c>
      <c r="B1063" s="207">
        <v>2312</v>
      </c>
      <c r="C1063" s="215" t="s">
        <v>5875</v>
      </c>
      <c r="D1063" s="215" t="s">
        <v>8979</v>
      </c>
      <c r="E1063" s="215" t="s">
        <v>8979</v>
      </c>
      <c r="F1063" s="215" t="s">
        <v>8946</v>
      </c>
      <c r="G1063" s="215" t="s">
        <v>8947</v>
      </c>
      <c r="H1063" s="215" t="s">
        <v>6521</v>
      </c>
      <c r="I1063" s="300"/>
      <c r="J1063" s="300"/>
      <c r="K1063" s="300"/>
      <c r="L1063" s="300"/>
      <c r="M1063" s="300"/>
      <c r="N1063" s="300"/>
      <c r="O1063" s="300"/>
      <c r="P1063" s="300"/>
      <c r="Q1063" s="300"/>
      <c r="R1063" s="300"/>
      <c r="S1063" s="300"/>
      <c r="T1063" s="300"/>
      <c r="U1063" s="300"/>
      <c r="V1063" s="300"/>
      <c r="W1063" s="300"/>
      <c r="X1063" s="300"/>
      <c r="Y1063" s="300"/>
      <c r="Z1063" s="300"/>
    </row>
    <row r="1064" spans="1:26">
      <c r="A1064" s="215" t="s">
        <v>3897</v>
      </c>
      <c r="B1064" s="207">
        <v>2313</v>
      </c>
      <c r="C1064" s="215" t="s">
        <v>5957</v>
      </c>
      <c r="D1064" s="215" t="s">
        <v>8980</v>
      </c>
      <c r="E1064" s="215" t="s">
        <v>8980</v>
      </c>
      <c r="F1064" s="215" t="s">
        <v>8946</v>
      </c>
      <c r="G1064" s="215" t="s">
        <v>8947</v>
      </c>
      <c r="H1064" s="215" t="s">
        <v>6521</v>
      </c>
      <c r="I1064" s="300"/>
      <c r="J1064" s="300"/>
      <c r="K1064" s="300"/>
      <c r="L1064" s="300"/>
      <c r="M1064" s="300"/>
      <c r="N1064" s="300"/>
      <c r="O1064" s="300"/>
      <c r="P1064" s="300"/>
      <c r="Q1064" s="300"/>
      <c r="R1064" s="300"/>
      <c r="S1064" s="300"/>
      <c r="T1064" s="300"/>
      <c r="U1064" s="300"/>
      <c r="V1064" s="300"/>
      <c r="W1064" s="300"/>
      <c r="X1064" s="300"/>
      <c r="Y1064" s="300"/>
      <c r="Z1064" s="300"/>
    </row>
    <row r="1065" spans="1:26">
      <c r="A1065" s="215"/>
      <c r="B1065" s="207">
        <v>2314</v>
      </c>
      <c r="C1065" s="215" t="s">
        <v>6002</v>
      </c>
      <c r="D1065" s="215" t="s">
        <v>8981</v>
      </c>
      <c r="E1065" s="215" t="s">
        <v>8982</v>
      </c>
      <c r="F1065" s="215" t="s">
        <v>8946</v>
      </c>
      <c r="G1065" s="215" t="s">
        <v>8947</v>
      </c>
      <c r="H1065" s="215" t="s">
        <v>6500</v>
      </c>
      <c r="I1065" s="300"/>
      <c r="J1065" s="300"/>
      <c r="K1065" s="300"/>
      <c r="L1065" s="300"/>
      <c r="M1065" s="300"/>
      <c r="N1065" s="300"/>
      <c r="O1065" s="300"/>
      <c r="P1065" s="300"/>
      <c r="Q1065" s="300"/>
      <c r="R1065" s="300"/>
      <c r="S1065" s="300"/>
      <c r="T1065" s="300"/>
      <c r="U1065" s="300"/>
      <c r="V1065" s="300"/>
      <c r="W1065" s="300"/>
      <c r="X1065" s="300"/>
      <c r="Y1065" s="300"/>
      <c r="Z1065" s="300"/>
    </row>
    <row r="1066" spans="1:26">
      <c r="A1066" s="215" t="s">
        <v>4367</v>
      </c>
      <c r="B1066" s="207">
        <v>2315</v>
      </c>
      <c r="C1066" s="215" t="s">
        <v>6317</v>
      </c>
      <c r="D1066" s="215" t="s">
        <v>8983</v>
      </c>
      <c r="E1066" s="215" t="s">
        <v>8983</v>
      </c>
      <c r="F1066" s="215" t="s">
        <v>8946</v>
      </c>
      <c r="G1066" s="215" t="s">
        <v>8947</v>
      </c>
      <c r="H1066" s="215" t="s">
        <v>6521</v>
      </c>
      <c r="I1066" s="300"/>
      <c r="J1066" s="300"/>
      <c r="K1066" s="300"/>
      <c r="L1066" s="300"/>
      <c r="M1066" s="300"/>
      <c r="N1066" s="300"/>
      <c r="O1066" s="300"/>
      <c r="P1066" s="300"/>
      <c r="Q1066" s="300"/>
      <c r="R1066" s="300"/>
      <c r="S1066" s="300"/>
      <c r="T1066" s="300"/>
      <c r="U1066" s="300"/>
      <c r="V1066" s="300"/>
      <c r="W1066" s="300"/>
      <c r="X1066" s="300"/>
      <c r="Y1066" s="300"/>
      <c r="Z1066" s="300"/>
    </row>
    <row r="1067" spans="1:26">
      <c r="A1067" s="215" t="s">
        <v>4006</v>
      </c>
      <c r="B1067" s="207">
        <v>2316</v>
      </c>
      <c r="C1067" s="215" t="s">
        <v>6032</v>
      </c>
      <c r="D1067" s="215" t="s">
        <v>8984</v>
      </c>
      <c r="E1067" s="215" t="s">
        <v>8984</v>
      </c>
      <c r="F1067" s="215" t="s">
        <v>8946</v>
      </c>
      <c r="G1067" s="215" t="s">
        <v>8947</v>
      </c>
      <c r="H1067" s="215" t="s">
        <v>6521</v>
      </c>
      <c r="I1067" s="300"/>
      <c r="J1067" s="300"/>
      <c r="K1067" s="300"/>
      <c r="L1067" s="300"/>
      <c r="M1067" s="300"/>
      <c r="N1067" s="300"/>
      <c r="O1067" s="300"/>
      <c r="P1067" s="300"/>
      <c r="Q1067" s="300"/>
      <c r="R1067" s="300"/>
      <c r="S1067" s="300"/>
      <c r="T1067" s="300"/>
      <c r="U1067" s="300"/>
      <c r="V1067" s="300"/>
      <c r="W1067" s="300"/>
      <c r="X1067" s="300"/>
      <c r="Y1067" s="300"/>
      <c r="Z1067" s="300"/>
    </row>
    <row r="1068" spans="1:26">
      <c r="A1068" s="215" t="s">
        <v>8985</v>
      </c>
      <c r="B1068" s="207">
        <v>2317</v>
      </c>
      <c r="C1068" s="215" t="s">
        <v>5664</v>
      </c>
      <c r="D1068" s="215" t="s">
        <v>8986</v>
      </c>
      <c r="E1068" s="215" t="s">
        <v>8986</v>
      </c>
      <c r="F1068" s="215" t="s">
        <v>8946</v>
      </c>
      <c r="G1068" s="215" t="s">
        <v>8947</v>
      </c>
      <c r="H1068" s="215" t="s">
        <v>6521</v>
      </c>
      <c r="I1068" s="300"/>
      <c r="J1068" s="300"/>
      <c r="K1068" s="300"/>
      <c r="L1068" s="300"/>
      <c r="M1068" s="300"/>
      <c r="N1068" s="300"/>
      <c r="O1068" s="300"/>
      <c r="P1068" s="300"/>
      <c r="Q1068" s="300"/>
      <c r="R1068" s="300"/>
      <c r="S1068" s="300"/>
      <c r="T1068" s="300"/>
      <c r="U1068" s="300"/>
      <c r="V1068" s="300"/>
      <c r="W1068" s="300"/>
      <c r="X1068" s="300"/>
      <c r="Y1068" s="300"/>
      <c r="Z1068" s="300"/>
    </row>
    <row r="1069" spans="1:26">
      <c r="A1069" s="215" t="s">
        <v>3900</v>
      </c>
      <c r="B1069" s="207">
        <v>2318</v>
      </c>
      <c r="C1069" s="215" t="s">
        <v>5959</v>
      </c>
      <c r="D1069" s="215" t="s">
        <v>8987</v>
      </c>
      <c r="E1069" s="215" t="s">
        <v>8987</v>
      </c>
      <c r="F1069" s="215" t="s">
        <v>8946</v>
      </c>
      <c r="G1069" s="215" t="s">
        <v>8947</v>
      </c>
      <c r="H1069" s="215" t="s">
        <v>6497</v>
      </c>
      <c r="I1069" s="300"/>
      <c r="J1069" s="300"/>
      <c r="K1069" s="300"/>
      <c r="L1069" s="300"/>
      <c r="M1069" s="300"/>
      <c r="N1069" s="300"/>
      <c r="O1069" s="300"/>
      <c r="P1069" s="300"/>
      <c r="Q1069" s="300"/>
      <c r="R1069" s="300"/>
      <c r="S1069" s="300"/>
      <c r="T1069" s="300"/>
      <c r="U1069" s="300"/>
      <c r="V1069" s="300"/>
      <c r="W1069" s="300"/>
      <c r="X1069" s="300"/>
      <c r="Y1069" s="300"/>
      <c r="Z1069" s="300"/>
    </row>
    <row r="1070" spans="1:26">
      <c r="A1070" s="215" t="s">
        <v>4266</v>
      </c>
      <c r="B1070" s="207">
        <v>2319</v>
      </c>
      <c r="C1070" s="215" t="s">
        <v>6234</v>
      </c>
      <c r="D1070" s="215" t="s">
        <v>8988</v>
      </c>
      <c r="E1070" s="215" t="s">
        <v>8988</v>
      </c>
      <c r="F1070" s="215" t="s">
        <v>8946</v>
      </c>
      <c r="G1070" s="215" t="s">
        <v>8947</v>
      </c>
      <c r="H1070" s="215" t="s">
        <v>6500</v>
      </c>
      <c r="I1070" s="300"/>
      <c r="J1070" s="300"/>
      <c r="K1070" s="300"/>
      <c r="L1070" s="300"/>
      <c r="M1070" s="300"/>
      <c r="N1070" s="300"/>
      <c r="O1070" s="300"/>
      <c r="P1070" s="300"/>
      <c r="Q1070" s="300"/>
      <c r="R1070" s="300"/>
      <c r="S1070" s="300"/>
      <c r="T1070" s="300"/>
      <c r="U1070" s="300"/>
      <c r="V1070" s="300"/>
      <c r="W1070" s="300"/>
      <c r="X1070" s="300"/>
      <c r="Y1070" s="300"/>
      <c r="Z1070" s="300"/>
    </row>
    <row r="1071" spans="1:26">
      <c r="A1071" s="215" t="s">
        <v>4269</v>
      </c>
      <c r="B1071" s="207">
        <v>2320</v>
      </c>
      <c r="C1071" s="215" t="s">
        <v>8989</v>
      </c>
      <c r="D1071" s="215" t="s">
        <v>8990</v>
      </c>
      <c r="E1071" s="215" t="s">
        <v>8991</v>
      </c>
      <c r="F1071" s="215" t="s">
        <v>8946</v>
      </c>
      <c r="G1071" s="215" t="s">
        <v>8947</v>
      </c>
      <c r="H1071" s="215" t="s">
        <v>6500</v>
      </c>
      <c r="I1071" s="300"/>
      <c r="J1071" s="300"/>
      <c r="K1071" s="300"/>
      <c r="L1071" s="300"/>
      <c r="M1071" s="300"/>
      <c r="N1071" s="300"/>
      <c r="O1071" s="300"/>
      <c r="P1071" s="300"/>
      <c r="Q1071" s="300"/>
      <c r="R1071" s="300"/>
      <c r="S1071" s="300"/>
      <c r="T1071" s="300"/>
      <c r="U1071" s="300"/>
      <c r="V1071" s="300"/>
      <c r="W1071" s="300"/>
      <c r="X1071" s="300"/>
      <c r="Y1071" s="300"/>
      <c r="Z1071" s="300"/>
    </row>
    <row r="1072" spans="1:26">
      <c r="A1072" s="215" t="s">
        <v>4345</v>
      </c>
      <c r="B1072" s="207">
        <v>2321</v>
      </c>
      <c r="C1072" s="215" t="s">
        <v>6297</v>
      </c>
      <c r="D1072" s="215" t="s">
        <v>8992</v>
      </c>
      <c r="E1072" s="215" t="s">
        <v>8993</v>
      </c>
      <c r="F1072" s="215" t="s">
        <v>8946</v>
      </c>
      <c r="G1072" s="215" t="s">
        <v>8947</v>
      </c>
      <c r="H1072" s="215" t="s">
        <v>6521</v>
      </c>
      <c r="I1072" s="300"/>
      <c r="J1072" s="300"/>
      <c r="K1072" s="300"/>
      <c r="L1072" s="300"/>
      <c r="M1072" s="300"/>
      <c r="N1072" s="300"/>
      <c r="O1072" s="300"/>
      <c r="P1072" s="300"/>
      <c r="Q1072" s="300"/>
      <c r="R1072" s="300"/>
      <c r="S1072" s="300"/>
      <c r="T1072" s="300"/>
      <c r="U1072" s="300"/>
      <c r="V1072" s="300"/>
      <c r="W1072" s="300"/>
      <c r="X1072" s="300"/>
      <c r="Y1072" s="300"/>
      <c r="Z1072" s="300"/>
    </row>
    <row r="1073" spans="1:26">
      <c r="A1073" s="215" t="s">
        <v>4218</v>
      </c>
      <c r="B1073" s="207">
        <v>2322</v>
      </c>
      <c r="C1073" s="215" t="s">
        <v>6197</v>
      </c>
      <c r="D1073" s="215" t="s">
        <v>8994</v>
      </c>
      <c r="E1073" s="215" t="s">
        <v>8994</v>
      </c>
      <c r="F1073" s="215" t="s">
        <v>8946</v>
      </c>
      <c r="G1073" s="215" t="s">
        <v>8947</v>
      </c>
      <c r="H1073" s="215" t="s">
        <v>6500</v>
      </c>
      <c r="I1073" s="300"/>
      <c r="J1073" s="300"/>
      <c r="K1073" s="300"/>
      <c r="L1073" s="300"/>
      <c r="M1073" s="300"/>
      <c r="N1073" s="300"/>
      <c r="O1073" s="300"/>
      <c r="P1073" s="300"/>
      <c r="Q1073" s="300"/>
      <c r="R1073" s="300"/>
      <c r="S1073" s="300"/>
      <c r="T1073" s="300"/>
      <c r="U1073" s="300"/>
      <c r="V1073" s="300"/>
      <c r="W1073" s="300"/>
      <c r="X1073" s="300"/>
      <c r="Y1073" s="300"/>
      <c r="Z1073" s="300"/>
    </row>
    <row r="1074" spans="1:26">
      <c r="A1074" s="215" t="s">
        <v>4326</v>
      </c>
      <c r="B1074" s="207">
        <v>2323</v>
      </c>
      <c r="C1074" s="215" t="s">
        <v>6280</v>
      </c>
      <c r="D1074" s="215" t="s">
        <v>8995</v>
      </c>
      <c r="E1074" s="215" t="s">
        <v>8995</v>
      </c>
      <c r="F1074" s="215" t="s">
        <v>8946</v>
      </c>
      <c r="G1074" s="215" t="s">
        <v>8947</v>
      </c>
      <c r="H1074" s="215" t="s">
        <v>6521</v>
      </c>
      <c r="I1074" s="300"/>
      <c r="J1074" s="300"/>
      <c r="K1074" s="300"/>
      <c r="L1074" s="300"/>
      <c r="M1074" s="300"/>
      <c r="N1074" s="300"/>
      <c r="O1074" s="300"/>
      <c r="P1074" s="300"/>
      <c r="Q1074" s="300"/>
      <c r="R1074" s="300"/>
      <c r="S1074" s="300"/>
      <c r="T1074" s="300"/>
      <c r="U1074" s="300"/>
      <c r="V1074" s="300"/>
      <c r="W1074" s="300"/>
      <c r="X1074" s="300"/>
      <c r="Y1074" s="300"/>
      <c r="Z1074" s="300"/>
    </row>
    <row r="1075" spans="1:26">
      <c r="A1075" s="215" t="s">
        <v>4343</v>
      </c>
      <c r="B1075" s="207">
        <v>2324</v>
      </c>
      <c r="C1075" s="215" t="s">
        <v>6295</v>
      </c>
      <c r="D1075" s="215" t="s">
        <v>8996</v>
      </c>
      <c r="E1075" s="215" t="s">
        <v>8997</v>
      </c>
      <c r="F1075" s="215" t="s">
        <v>8946</v>
      </c>
      <c r="G1075" s="215" t="s">
        <v>8947</v>
      </c>
      <c r="H1075" s="215" t="s">
        <v>6521</v>
      </c>
      <c r="I1075" s="300"/>
      <c r="J1075" s="300"/>
      <c r="K1075" s="300"/>
      <c r="L1075" s="300"/>
      <c r="M1075" s="300"/>
      <c r="N1075" s="300"/>
      <c r="O1075" s="300"/>
      <c r="P1075" s="300"/>
      <c r="Q1075" s="300"/>
      <c r="R1075" s="300"/>
      <c r="S1075" s="300"/>
      <c r="T1075" s="300"/>
      <c r="U1075" s="300"/>
      <c r="V1075" s="300"/>
      <c r="W1075" s="300"/>
      <c r="X1075" s="300"/>
      <c r="Y1075" s="300"/>
      <c r="Z1075" s="300"/>
    </row>
    <row r="1076" spans="1:26">
      <c r="A1076" s="215" t="s">
        <v>4447</v>
      </c>
      <c r="B1076" s="207">
        <v>2325</v>
      </c>
      <c r="C1076" s="215" t="s">
        <v>6381</v>
      </c>
      <c r="D1076" s="215" t="s">
        <v>8998</v>
      </c>
      <c r="E1076" s="215" t="s">
        <v>8998</v>
      </c>
      <c r="F1076" s="215" t="s">
        <v>8946</v>
      </c>
      <c r="G1076" s="215" t="s">
        <v>8947</v>
      </c>
      <c r="H1076" s="215" t="s">
        <v>6500</v>
      </c>
      <c r="I1076" s="300"/>
      <c r="J1076" s="300"/>
      <c r="K1076" s="300"/>
      <c r="L1076" s="300"/>
      <c r="M1076" s="300"/>
      <c r="N1076" s="300"/>
      <c r="O1076" s="300"/>
      <c r="P1076" s="300"/>
      <c r="Q1076" s="300"/>
      <c r="R1076" s="300"/>
      <c r="S1076" s="300"/>
      <c r="T1076" s="300"/>
      <c r="U1076" s="300"/>
      <c r="V1076" s="300"/>
      <c r="W1076" s="300"/>
      <c r="X1076" s="300"/>
      <c r="Y1076" s="300"/>
      <c r="Z1076" s="300"/>
    </row>
    <row r="1077" spans="1:26">
      <c r="A1077" s="215" t="s">
        <v>4449</v>
      </c>
      <c r="B1077" s="207">
        <v>2326</v>
      </c>
      <c r="C1077" s="215" t="s">
        <v>6383</v>
      </c>
      <c r="D1077" s="215" t="s">
        <v>8999</v>
      </c>
      <c r="E1077" s="215" t="s">
        <v>8999</v>
      </c>
      <c r="F1077" s="215" t="s">
        <v>8946</v>
      </c>
      <c r="G1077" s="215" t="s">
        <v>8947</v>
      </c>
      <c r="H1077" s="215" t="s">
        <v>6521</v>
      </c>
      <c r="I1077" s="300"/>
      <c r="J1077" s="300"/>
      <c r="K1077" s="300"/>
      <c r="L1077" s="300"/>
      <c r="M1077" s="300"/>
      <c r="N1077" s="300"/>
      <c r="O1077" s="300"/>
      <c r="P1077" s="300"/>
      <c r="Q1077" s="300"/>
      <c r="R1077" s="300"/>
      <c r="S1077" s="300"/>
      <c r="T1077" s="300"/>
      <c r="U1077" s="300"/>
      <c r="V1077" s="300"/>
      <c r="W1077" s="300"/>
      <c r="X1077" s="300"/>
      <c r="Y1077" s="300"/>
      <c r="Z1077" s="300"/>
    </row>
    <row r="1078" spans="1:26">
      <c r="A1078" s="215" t="s">
        <v>2659</v>
      </c>
      <c r="B1078" s="207">
        <v>2327</v>
      </c>
      <c r="C1078" s="215" t="s">
        <v>4831</v>
      </c>
      <c r="D1078" s="215" t="s">
        <v>9000</v>
      </c>
      <c r="E1078" s="215" t="s">
        <v>9000</v>
      </c>
      <c r="F1078" s="215" t="s">
        <v>8946</v>
      </c>
      <c r="G1078" s="215" t="s">
        <v>8947</v>
      </c>
      <c r="H1078" s="215" t="s">
        <v>6521</v>
      </c>
      <c r="I1078" s="300"/>
      <c r="J1078" s="300"/>
      <c r="K1078" s="300"/>
      <c r="L1078" s="300"/>
      <c r="M1078" s="300"/>
      <c r="N1078" s="300"/>
      <c r="O1078" s="300"/>
      <c r="P1078" s="300"/>
      <c r="Q1078" s="300"/>
      <c r="R1078" s="300"/>
      <c r="S1078" s="300"/>
      <c r="T1078" s="300"/>
      <c r="U1078" s="300"/>
      <c r="V1078" s="300"/>
      <c r="W1078" s="300"/>
      <c r="X1078" s="300"/>
      <c r="Y1078" s="300"/>
      <c r="Z1078" s="300"/>
    </row>
    <row r="1079" spans="1:26">
      <c r="A1079" s="215" t="s">
        <v>2667</v>
      </c>
      <c r="B1079" s="207">
        <v>2328</v>
      </c>
      <c r="C1079" s="215" t="s">
        <v>4840</v>
      </c>
      <c r="D1079" s="215" t="s">
        <v>9001</v>
      </c>
      <c r="E1079" s="215" t="s">
        <v>9001</v>
      </c>
      <c r="F1079" s="215" t="s">
        <v>8946</v>
      </c>
      <c r="G1079" s="215" t="s">
        <v>8947</v>
      </c>
      <c r="H1079" s="215" t="s">
        <v>6497</v>
      </c>
      <c r="I1079" s="300"/>
      <c r="J1079" s="300"/>
      <c r="K1079" s="300"/>
      <c r="L1079" s="300"/>
      <c r="M1079" s="300"/>
      <c r="N1079" s="300"/>
      <c r="O1079" s="300"/>
      <c r="P1079" s="300"/>
      <c r="Q1079" s="300"/>
      <c r="R1079" s="300"/>
      <c r="S1079" s="300"/>
      <c r="T1079" s="300"/>
      <c r="U1079" s="300"/>
      <c r="V1079" s="300"/>
      <c r="W1079" s="300"/>
      <c r="X1079" s="300"/>
      <c r="Y1079" s="300"/>
      <c r="Z1079" s="300"/>
    </row>
    <row r="1080" spans="1:26">
      <c r="A1080" s="215" t="s">
        <v>2695</v>
      </c>
      <c r="B1080" s="207">
        <v>2329</v>
      </c>
      <c r="C1080" s="215" t="s">
        <v>4862</v>
      </c>
      <c r="D1080" s="215" t="s">
        <v>9002</v>
      </c>
      <c r="E1080" s="215" t="s">
        <v>9002</v>
      </c>
      <c r="F1080" s="215" t="s">
        <v>8946</v>
      </c>
      <c r="G1080" s="215" t="s">
        <v>8947</v>
      </c>
      <c r="H1080" s="215" t="s">
        <v>6497</v>
      </c>
      <c r="I1080" s="300"/>
      <c r="J1080" s="300"/>
      <c r="K1080" s="300"/>
      <c r="L1080" s="300"/>
      <c r="M1080" s="300"/>
      <c r="N1080" s="300"/>
      <c r="O1080" s="300"/>
      <c r="P1080" s="300"/>
      <c r="Q1080" s="300"/>
      <c r="R1080" s="300"/>
      <c r="S1080" s="300"/>
      <c r="T1080" s="300"/>
      <c r="U1080" s="300"/>
      <c r="V1080" s="300"/>
      <c r="W1080" s="300"/>
      <c r="X1080" s="300"/>
      <c r="Y1080" s="300"/>
      <c r="Z1080" s="300"/>
    </row>
    <row r="1081" spans="1:26">
      <c r="A1081" s="215" t="s">
        <v>2793</v>
      </c>
      <c r="B1081" s="207">
        <v>2330</v>
      </c>
      <c r="C1081" s="215" t="s">
        <v>4956</v>
      </c>
      <c r="D1081" s="215" t="s">
        <v>9003</v>
      </c>
      <c r="E1081" s="215" t="s">
        <v>9003</v>
      </c>
      <c r="F1081" s="215" t="s">
        <v>8946</v>
      </c>
      <c r="G1081" s="215" t="s">
        <v>8947</v>
      </c>
      <c r="H1081" s="215" t="s">
        <v>6500</v>
      </c>
      <c r="I1081" s="300"/>
      <c r="J1081" s="300"/>
      <c r="K1081" s="300"/>
      <c r="L1081" s="300"/>
      <c r="M1081" s="300"/>
      <c r="N1081" s="300"/>
      <c r="O1081" s="300"/>
      <c r="P1081" s="300"/>
      <c r="Q1081" s="300"/>
      <c r="R1081" s="300"/>
      <c r="S1081" s="300"/>
      <c r="T1081" s="300"/>
      <c r="U1081" s="300"/>
      <c r="V1081" s="300"/>
      <c r="W1081" s="300"/>
      <c r="X1081" s="300"/>
      <c r="Y1081" s="300"/>
      <c r="Z1081" s="300"/>
    </row>
    <row r="1082" spans="1:26">
      <c r="A1082" s="215" t="s">
        <v>3632</v>
      </c>
      <c r="B1082" s="207">
        <v>2331</v>
      </c>
      <c r="C1082" s="215" t="s">
        <v>9004</v>
      </c>
      <c r="D1082" s="215" t="s">
        <v>9005</v>
      </c>
      <c r="E1082" s="215" t="s">
        <v>9005</v>
      </c>
      <c r="F1082" s="215" t="s">
        <v>8946</v>
      </c>
      <c r="G1082" s="215" t="s">
        <v>8947</v>
      </c>
      <c r="H1082" s="215" t="s">
        <v>6521</v>
      </c>
      <c r="I1082" s="300"/>
      <c r="J1082" s="300"/>
      <c r="K1082" s="300"/>
      <c r="L1082" s="300"/>
      <c r="M1082" s="300"/>
      <c r="N1082" s="300"/>
      <c r="O1082" s="300"/>
      <c r="P1082" s="300"/>
      <c r="Q1082" s="300"/>
      <c r="R1082" s="300"/>
      <c r="S1082" s="300"/>
      <c r="T1082" s="300"/>
      <c r="U1082" s="300"/>
      <c r="V1082" s="300"/>
      <c r="W1082" s="300"/>
      <c r="X1082" s="300"/>
      <c r="Y1082" s="300"/>
      <c r="Z1082" s="300"/>
    </row>
    <row r="1083" spans="1:26">
      <c r="A1083" s="215" t="s">
        <v>3093</v>
      </c>
      <c r="B1083" s="207">
        <v>2332</v>
      </c>
      <c r="C1083" s="215" t="s">
        <v>5227</v>
      </c>
      <c r="D1083" s="215" t="s">
        <v>9006</v>
      </c>
      <c r="E1083" s="215" t="s">
        <v>9007</v>
      </c>
      <c r="F1083" s="215" t="s">
        <v>8946</v>
      </c>
      <c r="G1083" s="215" t="s">
        <v>8947</v>
      </c>
      <c r="H1083" s="215" t="s">
        <v>6500</v>
      </c>
      <c r="I1083" s="300"/>
      <c r="J1083" s="300"/>
      <c r="K1083" s="300"/>
      <c r="L1083" s="300"/>
      <c r="M1083" s="300"/>
      <c r="N1083" s="300"/>
      <c r="O1083" s="300"/>
      <c r="P1083" s="300"/>
      <c r="Q1083" s="300"/>
      <c r="R1083" s="300"/>
      <c r="S1083" s="300"/>
      <c r="T1083" s="300"/>
      <c r="U1083" s="300"/>
      <c r="V1083" s="300"/>
      <c r="W1083" s="300"/>
      <c r="X1083" s="300"/>
      <c r="Y1083" s="300"/>
      <c r="Z1083" s="300"/>
    </row>
    <row r="1084" spans="1:26">
      <c r="A1084" s="215" t="s">
        <v>3142</v>
      </c>
      <c r="B1084" s="207">
        <v>2333</v>
      </c>
      <c r="C1084" s="215" t="s">
        <v>5279</v>
      </c>
      <c r="D1084" s="215" t="s">
        <v>9008</v>
      </c>
      <c r="E1084" s="215" t="s">
        <v>9008</v>
      </c>
      <c r="F1084" s="215" t="s">
        <v>8946</v>
      </c>
      <c r="G1084" s="215" t="s">
        <v>8947</v>
      </c>
      <c r="H1084" s="215" t="s">
        <v>6521</v>
      </c>
      <c r="I1084" s="300"/>
      <c r="J1084" s="300"/>
      <c r="K1084" s="300"/>
      <c r="L1084" s="300"/>
      <c r="M1084" s="300"/>
      <c r="N1084" s="300"/>
      <c r="O1084" s="300"/>
      <c r="P1084" s="300"/>
      <c r="Q1084" s="300"/>
      <c r="R1084" s="300"/>
      <c r="S1084" s="300"/>
      <c r="T1084" s="300"/>
      <c r="U1084" s="300"/>
      <c r="V1084" s="300"/>
      <c r="W1084" s="300"/>
      <c r="X1084" s="300"/>
      <c r="Y1084" s="300"/>
      <c r="Z1084" s="300"/>
    </row>
    <row r="1085" spans="1:26">
      <c r="A1085" s="215" t="s">
        <v>3497</v>
      </c>
      <c r="B1085" s="207">
        <v>2334</v>
      </c>
      <c r="C1085" s="215" t="s">
        <v>5267</v>
      </c>
      <c r="D1085" s="215" t="s">
        <v>9009</v>
      </c>
      <c r="E1085" s="215" t="s">
        <v>9009</v>
      </c>
      <c r="F1085" s="215" t="s">
        <v>8946</v>
      </c>
      <c r="G1085" s="215" t="s">
        <v>8947</v>
      </c>
      <c r="H1085" s="215" t="s">
        <v>6500</v>
      </c>
      <c r="I1085" s="300"/>
      <c r="J1085" s="300"/>
      <c r="K1085" s="300"/>
      <c r="L1085" s="300"/>
      <c r="M1085" s="300"/>
      <c r="N1085" s="300"/>
      <c r="O1085" s="300"/>
      <c r="P1085" s="300"/>
      <c r="Q1085" s="300"/>
      <c r="R1085" s="300"/>
      <c r="S1085" s="300"/>
      <c r="T1085" s="300"/>
      <c r="U1085" s="300"/>
      <c r="V1085" s="300"/>
      <c r="W1085" s="300"/>
      <c r="X1085" s="300"/>
      <c r="Y1085" s="300"/>
      <c r="Z1085" s="300"/>
    </row>
    <row r="1086" spans="1:26">
      <c r="A1086" s="215" t="s">
        <v>3496</v>
      </c>
      <c r="B1086" s="207">
        <v>2335</v>
      </c>
      <c r="C1086" s="215" t="s">
        <v>5603</v>
      </c>
      <c r="D1086" s="215" t="s">
        <v>9010</v>
      </c>
      <c r="E1086" s="215" t="s">
        <v>9010</v>
      </c>
      <c r="F1086" s="215" t="s">
        <v>8946</v>
      </c>
      <c r="G1086" s="215" t="s">
        <v>8947</v>
      </c>
      <c r="H1086" s="215" t="s">
        <v>6500</v>
      </c>
      <c r="I1086" s="300"/>
      <c r="J1086" s="300"/>
      <c r="K1086" s="300"/>
      <c r="L1086" s="300"/>
      <c r="M1086" s="300"/>
      <c r="N1086" s="300"/>
      <c r="O1086" s="300"/>
      <c r="P1086" s="300"/>
      <c r="Q1086" s="300"/>
      <c r="R1086" s="300"/>
      <c r="S1086" s="300"/>
      <c r="T1086" s="300"/>
      <c r="U1086" s="300"/>
      <c r="V1086" s="300"/>
      <c r="W1086" s="300"/>
      <c r="X1086" s="300"/>
      <c r="Y1086" s="300"/>
      <c r="Z1086" s="300"/>
    </row>
    <row r="1087" spans="1:26">
      <c r="A1087" s="215" t="s">
        <v>3336</v>
      </c>
      <c r="B1087" s="207">
        <v>2336</v>
      </c>
      <c r="C1087" s="215" t="s">
        <v>5461</v>
      </c>
      <c r="D1087" s="215" t="s">
        <v>3333</v>
      </c>
      <c r="E1087" s="215" t="s">
        <v>3333</v>
      </c>
      <c r="F1087" s="215" t="s">
        <v>8946</v>
      </c>
      <c r="G1087" s="215" t="s">
        <v>8947</v>
      </c>
      <c r="H1087" s="215" t="s">
        <v>6500</v>
      </c>
      <c r="I1087" s="300"/>
      <c r="J1087" s="300"/>
      <c r="K1087" s="300"/>
      <c r="L1087" s="300"/>
      <c r="M1087" s="300"/>
      <c r="N1087" s="300"/>
      <c r="O1087" s="300"/>
      <c r="P1087" s="300"/>
      <c r="Q1087" s="300"/>
      <c r="R1087" s="300"/>
      <c r="S1087" s="300"/>
      <c r="T1087" s="300"/>
      <c r="U1087" s="300"/>
      <c r="V1087" s="300"/>
      <c r="W1087" s="300"/>
      <c r="X1087" s="300"/>
      <c r="Y1087" s="300"/>
      <c r="Z1087" s="300"/>
    </row>
    <row r="1088" spans="1:26">
      <c r="A1088" s="215" t="s">
        <v>3519</v>
      </c>
      <c r="B1088" s="207">
        <v>2337</v>
      </c>
      <c r="C1088" s="215" t="s">
        <v>5629</v>
      </c>
      <c r="D1088" s="215" t="s">
        <v>9011</v>
      </c>
      <c r="E1088" s="215" t="s">
        <v>9011</v>
      </c>
      <c r="F1088" s="215" t="s">
        <v>8946</v>
      </c>
      <c r="G1088" s="215" t="s">
        <v>8947</v>
      </c>
      <c r="H1088" s="215" t="s">
        <v>6521</v>
      </c>
      <c r="I1088" s="300"/>
      <c r="J1088" s="300"/>
      <c r="K1088" s="300"/>
      <c r="L1088" s="300"/>
      <c r="M1088" s="300"/>
      <c r="N1088" s="300"/>
      <c r="O1088" s="300"/>
      <c r="P1088" s="300"/>
      <c r="Q1088" s="300"/>
      <c r="R1088" s="300"/>
      <c r="S1088" s="300"/>
      <c r="T1088" s="300"/>
      <c r="U1088" s="300"/>
      <c r="V1088" s="300"/>
      <c r="W1088" s="300"/>
      <c r="X1088" s="300"/>
      <c r="Y1088" s="300"/>
      <c r="Z1088" s="300"/>
    </row>
    <row r="1089" spans="1:26">
      <c r="A1089" s="215" t="s">
        <v>2738</v>
      </c>
      <c r="B1089" s="207">
        <v>2488</v>
      </c>
      <c r="C1089" s="215" t="s">
        <v>4895</v>
      </c>
      <c r="D1089" s="215" t="s">
        <v>9012</v>
      </c>
      <c r="E1089" s="215" t="s">
        <v>9012</v>
      </c>
      <c r="F1089" s="215" t="s">
        <v>8946</v>
      </c>
      <c r="G1089" s="215" t="s">
        <v>8947</v>
      </c>
      <c r="H1089" s="215" t="s">
        <v>6521</v>
      </c>
      <c r="I1089" s="300"/>
      <c r="J1089" s="300"/>
      <c r="K1089" s="300"/>
      <c r="L1089" s="300"/>
      <c r="M1089" s="300"/>
      <c r="N1089" s="300"/>
      <c r="O1089" s="300"/>
      <c r="P1089" s="300"/>
      <c r="Q1089" s="300"/>
      <c r="R1089" s="300"/>
      <c r="S1089" s="300"/>
      <c r="T1089" s="300"/>
      <c r="U1089" s="300"/>
      <c r="V1089" s="300"/>
      <c r="W1089" s="300"/>
      <c r="X1089" s="300"/>
      <c r="Y1089" s="300"/>
      <c r="Z1089" s="300"/>
    </row>
    <row r="1090" spans="1:26">
      <c r="A1090" s="215" t="s">
        <v>2745</v>
      </c>
      <c r="B1090" s="207">
        <v>2518</v>
      </c>
      <c r="C1090" s="215" t="s">
        <v>4899</v>
      </c>
      <c r="D1090" s="215" t="s">
        <v>9013</v>
      </c>
      <c r="E1090" s="215" t="s">
        <v>9013</v>
      </c>
      <c r="F1090" s="215" t="s">
        <v>8946</v>
      </c>
      <c r="G1090" s="215" t="s">
        <v>8947</v>
      </c>
      <c r="H1090" s="215" t="s">
        <v>6521</v>
      </c>
      <c r="I1090" s="300"/>
      <c r="J1090" s="300"/>
      <c r="K1090" s="300"/>
      <c r="L1090" s="300"/>
      <c r="M1090" s="300"/>
      <c r="N1090" s="300"/>
      <c r="O1090" s="300"/>
      <c r="P1090" s="300"/>
      <c r="Q1090" s="300"/>
      <c r="R1090" s="300"/>
      <c r="S1090" s="300"/>
      <c r="T1090" s="300"/>
      <c r="U1090" s="300"/>
      <c r="V1090" s="300"/>
      <c r="W1090" s="300"/>
      <c r="X1090" s="300"/>
      <c r="Y1090" s="300"/>
      <c r="Z1090" s="300"/>
    </row>
    <row r="1091" spans="1:26">
      <c r="A1091" s="215" t="s">
        <v>2739</v>
      </c>
      <c r="B1091" s="207">
        <v>2519</v>
      </c>
      <c r="C1091" s="215" t="s">
        <v>4896</v>
      </c>
      <c r="D1091" s="215" t="s">
        <v>9014</v>
      </c>
      <c r="E1091" s="215" t="s">
        <v>9015</v>
      </c>
      <c r="F1091" s="215" t="s">
        <v>8946</v>
      </c>
      <c r="G1091" s="215" t="s">
        <v>8947</v>
      </c>
      <c r="H1091" s="215" t="s">
        <v>6521</v>
      </c>
      <c r="I1091" s="300"/>
      <c r="J1091" s="300"/>
      <c r="K1091" s="300"/>
      <c r="L1091" s="300"/>
      <c r="M1091" s="300"/>
      <c r="N1091" s="300"/>
      <c r="O1091" s="300"/>
      <c r="P1091" s="300"/>
      <c r="Q1091" s="300"/>
      <c r="R1091" s="300"/>
      <c r="S1091" s="300"/>
      <c r="T1091" s="300"/>
      <c r="U1091" s="300"/>
      <c r="V1091" s="300"/>
      <c r="W1091" s="300"/>
      <c r="X1091" s="300"/>
      <c r="Y1091" s="300"/>
      <c r="Z1091" s="300"/>
    </row>
    <row r="1092" spans="1:26">
      <c r="A1092" s="215" t="s">
        <v>2779</v>
      </c>
      <c r="B1092" s="207">
        <v>2520</v>
      </c>
      <c r="C1092" s="215" t="s">
        <v>4939</v>
      </c>
      <c r="D1092" s="215" t="s">
        <v>9016</v>
      </c>
      <c r="E1092" s="215" t="s">
        <v>9016</v>
      </c>
      <c r="F1092" s="215" t="s">
        <v>8946</v>
      </c>
      <c r="G1092" s="215" t="s">
        <v>8947</v>
      </c>
      <c r="H1092" s="215" t="s">
        <v>6521</v>
      </c>
      <c r="I1092" s="300"/>
      <c r="J1092" s="300"/>
      <c r="K1092" s="300"/>
      <c r="L1092" s="300"/>
      <c r="M1092" s="300"/>
      <c r="N1092" s="300"/>
      <c r="O1092" s="300"/>
      <c r="P1092" s="300"/>
      <c r="Q1092" s="300"/>
      <c r="R1092" s="300"/>
      <c r="S1092" s="300"/>
      <c r="T1092" s="300"/>
      <c r="U1092" s="300"/>
      <c r="V1092" s="300"/>
      <c r="W1092" s="300"/>
      <c r="X1092" s="300"/>
      <c r="Y1092" s="300"/>
      <c r="Z1092" s="300"/>
    </row>
    <row r="1093" spans="1:26">
      <c r="A1093" s="215" t="s">
        <v>2826</v>
      </c>
      <c r="B1093" s="207">
        <v>2521</v>
      </c>
      <c r="C1093" s="215" t="s">
        <v>4990</v>
      </c>
      <c r="D1093" s="215" t="s">
        <v>9017</v>
      </c>
      <c r="E1093" s="215" t="s">
        <v>9017</v>
      </c>
      <c r="F1093" s="215" t="s">
        <v>8946</v>
      </c>
      <c r="G1093" s="215" t="s">
        <v>8947</v>
      </c>
      <c r="H1093" s="215" t="s">
        <v>6497</v>
      </c>
      <c r="I1093" s="300"/>
      <c r="J1093" s="300"/>
      <c r="K1093" s="300"/>
      <c r="L1093" s="300"/>
      <c r="M1093" s="300"/>
      <c r="N1093" s="300"/>
      <c r="O1093" s="300"/>
      <c r="P1093" s="300"/>
      <c r="Q1093" s="300"/>
      <c r="R1093" s="300"/>
      <c r="S1093" s="300"/>
      <c r="T1093" s="300"/>
      <c r="U1093" s="300"/>
      <c r="V1093" s="300"/>
      <c r="W1093" s="300"/>
      <c r="X1093" s="300"/>
      <c r="Y1093" s="300"/>
      <c r="Z1093" s="300"/>
    </row>
    <row r="1094" spans="1:26">
      <c r="A1094" s="215" t="s">
        <v>2837</v>
      </c>
      <c r="B1094" s="207">
        <v>2522</v>
      </c>
      <c r="C1094" s="215" t="s">
        <v>5000</v>
      </c>
      <c r="D1094" s="215" t="s">
        <v>9018</v>
      </c>
      <c r="E1094" s="215" t="s">
        <v>9018</v>
      </c>
      <c r="F1094" s="215" t="s">
        <v>8946</v>
      </c>
      <c r="G1094" s="215" t="s">
        <v>8947</v>
      </c>
      <c r="H1094" s="215" t="s">
        <v>6504</v>
      </c>
      <c r="I1094" s="300"/>
      <c r="J1094" s="300"/>
      <c r="K1094" s="300"/>
      <c r="L1094" s="300"/>
      <c r="M1094" s="300"/>
      <c r="N1094" s="300"/>
      <c r="O1094" s="300"/>
      <c r="P1094" s="300"/>
      <c r="Q1094" s="300"/>
      <c r="R1094" s="300"/>
      <c r="S1094" s="300"/>
      <c r="T1094" s="300"/>
      <c r="U1094" s="300"/>
      <c r="V1094" s="300"/>
      <c r="W1094" s="300"/>
      <c r="X1094" s="300"/>
      <c r="Y1094" s="300"/>
      <c r="Z1094" s="300"/>
    </row>
    <row r="1095" spans="1:26">
      <c r="A1095" s="215" t="s">
        <v>2869</v>
      </c>
      <c r="B1095" s="207">
        <v>2523</v>
      </c>
      <c r="C1095" s="215" t="s">
        <v>5036</v>
      </c>
      <c r="D1095" s="215" t="s">
        <v>9019</v>
      </c>
      <c r="E1095" s="215" t="s">
        <v>9019</v>
      </c>
      <c r="F1095" s="215" t="s">
        <v>8946</v>
      </c>
      <c r="G1095" s="215" t="s">
        <v>8947</v>
      </c>
      <c r="H1095" s="215" t="s">
        <v>6504</v>
      </c>
      <c r="I1095" s="300"/>
      <c r="J1095" s="300"/>
      <c r="K1095" s="300"/>
      <c r="L1095" s="300"/>
      <c r="M1095" s="300"/>
      <c r="N1095" s="300"/>
      <c r="O1095" s="300"/>
      <c r="P1095" s="300"/>
      <c r="Q1095" s="300"/>
      <c r="R1095" s="300"/>
      <c r="S1095" s="300"/>
      <c r="T1095" s="300"/>
      <c r="U1095" s="300"/>
      <c r="V1095" s="300"/>
      <c r="W1095" s="300"/>
      <c r="X1095" s="300"/>
      <c r="Y1095" s="300"/>
      <c r="Z1095" s="300"/>
    </row>
    <row r="1096" spans="1:26">
      <c r="A1096" s="215" t="s">
        <v>4358</v>
      </c>
      <c r="B1096" s="207">
        <v>2524</v>
      </c>
      <c r="C1096" s="215" t="s">
        <v>6306</v>
      </c>
      <c r="D1096" s="215" t="s">
        <v>9020</v>
      </c>
      <c r="E1096" s="215" t="s">
        <v>9020</v>
      </c>
      <c r="F1096" s="215" t="s">
        <v>8946</v>
      </c>
      <c r="G1096" s="215" t="s">
        <v>8947</v>
      </c>
      <c r="H1096" s="215" t="s">
        <v>6521</v>
      </c>
      <c r="I1096" s="300"/>
      <c r="J1096" s="300"/>
      <c r="K1096" s="300"/>
      <c r="L1096" s="300"/>
      <c r="M1096" s="300"/>
      <c r="N1096" s="300"/>
      <c r="O1096" s="300"/>
      <c r="P1096" s="300"/>
      <c r="Q1096" s="300"/>
      <c r="R1096" s="300"/>
      <c r="S1096" s="300"/>
      <c r="T1096" s="300"/>
      <c r="U1096" s="300"/>
      <c r="V1096" s="300"/>
      <c r="W1096" s="300"/>
      <c r="X1096" s="300"/>
      <c r="Y1096" s="300"/>
      <c r="Z1096" s="300"/>
    </row>
    <row r="1097" spans="1:26">
      <c r="A1097" s="215" t="s">
        <v>2799</v>
      </c>
      <c r="B1097" s="207">
        <v>2525</v>
      </c>
      <c r="C1097" s="215" t="s">
        <v>4962</v>
      </c>
      <c r="D1097" s="215" t="s">
        <v>9021</v>
      </c>
      <c r="E1097" s="215" t="s">
        <v>9022</v>
      </c>
      <c r="F1097" s="215" t="s">
        <v>8946</v>
      </c>
      <c r="G1097" s="215" t="s">
        <v>8947</v>
      </c>
      <c r="H1097" s="215" t="s">
        <v>6521</v>
      </c>
      <c r="I1097" s="300"/>
      <c r="J1097" s="300"/>
      <c r="K1097" s="300"/>
      <c r="L1097" s="300"/>
      <c r="M1097" s="300"/>
      <c r="N1097" s="300"/>
      <c r="O1097" s="300"/>
      <c r="P1097" s="300"/>
      <c r="Q1097" s="300"/>
      <c r="R1097" s="300"/>
      <c r="S1097" s="300"/>
      <c r="T1097" s="300"/>
      <c r="U1097" s="300"/>
      <c r="V1097" s="300"/>
      <c r="W1097" s="300"/>
      <c r="X1097" s="300"/>
      <c r="Y1097" s="300"/>
      <c r="Z1097" s="300"/>
    </row>
    <row r="1098" spans="1:26">
      <c r="A1098" s="215"/>
      <c r="B1098" s="207">
        <v>2526</v>
      </c>
      <c r="C1098" s="215" t="s">
        <v>6184</v>
      </c>
      <c r="D1098" s="215" t="s">
        <v>9023</v>
      </c>
      <c r="E1098" s="215" t="s">
        <v>9023</v>
      </c>
      <c r="F1098" s="215" t="s">
        <v>8946</v>
      </c>
      <c r="G1098" s="215" t="s">
        <v>8947</v>
      </c>
      <c r="H1098" s="215" t="s">
        <v>6521</v>
      </c>
      <c r="I1098" s="300"/>
      <c r="J1098" s="300"/>
      <c r="K1098" s="300"/>
      <c r="L1098" s="300"/>
      <c r="M1098" s="300"/>
      <c r="N1098" s="300"/>
      <c r="O1098" s="300"/>
      <c r="P1098" s="300"/>
      <c r="Q1098" s="300"/>
      <c r="R1098" s="300"/>
      <c r="S1098" s="300"/>
      <c r="T1098" s="300"/>
      <c r="U1098" s="300"/>
      <c r="V1098" s="300"/>
      <c r="W1098" s="300"/>
      <c r="X1098" s="300"/>
      <c r="Y1098" s="300"/>
      <c r="Z1098" s="300"/>
    </row>
    <row r="1099" spans="1:26">
      <c r="A1099" s="215" t="s">
        <v>3034</v>
      </c>
      <c r="B1099" s="207">
        <v>2527</v>
      </c>
      <c r="C1099" s="215" t="s">
        <v>5169</v>
      </c>
      <c r="D1099" s="215" t="s">
        <v>9024</v>
      </c>
      <c r="E1099" s="215" t="s">
        <v>9024</v>
      </c>
      <c r="F1099" s="215" t="s">
        <v>8946</v>
      </c>
      <c r="G1099" s="215" t="s">
        <v>8947</v>
      </c>
      <c r="H1099" s="215" t="s">
        <v>6500</v>
      </c>
      <c r="I1099" s="300"/>
      <c r="J1099" s="300"/>
      <c r="K1099" s="300"/>
      <c r="L1099" s="300"/>
      <c r="M1099" s="300"/>
      <c r="N1099" s="300"/>
      <c r="O1099" s="300"/>
      <c r="P1099" s="300"/>
      <c r="Q1099" s="300"/>
      <c r="R1099" s="300"/>
      <c r="S1099" s="300"/>
      <c r="T1099" s="300"/>
      <c r="U1099" s="300"/>
      <c r="V1099" s="300"/>
      <c r="W1099" s="300"/>
      <c r="X1099" s="300"/>
      <c r="Y1099" s="300"/>
      <c r="Z1099" s="300"/>
    </row>
    <row r="1100" spans="1:26">
      <c r="A1100" s="215" t="s">
        <v>4220</v>
      </c>
      <c r="B1100" s="207">
        <v>2528</v>
      </c>
      <c r="C1100" s="215" t="s">
        <v>6200</v>
      </c>
      <c r="D1100" s="215" t="s">
        <v>9025</v>
      </c>
      <c r="E1100" s="215" t="s">
        <v>9026</v>
      </c>
      <c r="F1100" s="215" t="s">
        <v>8946</v>
      </c>
      <c r="G1100" s="215" t="s">
        <v>8947</v>
      </c>
      <c r="H1100" s="215" t="s">
        <v>6504</v>
      </c>
      <c r="I1100" s="300"/>
      <c r="J1100" s="300"/>
      <c r="K1100" s="300"/>
      <c r="L1100" s="300"/>
      <c r="M1100" s="300"/>
      <c r="N1100" s="300"/>
      <c r="O1100" s="300"/>
      <c r="P1100" s="300"/>
      <c r="Q1100" s="300"/>
      <c r="R1100" s="300"/>
      <c r="S1100" s="300"/>
      <c r="T1100" s="300"/>
      <c r="U1100" s="300"/>
      <c r="V1100" s="300"/>
      <c r="W1100" s="300"/>
      <c r="X1100" s="300"/>
      <c r="Y1100" s="300"/>
      <c r="Z1100" s="300"/>
    </row>
    <row r="1101" spans="1:26">
      <c r="A1101" s="215" t="s">
        <v>3057</v>
      </c>
      <c r="B1101" s="207">
        <v>2529</v>
      </c>
      <c r="C1101" s="215" t="s">
        <v>5192</v>
      </c>
      <c r="D1101" s="215" t="s">
        <v>9027</v>
      </c>
      <c r="E1101" s="215" t="s">
        <v>9027</v>
      </c>
      <c r="F1101" s="215" t="s">
        <v>8946</v>
      </c>
      <c r="G1101" s="215" t="s">
        <v>8947</v>
      </c>
      <c r="H1101" s="215" t="s">
        <v>6521</v>
      </c>
      <c r="I1101" s="300"/>
      <c r="J1101" s="300"/>
      <c r="K1101" s="300"/>
      <c r="L1101" s="300"/>
      <c r="M1101" s="300"/>
      <c r="N1101" s="300"/>
      <c r="O1101" s="300"/>
      <c r="P1101" s="300"/>
      <c r="Q1101" s="300"/>
      <c r="R1101" s="300"/>
      <c r="S1101" s="300"/>
      <c r="T1101" s="300"/>
      <c r="U1101" s="300"/>
      <c r="V1101" s="300"/>
      <c r="W1101" s="300"/>
      <c r="X1101" s="300"/>
      <c r="Y1101" s="300"/>
      <c r="Z1101" s="300"/>
    </row>
    <row r="1102" spans="1:26">
      <c r="A1102" s="215" t="s">
        <v>3030</v>
      </c>
      <c r="B1102" s="207">
        <v>2530</v>
      </c>
      <c r="C1102" s="215" t="s">
        <v>5164</v>
      </c>
      <c r="D1102" s="215" t="s">
        <v>9028</v>
      </c>
      <c r="E1102" s="215" t="s">
        <v>9028</v>
      </c>
      <c r="F1102" s="215" t="s">
        <v>8946</v>
      </c>
      <c r="G1102" s="215" t="s">
        <v>8947</v>
      </c>
      <c r="H1102" s="215" t="s">
        <v>6497</v>
      </c>
      <c r="I1102" s="300"/>
      <c r="J1102" s="300"/>
      <c r="K1102" s="300"/>
      <c r="L1102" s="300"/>
      <c r="M1102" s="300"/>
      <c r="N1102" s="300"/>
      <c r="O1102" s="300"/>
      <c r="P1102" s="300"/>
      <c r="Q1102" s="300"/>
      <c r="R1102" s="300"/>
      <c r="S1102" s="300"/>
      <c r="T1102" s="300"/>
      <c r="U1102" s="300"/>
      <c r="V1102" s="300"/>
      <c r="W1102" s="300"/>
      <c r="X1102" s="300"/>
      <c r="Y1102" s="300"/>
      <c r="Z1102" s="300"/>
    </row>
    <row r="1103" spans="1:26">
      <c r="A1103" s="215" t="s">
        <v>3070</v>
      </c>
      <c r="B1103" s="207">
        <v>2531</v>
      </c>
      <c r="C1103" s="215" t="s">
        <v>5205</v>
      </c>
      <c r="D1103" s="215" t="s">
        <v>9029</v>
      </c>
      <c r="E1103" s="215" t="s">
        <v>9029</v>
      </c>
      <c r="F1103" s="215" t="s">
        <v>8946</v>
      </c>
      <c r="G1103" s="215" t="s">
        <v>8947</v>
      </c>
      <c r="H1103" s="215" t="s">
        <v>6497</v>
      </c>
      <c r="I1103" s="300"/>
      <c r="J1103" s="300"/>
      <c r="K1103" s="300"/>
      <c r="L1103" s="300"/>
      <c r="M1103" s="300"/>
      <c r="N1103" s="300"/>
      <c r="O1103" s="300"/>
      <c r="P1103" s="300"/>
      <c r="Q1103" s="300"/>
      <c r="R1103" s="300"/>
      <c r="S1103" s="300"/>
      <c r="T1103" s="300"/>
      <c r="U1103" s="300"/>
      <c r="V1103" s="300"/>
      <c r="W1103" s="300"/>
      <c r="X1103" s="300"/>
      <c r="Y1103" s="300"/>
      <c r="Z1103" s="300"/>
    </row>
    <row r="1104" spans="1:26">
      <c r="A1104" s="215" t="s">
        <v>3099</v>
      </c>
      <c r="B1104" s="207">
        <v>2532</v>
      </c>
      <c r="C1104" s="215" t="s">
        <v>5234</v>
      </c>
      <c r="D1104" s="215" t="s">
        <v>9030</v>
      </c>
      <c r="E1104" s="215" t="s">
        <v>9030</v>
      </c>
      <c r="F1104" s="215" t="s">
        <v>8946</v>
      </c>
      <c r="G1104" s="215" t="s">
        <v>8947</v>
      </c>
      <c r="H1104" s="215" t="s">
        <v>6521</v>
      </c>
      <c r="I1104" s="300"/>
      <c r="J1104" s="300"/>
      <c r="K1104" s="300"/>
      <c r="L1104" s="300"/>
      <c r="M1104" s="300"/>
      <c r="N1104" s="300"/>
      <c r="O1104" s="300"/>
      <c r="P1104" s="300"/>
      <c r="Q1104" s="300"/>
      <c r="R1104" s="300"/>
      <c r="S1104" s="300"/>
      <c r="T1104" s="300"/>
      <c r="U1104" s="300"/>
      <c r="V1104" s="300"/>
      <c r="W1104" s="300"/>
      <c r="X1104" s="300"/>
      <c r="Y1104" s="300"/>
      <c r="Z1104" s="300"/>
    </row>
    <row r="1105" spans="1:26">
      <c r="A1105" s="215" t="s">
        <v>3112</v>
      </c>
      <c r="B1105" s="207">
        <v>2533</v>
      </c>
      <c r="C1105" s="215" t="s">
        <v>5244</v>
      </c>
      <c r="D1105" s="215" t="s">
        <v>9031</v>
      </c>
      <c r="E1105" s="215" t="s">
        <v>9031</v>
      </c>
      <c r="F1105" s="215" t="s">
        <v>8946</v>
      </c>
      <c r="G1105" s="215" t="s">
        <v>8947</v>
      </c>
      <c r="H1105" s="215" t="s">
        <v>6521</v>
      </c>
      <c r="I1105" s="300"/>
      <c r="J1105" s="300"/>
      <c r="K1105" s="300"/>
      <c r="L1105" s="300"/>
      <c r="M1105" s="300"/>
      <c r="N1105" s="300"/>
      <c r="O1105" s="300"/>
      <c r="P1105" s="300"/>
      <c r="Q1105" s="300"/>
      <c r="R1105" s="300"/>
      <c r="S1105" s="300"/>
      <c r="T1105" s="300"/>
      <c r="U1105" s="300"/>
      <c r="V1105" s="300"/>
      <c r="W1105" s="300"/>
      <c r="X1105" s="300"/>
      <c r="Y1105" s="300"/>
      <c r="Z1105" s="300"/>
    </row>
    <row r="1106" spans="1:26">
      <c r="A1106" s="215"/>
      <c r="B1106" s="207">
        <v>2534</v>
      </c>
      <c r="C1106" s="215" t="s">
        <v>5026</v>
      </c>
      <c r="D1106" s="215" t="s">
        <v>9032</v>
      </c>
      <c r="E1106" s="215" t="s">
        <v>9032</v>
      </c>
      <c r="F1106" s="215" t="s">
        <v>8946</v>
      </c>
      <c r="G1106" s="215" t="s">
        <v>8947</v>
      </c>
      <c r="H1106" s="215" t="s">
        <v>6497</v>
      </c>
      <c r="I1106" s="300"/>
      <c r="J1106" s="300"/>
      <c r="K1106" s="300"/>
      <c r="L1106" s="300"/>
      <c r="M1106" s="300"/>
      <c r="N1106" s="300"/>
      <c r="O1106" s="300"/>
      <c r="P1106" s="300"/>
      <c r="Q1106" s="300"/>
      <c r="R1106" s="300"/>
      <c r="S1106" s="300"/>
      <c r="T1106" s="300"/>
      <c r="U1106" s="300"/>
      <c r="V1106" s="300"/>
      <c r="W1106" s="300"/>
      <c r="X1106" s="300"/>
      <c r="Y1106" s="300"/>
      <c r="Z1106" s="300"/>
    </row>
    <row r="1107" spans="1:26">
      <c r="A1107" s="215" t="s">
        <v>3278</v>
      </c>
      <c r="B1107" s="207">
        <v>2535</v>
      </c>
      <c r="C1107" s="215" t="s">
        <v>5406</v>
      </c>
      <c r="D1107" s="215" t="s">
        <v>9033</v>
      </c>
      <c r="E1107" s="215" t="s">
        <v>9033</v>
      </c>
      <c r="F1107" s="215" t="s">
        <v>8946</v>
      </c>
      <c r="G1107" s="215" t="s">
        <v>8947</v>
      </c>
      <c r="H1107" s="215" t="s">
        <v>6504</v>
      </c>
      <c r="I1107" s="300"/>
      <c r="J1107" s="300"/>
      <c r="K1107" s="300"/>
      <c r="L1107" s="300"/>
      <c r="M1107" s="300"/>
      <c r="N1107" s="300"/>
      <c r="O1107" s="300"/>
      <c r="P1107" s="300"/>
      <c r="Q1107" s="300"/>
      <c r="R1107" s="300"/>
      <c r="S1107" s="300"/>
      <c r="T1107" s="300"/>
      <c r="U1107" s="300"/>
      <c r="V1107" s="300"/>
      <c r="W1107" s="300"/>
      <c r="X1107" s="300"/>
      <c r="Y1107" s="300"/>
      <c r="Z1107" s="300"/>
    </row>
    <row r="1108" spans="1:26">
      <c r="A1108" s="215" t="s">
        <v>4140</v>
      </c>
      <c r="B1108" s="207">
        <v>2536</v>
      </c>
      <c r="C1108" s="215" t="s">
        <v>6131</v>
      </c>
      <c r="D1108" s="215" t="s">
        <v>9034</v>
      </c>
      <c r="E1108" s="215" t="s">
        <v>9034</v>
      </c>
      <c r="F1108" s="215" t="s">
        <v>8946</v>
      </c>
      <c r="G1108" s="215" t="s">
        <v>8947</v>
      </c>
      <c r="H1108" s="215" t="s">
        <v>6521</v>
      </c>
      <c r="I1108" s="300"/>
      <c r="J1108" s="300"/>
      <c r="K1108" s="300"/>
      <c r="L1108" s="300"/>
      <c r="M1108" s="300"/>
      <c r="N1108" s="300"/>
      <c r="O1108" s="300"/>
      <c r="P1108" s="300"/>
      <c r="Q1108" s="300"/>
      <c r="R1108" s="300"/>
      <c r="S1108" s="300"/>
      <c r="T1108" s="300"/>
      <c r="U1108" s="300"/>
      <c r="V1108" s="300"/>
      <c r="W1108" s="300"/>
      <c r="X1108" s="300"/>
      <c r="Y1108" s="300"/>
      <c r="Z1108" s="300"/>
    </row>
    <row r="1109" spans="1:26">
      <c r="A1109" s="215" t="s">
        <v>3287</v>
      </c>
      <c r="B1109" s="207">
        <v>2537</v>
      </c>
      <c r="C1109" s="215" t="s">
        <v>5418</v>
      </c>
      <c r="D1109" s="215" t="s">
        <v>9035</v>
      </c>
      <c r="E1109" s="215" t="s">
        <v>9035</v>
      </c>
      <c r="F1109" s="215" t="s">
        <v>8946</v>
      </c>
      <c r="G1109" s="215" t="s">
        <v>8947</v>
      </c>
      <c r="H1109" s="215" t="s">
        <v>6521</v>
      </c>
      <c r="I1109" s="300"/>
      <c r="J1109" s="300"/>
      <c r="K1109" s="300"/>
      <c r="L1109" s="300"/>
      <c r="M1109" s="300"/>
      <c r="N1109" s="300"/>
      <c r="O1109" s="300"/>
      <c r="P1109" s="300"/>
      <c r="Q1109" s="300"/>
      <c r="R1109" s="300"/>
      <c r="S1109" s="300"/>
      <c r="T1109" s="300"/>
      <c r="U1109" s="300"/>
      <c r="V1109" s="300"/>
      <c r="W1109" s="300"/>
      <c r="X1109" s="300"/>
      <c r="Y1109" s="300"/>
      <c r="Z1109" s="300"/>
    </row>
    <row r="1110" spans="1:26">
      <c r="A1110" s="215" t="s">
        <v>3383</v>
      </c>
      <c r="B1110" s="207">
        <v>2538</v>
      </c>
      <c r="C1110" s="215" t="s">
        <v>5504</v>
      </c>
      <c r="D1110" s="215" t="s">
        <v>9036</v>
      </c>
      <c r="E1110" s="215" t="s">
        <v>9037</v>
      </c>
      <c r="F1110" s="215" t="s">
        <v>8946</v>
      </c>
      <c r="G1110" s="215" t="s">
        <v>8947</v>
      </c>
      <c r="H1110" s="215" t="s">
        <v>6497</v>
      </c>
      <c r="I1110" s="300"/>
      <c r="J1110" s="300"/>
      <c r="K1110" s="300"/>
      <c r="L1110" s="300"/>
      <c r="M1110" s="300"/>
      <c r="N1110" s="300"/>
      <c r="O1110" s="300"/>
      <c r="P1110" s="300"/>
      <c r="Q1110" s="300"/>
      <c r="R1110" s="300"/>
      <c r="S1110" s="300"/>
      <c r="T1110" s="300"/>
      <c r="U1110" s="300"/>
      <c r="V1110" s="300"/>
      <c r="W1110" s="300"/>
      <c r="X1110" s="300"/>
      <c r="Y1110" s="300"/>
      <c r="Z1110" s="300"/>
    </row>
    <row r="1111" spans="1:26">
      <c r="A1111" s="215" t="s">
        <v>3381</v>
      </c>
      <c r="B1111" s="207">
        <v>2539</v>
      </c>
      <c r="C1111" s="215" t="s">
        <v>5503</v>
      </c>
      <c r="D1111" s="215" t="s">
        <v>9038</v>
      </c>
      <c r="E1111" s="215" t="s">
        <v>9038</v>
      </c>
      <c r="F1111" s="215" t="s">
        <v>8946</v>
      </c>
      <c r="G1111" s="215" t="s">
        <v>8947</v>
      </c>
      <c r="H1111" s="215" t="s">
        <v>6504</v>
      </c>
      <c r="I1111" s="300"/>
      <c r="J1111" s="300"/>
      <c r="K1111" s="300"/>
      <c r="L1111" s="300"/>
      <c r="M1111" s="300"/>
      <c r="N1111" s="300"/>
      <c r="O1111" s="300"/>
      <c r="P1111" s="300"/>
      <c r="Q1111" s="300"/>
      <c r="R1111" s="300"/>
      <c r="S1111" s="300"/>
      <c r="T1111" s="300"/>
      <c r="U1111" s="300"/>
      <c r="V1111" s="300"/>
      <c r="W1111" s="300"/>
      <c r="X1111" s="300"/>
      <c r="Y1111" s="300"/>
      <c r="Z1111" s="300"/>
    </row>
    <row r="1112" spans="1:26">
      <c r="A1112" s="215" t="s">
        <v>3501</v>
      </c>
      <c r="B1112" s="207">
        <v>2540</v>
      </c>
      <c r="C1112" s="215" t="s">
        <v>5608</v>
      </c>
      <c r="D1112" s="215" t="s">
        <v>9039</v>
      </c>
      <c r="E1112" s="215" t="s">
        <v>9040</v>
      </c>
      <c r="F1112" s="215" t="s">
        <v>8946</v>
      </c>
      <c r="G1112" s="215" t="s">
        <v>8947</v>
      </c>
      <c r="H1112" s="215" t="s">
        <v>6497</v>
      </c>
      <c r="I1112" s="300"/>
      <c r="J1112" s="300"/>
      <c r="K1112" s="300"/>
      <c r="L1112" s="300"/>
      <c r="M1112" s="300"/>
      <c r="N1112" s="300"/>
      <c r="O1112" s="300"/>
      <c r="P1112" s="300"/>
      <c r="Q1112" s="300"/>
      <c r="R1112" s="300"/>
      <c r="S1112" s="300"/>
      <c r="T1112" s="300"/>
      <c r="U1112" s="300"/>
      <c r="V1112" s="300"/>
      <c r="W1112" s="300"/>
      <c r="X1112" s="300"/>
      <c r="Y1112" s="300"/>
      <c r="Z1112" s="300"/>
    </row>
    <row r="1113" spans="1:26">
      <c r="A1113" s="215" t="s">
        <v>3360</v>
      </c>
      <c r="B1113" s="207">
        <v>2541</v>
      </c>
      <c r="C1113" s="215" t="s">
        <v>5481</v>
      </c>
      <c r="D1113" s="215" t="s">
        <v>9041</v>
      </c>
      <c r="E1113" s="215" t="s">
        <v>9041</v>
      </c>
      <c r="F1113" s="215" t="s">
        <v>8946</v>
      </c>
      <c r="G1113" s="215" t="s">
        <v>8947</v>
      </c>
      <c r="H1113" s="215" t="s">
        <v>6504</v>
      </c>
      <c r="I1113" s="300"/>
      <c r="J1113" s="300"/>
      <c r="K1113" s="300"/>
      <c r="L1113" s="300"/>
      <c r="M1113" s="300"/>
      <c r="N1113" s="300"/>
      <c r="O1113" s="300"/>
      <c r="P1113" s="300"/>
      <c r="Q1113" s="300"/>
      <c r="R1113" s="300"/>
      <c r="S1113" s="300"/>
      <c r="T1113" s="300"/>
      <c r="U1113" s="300"/>
      <c r="V1113" s="300"/>
      <c r="W1113" s="300"/>
      <c r="X1113" s="300"/>
      <c r="Y1113" s="300"/>
      <c r="Z1113" s="300"/>
    </row>
    <row r="1114" spans="1:26">
      <c r="A1114" s="215" t="s">
        <v>4476</v>
      </c>
      <c r="B1114" s="207">
        <v>2542</v>
      </c>
      <c r="C1114" s="215" t="s">
        <v>6402</v>
      </c>
      <c r="D1114" s="215" t="s">
        <v>9042</v>
      </c>
      <c r="E1114" s="215" t="s">
        <v>9042</v>
      </c>
      <c r="F1114" s="215" t="s">
        <v>8946</v>
      </c>
      <c r="G1114" s="215" t="s">
        <v>8947</v>
      </c>
      <c r="H1114" s="215" t="s">
        <v>6497</v>
      </c>
      <c r="I1114" s="300"/>
      <c r="J1114" s="300"/>
      <c r="K1114" s="300"/>
      <c r="L1114" s="300"/>
      <c r="M1114" s="300"/>
      <c r="N1114" s="300"/>
      <c r="O1114" s="300"/>
      <c r="P1114" s="300"/>
      <c r="Q1114" s="300"/>
      <c r="R1114" s="300"/>
      <c r="S1114" s="300"/>
      <c r="T1114" s="300"/>
      <c r="U1114" s="300"/>
      <c r="V1114" s="300"/>
      <c r="W1114" s="300"/>
      <c r="X1114" s="300"/>
      <c r="Y1114" s="300"/>
      <c r="Z1114" s="300"/>
    </row>
    <row r="1115" spans="1:26">
      <c r="A1115" s="215" t="s">
        <v>3438</v>
      </c>
      <c r="B1115" s="207">
        <v>2543</v>
      </c>
      <c r="C1115" s="215" t="s">
        <v>5558</v>
      </c>
      <c r="D1115" s="215" t="s">
        <v>9043</v>
      </c>
      <c r="E1115" s="215" t="s">
        <v>9044</v>
      </c>
      <c r="F1115" s="215" t="s">
        <v>8946</v>
      </c>
      <c r="G1115" s="215" t="s">
        <v>8947</v>
      </c>
      <c r="H1115" s="215" t="s">
        <v>6504</v>
      </c>
      <c r="I1115" s="300"/>
      <c r="J1115" s="300"/>
      <c r="K1115" s="300"/>
      <c r="L1115" s="300"/>
      <c r="M1115" s="300"/>
      <c r="N1115" s="300"/>
      <c r="O1115" s="300"/>
      <c r="P1115" s="300"/>
      <c r="Q1115" s="300"/>
      <c r="R1115" s="300"/>
      <c r="S1115" s="300"/>
      <c r="T1115" s="300"/>
      <c r="U1115" s="300"/>
      <c r="V1115" s="300"/>
      <c r="W1115" s="300"/>
      <c r="X1115" s="300"/>
      <c r="Y1115" s="300"/>
      <c r="Z1115" s="300"/>
    </row>
    <row r="1116" spans="1:26">
      <c r="A1116" s="215" t="s">
        <v>3359</v>
      </c>
      <c r="B1116" s="207">
        <v>2544</v>
      </c>
      <c r="C1116" s="215" t="s">
        <v>5480</v>
      </c>
      <c r="D1116" s="215" t="s">
        <v>9045</v>
      </c>
      <c r="E1116" s="215" t="s">
        <v>9045</v>
      </c>
      <c r="F1116" s="215" t="s">
        <v>8946</v>
      </c>
      <c r="G1116" s="215" t="s">
        <v>8947</v>
      </c>
      <c r="H1116" s="215" t="s">
        <v>6521</v>
      </c>
      <c r="I1116" s="300"/>
      <c r="J1116" s="300"/>
      <c r="K1116" s="300"/>
      <c r="L1116" s="300"/>
      <c r="M1116" s="300"/>
      <c r="N1116" s="300"/>
      <c r="O1116" s="300"/>
      <c r="P1116" s="300"/>
      <c r="Q1116" s="300"/>
      <c r="R1116" s="300"/>
      <c r="S1116" s="300"/>
      <c r="T1116" s="300"/>
      <c r="U1116" s="300"/>
      <c r="V1116" s="300"/>
      <c r="W1116" s="300"/>
      <c r="X1116" s="300"/>
      <c r="Y1116" s="300"/>
      <c r="Z1116" s="300"/>
    </row>
    <row r="1117" spans="1:26">
      <c r="A1117" s="215" t="s">
        <v>3482</v>
      </c>
      <c r="B1117" s="207">
        <v>2545</v>
      </c>
      <c r="C1117" s="215" t="s">
        <v>5592</v>
      </c>
      <c r="D1117" s="215" t="s">
        <v>9046</v>
      </c>
      <c r="E1117" s="215" t="s">
        <v>9046</v>
      </c>
      <c r="F1117" s="215" t="s">
        <v>8946</v>
      </c>
      <c r="G1117" s="215" t="s">
        <v>8947</v>
      </c>
      <c r="H1117" s="215" t="s">
        <v>6521</v>
      </c>
      <c r="I1117" s="300"/>
      <c r="J1117" s="300"/>
      <c r="K1117" s="300"/>
      <c r="L1117" s="300"/>
      <c r="M1117" s="300"/>
      <c r="N1117" s="300"/>
      <c r="O1117" s="300"/>
      <c r="P1117" s="300"/>
      <c r="Q1117" s="300"/>
      <c r="R1117" s="300"/>
      <c r="S1117" s="300"/>
      <c r="T1117" s="300"/>
      <c r="U1117" s="300"/>
      <c r="V1117" s="300"/>
      <c r="W1117" s="300"/>
      <c r="X1117" s="300"/>
      <c r="Y1117" s="300"/>
      <c r="Z1117" s="300"/>
    </row>
    <row r="1118" spans="1:26">
      <c r="A1118" s="215" t="s">
        <v>3390</v>
      </c>
      <c r="B1118" s="207">
        <v>2546</v>
      </c>
      <c r="C1118" s="215" t="s">
        <v>5515</v>
      </c>
      <c r="D1118" s="215" t="s">
        <v>5515</v>
      </c>
      <c r="E1118" s="215" t="s">
        <v>9047</v>
      </c>
      <c r="F1118" s="215" t="s">
        <v>8946</v>
      </c>
      <c r="G1118" s="215" t="s">
        <v>8947</v>
      </c>
      <c r="H1118" s="215" t="s">
        <v>6521</v>
      </c>
      <c r="I1118" s="300"/>
      <c r="J1118" s="300"/>
      <c r="K1118" s="300"/>
      <c r="L1118" s="300"/>
      <c r="M1118" s="300"/>
      <c r="N1118" s="300"/>
      <c r="O1118" s="300"/>
      <c r="P1118" s="300"/>
      <c r="Q1118" s="300"/>
      <c r="R1118" s="300"/>
      <c r="S1118" s="300"/>
      <c r="T1118" s="300"/>
      <c r="U1118" s="300"/>
      <c r="V1118" s="300"/>
      <c r="W1118" s="300"/>
      <c r="X1118" s="300"/>
      <c r="Y1118" s="300"/>
      <c r="Z1118" s="300"/>
    </row>
    <row r="1119" spans="1:26">
      <c r="A1119" s="215" t="s">
        <v>3398</v>
      </c>
      <c r="B1119" s="207">
        <v>2547</v>
      </c>
      <c r="C1119" s="215" t="s">
        <v>5524</v>
      </c>
      <c r="D1119" s="215" t="s">
        <v>5524</v>
      </c>
      <c r="E1119" s="215" t="s">
        <v>9048</v>
      </c>
      <c r="F1119" s="215" t="s">
        <v>8946</v>
      </c>
      <c r="G1119" s="215" t="s">
        <v>8947</v>
      </c>
      <c r="H1119" s="215" t="s">
        <v>6497</v>
      </c>
      <c r="I1119" s="300"/>
      <c r="J1119" s="300"/>
      <c r="K1119" s="300"/>
      <c r="L1119" s="300"/>
      <c r="M1119" s="300"/>
      <c r="N1119" s="300"/>
      <c r="O1119" s="300"/>
      <c r="P1119" s="300"/>
      <c r="Q1119" s="300"/>
      <c r="R1119" s="300"/>
      <c r="S1119" s="300"/>
      <c r="T1119" s="300"/>
      <c r="U1119" s="300"/>
      <c r="V1119" s="300"/>
      <c r="W1119" s="300"/>
      <c r="X1119" s="300"/>
      <c r="Y1119" s="300"/>
      <c r="Z1119" s="300"/>
    </row>
    <row r="1120" spans="1:26">
      <c r="A1120" s="215" t="s">
        <v>3517</v>
      </c>
      <c r="B1120" s="207">
        <v>2548</v>
      </c>
      <c r="C1120" s="215" t="s">
        <v>5627</v>
      </c>
      <c r="D1120" s="215" t="s">
        <v>9049</v>
      </c>
      <c r="E1120" s="215" t="s">
        <v>9049</v>
      </c>
      <c r="F1120" s="215" t="s">
        <v>8946</v>
      </c>
      <c r="G1120" s="215" t="s">
        <v>8947</v>
      </c>
      <c r="H1120" s="215" t="s">
        <v>6521</v>
      </c>
      <c r="I1120" s="300"/>
      <c r="J1120" s="300"/>
      <c r="K1120" s="300"/>
      <c r="L1120" s="300"/>
      <c r="M1120" s="300"/>
      <c r="N1120" s="300"/>
      <c r="O1120" s="300"/>
      <c r="P1120" s="300"/>
      <c r="Q1120" s="300"/>
      <c r="R1120" s="300"/>
      <c r="S1120" s="300"/>
      <c r="T1120" s="300"/>
      <c r="U1120" s="300"/>
      <c r="V1120" s="300"/>
      <c r="W1120" s="300"/>
      <c r="X1120" s="300"/>
      <c r="Y1120" s="300"/>
      <c r="Z1120" s="300"/>
    </row>
    <row r="1121" spans="1:26">
      <c r="A1121" s="215" t="s">
        <v>3539</v>
      </c>
      <c r="B1121" s="207">
        <v>2549</v>
      </c>
      <c r="C1121" s="215" t="s">
        <v>5648</v>
      </c>
      <c r="D1121" s="215" t="s">
        <v>9050</v>
      </c>
      <c r="E1121" s="215" t="s">
        <v>8945</v>
      </c>
      <c r="F1121" s="215" t="s">
        <v>8946</v>
      </c>
      <c r="G1121" s="215" t="s">
        <v>8947</v>
      </c>
      <c r="H1121" s="215" t="s">
        <v>6497</v>
      </c>
      <c r="I1121" s="300"/>
      <c r="J1121" s="300"/>
      <c r="K1121" s="300"/>
      <c r="L1121" s="300"/>
      <c r="M1121" s="300"/>
      <c r="N1121" s="300"/>
      <c r="O1121" s="300"/>
      <c r="P1121" s="300"/>
      <c r="Q1121" s="300"/>
      <c r="R1121" s="300"/>
      <c r="S1121" s="300"/>
      <c r="T1121" s="300"/>
      <c r="U1121" s="300"/>
      <c r="V1121" s="300"/>
      <c r="W1121" s="300"/>
      <c r="X1121" s="300"/>
      <c r="Y1121" s="300"/>
      <c r="Z1121" s="300"/>
    </row>
    <row r="1122" spans="1:26">
      <c r="A1122" s="215" t="s">
        <v>3672</v>
      </c>
      <c r="B1122" s="207">
        <v>2550</v>
      </c>
      <c r="C1122" s="215" t="s">
        <v>5760</v>
      </c>
      <c r="D1122" s="215" t="s">
        <v>9051</v>
      </c>
      <c r="E1122" s="215" t="s">
        <v>9051</v>
      </c>
      <c r="F1122" s="215" t="s">
        <v>8946</v>
      </c>
      <c r="G1122" s="215" t="s">
        <v>8947</v>
      </c>
      <c r="H1122" s="215" t="s">
        <v>6497</v>
      </c>
      <c r="I1122" s="300"/>
      <c r="J1122" s="300"/>
      <c r="K1122" s="300"/>
      <c r="L1122" s="300"/>
      <c r="M1122" s="300"/>
      <c r="N1122" s="300"/>
      <c r="O1122" s="300"/>
      <c r="P1122" s="300"/>
      <c r="Q1122" s="300"/>
      <c r="R1122" s="300"/>
      <c r="S1122" s="300"/>
      <c r="T1122" s="300"/>
      <c r="U1122" s="300"/>
      <c r="V1122" s="300"/>
      <c r="W1122" s="300"/>
      <c r="X1122" s="300"/>
      <c r="Y1122" s="300"/>
      <c r="Z1122" s="300"/>
    </row>
    <row r="1123" spans="1:26">
      <c r="A1123" s="215" t="s">
        <v>3210</v>
      </c>
      <c r="B1123" s="207">
        <v>2551</v>
      </c>
      <c r="C1123" s="215" t="s">
        <v>5339</v>
      </c>
      <c r="D1123" s="215" t="s">
        <v>9052</v>
      </c>
      <c r="E1123" s="215" t="s">
        <v>9053</v>
      </c>
      <c r="F1123" s="215" t="s">
        <v>8946</v>
      </c>
      <c r="G1123" s="215" t="s">
        <v>8947</v>
      </c>
      <c r="H1123" s="215" t="s">
        <v>6497</v>
      </c>
      <c r="I1123" s="300"/>
      <c r="J1123" s="300"/>
      <c r="K1123" s="300"/>
      <c r="L1123" s="300"/>
      <c r="M1123" s="300"/>
      <c r="N1123" s="300"/>
      <c r="O1123" s="300"/>
      <c r="P1123" s="300"/>
      <c r="Q1123" s="300"/>
      <c r="R1123" s="300"/>
      <c r="S1123" s="300"/>
      <c r="T1123" s="300"/>
      <c r="U1123" s="300"/>
      <c r="V1123" s="300"/>
      <c r="W1123" s="300"/>
      <c r="X1123" s="300"/>
      <c r="Y1123" s="300"/>
      <c r="Z1123" s="300"/>
    </row>
    <row r="1124" spans="1:26">
      <c r="A1124" s="215" t="s">
        <v>3669</v>
      </c>
      <c r="B1124" s="207">
        <v>2552</v>
      </c>
      <c r="C1124" s="215" t="s">
        <v>4963</v>
      </c>
      <c r="D1124" s="215" t="s">
        <v>9054</v>
      </c>
      <c r="E1124" s="215" t="s">
        <v>9054</v>
      </c>
      <c r="F1124" s="215" t="s">
        <v>8946</v>
      </c>
      <c r="G1124" s="215" t="s">
        <v>8947</v>
      </c>
      <c r="H1124" s="215" t="s">
        <v>6548</v>
      </c>
      <c r="I1124" s="300"/>
      <c r="J1124" s="300"/>
      <c r="K1124" s="300"/>
      <c r="L1124" s="300"/>
      <c r="M1124" s="300"/>
      <c r="N1124" s="300"/>
      <c r="O1124" s="300"/>
      <c r="P1124" s="300"/>
      <c r="Q1124" s="300"/>
      <c r="R1124" s="300"/>
      <c r="S1124" s="300"/>
      <c r="T1124" s="300"/>
      <c r="U1124" s="300"/>
      <c r="V1124" s="300"/>
      <c r="W1124" s="300"/>
      <c r="X1124" s="300"/>
      <c r="Y1124" s="300"/>
      <c r="Z1124" s="300"/>
    </row>
    <row r="1125" spans="1:26">
      <c r="A1125" s="215" t="s">
        <v>3686</v>
      </c>
      <c r="B1125" s="207">
        <v>2553</v>
      </c>
      <c r="C1125" s="215" t="s">
        <v>5774</v>
      </c>
      <c r="D1125" s="215" t="s">
        <v>9055</v>
      </c>
      <c r="E1125" s="215" t="s">
        <v>9055</v>
      </c>
      <c r="F1125" s="215" t="s">
        <v>8946</v>
      </c>
      <c r="G1125" s="215" t="s">
        <v>8947</v>
      </c>
      <c r="H1125" s="215" t="s">
        <v>6500</v>
      </c>
      <c r="I1125" s="300"/>
      <c r="J1125" s="300"/>
      <c r="K1125" s="300"/>
      <c r="L1125" s="300"/>
      <c r="M1125" s="300"/>
      <c r="N1125" s="300"/>
      <c r="O1125" s="300"/>
      <c r="P1125" s="300"/>
      <c r="Q1125" s="300"/>
      <c r="R1125" s="300"/>
      <c r="S1125" s="300"/>
      <c r="T1125" s="300"/>
      <c r="U1125" s="300"/>
      <c r="V1125" s="300"/>
      <c r="W1125" s="300"/>
      <c r="X1125" s="300"/>
      <c r="Y1125" s="300"/>
      <c r="Z1125" s="300"/>
    </row>
    <row r="1126" spans="1:26">
      <c r="A1126" s="215" t="s">
        <v>3701</v>
      </c>
      <c r="B1126" s="207">
        <v>2554</v>
      </c>
      <c r="C1126" s="215" t="s">
        <v>5790</v>
      </c>
      <c r="D1126" s="215" t="s">
        <v>9056</v>
      </c>
      <c r="E1126" s="215" t="s">
        <v>9057</v>
      </c>
      <c r="F1126" s="215" t="s">
        <v>8946</v>
      </c>
      <c r="G1126" s="215" t="s">
        <v>8947</v>
      </c>
      <c r="H1126" s="215" t="s">
        <v>6497</v>
      </c>
      <c r="I1126" s="300"/>
      <c r="J1126" s="300"/>
      <c r="K1126" s="300"/>
      <c r="L1126" s="300"/>
      <c r="M1126" s="300"/>
      <c r="N1126" s="300"/>
      <c r="O1126" s="300"/>
      <c r="P1126" s="300"/>
      <c r="Q1126" s="300"/>
      <c r="R1126" s="300"/>
      <c r="S1126" s="300"/>
      <c r="T1126" s="300"/>
      <c r="U1126" s="300"/>
      <c r="V1126" s="300"/>
      <c r="W1126" s="300"/>
      <c r="X1126" s="300"/>
      <c r="Y1126" s="300"/>
      <c r="Z1126" s="300"/>
    </row>
    <row r="1127" spans="1:26">
      <c r="A1127" s="215" t="s">
        <v>3671</v>
      </c>
      <c r="B1127" s="207">
        <v>2555</v>
      </c>
      <c r="C1127" s="215" t="s">
        <v>5759</v>
      </c>
      <c r="D1127" s="215" t="s">
        <v>9058</v>
      </c>
      <c r="E1127" s="215" t="s">
        <v>9058</v>
      </c>
      <c r="F1127" s="215" t="s">
        <v>8946</v>
      </c>
      <c r="G1127" s="215" t="s">
        <v>8947</v>
      </c>
      <c r="H1127" s="215" t="s">
        <v>6521</v>
      </c>
      <c r="I1127" s="300"/>
      <c r="J1127" s="300"/>
      <c r="K1127" s="300"/>
      <c r="L1127" s="300"/>
      <c r="M1127" s="300"/>
      <c r="N1127" s="300"/>
      <c r="O1127" s="300"/>
      <c r="P1127" s="300"/>
      <c r="Q1127" s="300"/>
      <c r="R1127" s="300"/>
      <c r="S1127" s="300"/>
      <c r="T1127" s="300"/>
      <c r="U1127" s="300"/>
      <c r="V1127" s="300"/>
      <c r="W1127" s="300"/>
      <c r="X1127" s="300"/>
      <c r="Y1127" s="300"/>
      <c r="Z1127" s="300"/>
    </row>
    <row r="1128" spans="1:26">
      <c r="A1128" s="215" t="s">
        <v>3655</v>
      </c>
      <c r="B1128" s="207">
        <v>2556</v>
      </c>
      <c r="C1128" s="215" t="s">
        <v>5717</v>
      </c>
      <c r="D1128" s="215" t="s">
        <v>3656</v>
      </c>
      <c r="E1128" s="215" t="s">
        <v>3656</v>
      </c>
      <c r="F1128" s="215" t="s">
        <v>8946</v>
      </c>
      <c r="G1128" s="215" t="s">
        <v>8947</v>
      </c>
      <c r="H1128" s="215" t="s">
        <v>6504</v>
      </c>
      <c r="I1128" s="300"/>
      <c r="J1128" s="300"/>
      <c r="K1128" s="300"/>
      <c r="L1128" s="300"/>
      <c r="M1128" s="300"/>
      <c r="N1128" s="300"/>
      <c r="O1128" s="300"/>
      <c r="P1128" s="300"/>
      <c r="Q1128" s="300"/>
      <c r="R1128" s="300"/>
      <c r="S1128" s="300"/>
      <c r="T1128" s="300"/>
      <c r="U1128" s="300"/>
      <c r="V1128" s="300"/>
      <c r="W1128" s="300"/>
      <c r="X1128" s="300"/>
      <c r="Y1128" s="300"/>
      <c r="Z1128" s="300"/>
    </row>
    <row r="1129" spans="1:26">
      <c r="A1129" s="215" t="s">
        <v>3653</v>
      </c>
      <c r="B1129" s="207">
        <v>2557</v>
      </c>
      <c r="C1129" s="215" t="s">
        <v>5749</v>
      </c>
      <c r="D1129" s="215" t="s">
        <v>9059</v>
      </c>
      <c r="E1129" s="215" t="s">
        <v>9059</v>
      </c>
      <c r="F1129" s="215" t="s">
        <v>8946</v>
      </c>
      <c r="G1129" s="215" t="s">
        <v>8947</v>
      </c>
      <c r="H1129" s="215" t="s">
        <v>6504</v>
      </c>
      <c r="I1129" s="300"/>
      <c r="J1129" s="300"/>
      <c r="K1129" s="300"/>
      <c r="L1129" s="300"/>
      <c r="M1129" s="300"/>
      <c r="N1129" s="300"/>
      <c r="O1129" s="300"/>
      <c r="P1129" s="300"/>
      <c r="Q1129" s="300"/>
      <c r="R1129" s="300"/>
      <c r="S1129" s="300"/>
      <c r="T1129" s="300"/>
      <c r="U1129" s="300"/>
      <c r="V1129" s="300"/>
      <c r="W1129" s="300"/>
      <c r="X1129" s="300"/>
      <c r="Y1129" s="300"/>
      <c r="Z1129" s="300"/>
    </row>
    <row r="1130" spans="1:26">
      <c r="A1130" s="215" t="s">
        <v>9060</v>
      </c>
      <c r="B1130" s="207">
        <v>2558</v>
      </c>
      <c r="C1130" s="215" t="s">
        <v>9061</v>
      </c>
      <c r="D1130" s="215" t="s">
        <v>9062</v>
      </c>
      <c r="E1130" s="215" t="s">
        <v>9063</v>
      </c>
      <c r="F1130" s="215" t="s">
        <v>8946</v>
      </c>
      <c r="G1130" s="215" t="s">
        <v>8947</v>
      </c>
      <c r="H1130" s="215" t="s">
        <v>6504</v>
      </c>
      <c r="I1130" s="300"/>
      <c r="J1130" s="300"/>
      <c r="K1130" s="300"/>
      <c r="L1130" s="300"/>
      <c r="M1130" s="300"/>
      <c r="N1130" s="300"/>
      <c r="O1130" s="300"/>
      <c r="P1130" s="300"/>
      <c r="Q1130" s="300"/>
      <c r="R1130" s="300"/>
      <c r="S1130" s="300"/>
      <c r="T1130" s="300"/>
      <c r="U1130" s="300"/>
      <c r="V1130" s="300"/>
      <c r="W1130" s="300"/>
      <c r="X1130" s="300"/>
      <c r="Y1130" s="300"/>
      <c r="Z1130" s="300"/>
    </row>
    <row r="1131" spans="1:26">
      <c r="A1131" s="215" t="s">
        <v>2570</v>
      </c>
      <c r="B1131" s="207">
        <v>2559</v>
      </c>
      <c r="C1131" s="215" t="s">
        <v>4804</v>
      </c>
      <c r="D1131" s="215" t="s">
        <v>9064</v>
      </c>
      <c r="E1131" s="215" t="s">
        <v>9065</v>
      </c>
      <c r="F1131" s="215" t="s">
        <v>8946</v>
      </c>
      <c r="G1131" s="215" t="s">
        <v>8947</v>
      </c>
      <c r="H1131" s="215" t="s">
        <v>6521</v>
      </c>
      <c r="I1131" s="300"/>
      <c r="J1131" s="300"/>
      <c r="K1131" s="300"/>
      <c r="L1131" s="300"/>
      <c r="M1131" s="300"/>
      <c r="N1131" s="300"/>
      <c r="O1131" s="300"/>
      <c r="P1131" s="300"/>
      <c r="Q1131" s="300"/>
      <c r="R1131" s="300"/>
      <c r="S1131" s="300"/>
      <c r="T1131" s="300"/>
      <c r="U1131" s="300"/>
      <c r="V1131" s="300"/>
      <c r="W1131" s="300"/>
      <c r="X1131" s="300"/>
      <c r="Y1131" s="300"/>
      <c r="Z1131" s="300"/>
    </row>
    <row r="1132" spans="1:26">
      <c r="A1132" s="215" t="s">
        <v>3849</v>
      </c>
      <c r="B1132" s="207">
        <v>2560</v>
      </c>
      <c r="C1132" s="215" t="s">
        <v>5923</v>
      </c>
      <c r="D1132" s="215" t="s">
        <v>9066</v>
      </c>
      <c r="E1132" s="215" t="s">
        <v>9066</v>
      </c>
      <c r="F1132" s="215" t="s">
        <v>8946</v>
      </c>
      <c r="G1132" s="215" t="s">
        <v>8947</v>
      </c>
      <c r="H1132" s="215" t="s">
        <v>6521</v>
      </c>
      <c r="I1132" s="300"/>
      <c r="J1132" s="300"/>
      <c r="K1132" s="300"/>
      <c r="L1132" s="300"/>
      <c r="M1132" s="300"/>
      <c r="N1132" s="300"/>
      <c r="O1132" s="300"/>
      <c r="P1132" s="300"/>
      <c r="Q1132" s="300"/>
      <c r="R1132" s="300"/>
      <c r="S1132" s="300"/>
      <c r="T1132" s="300"/>
      <c r="U1132" s="300"/>
      <c r="V1132" s="300"/>
      <c r="W1132" s="300"/>
      <c r="X1132" s="300"/>
      <c r="Y1132" s="300"/>
      <c r="Z1132" s="300"/>
    </row>
    <row r="1133" spans="1:26">
      <c r="A1133" s="215" t="s">
        <v>3861</v>
      </c>
      <c r="B1133" s="207">
        <v>2561</v>
      </c>
      <c r="C1133" s="215" t="s">
        <v>5933</v>
      </c>
      <c r="D1133" s="215" t="s">
        <v>9067</v>
      </c>
      <c r="E1133" s="215" t="s">
        <v>9067</v>
      </c>
      <c r="F1133" s="215" t="s">
        <v>8946</v>
      </c>
      <c r="G1133" s="215" t="s">
        <v>8947</v>
      </c>
      <c r="H1133" s="215" t="s">
        <v>6521</v>
      </c>
      <c r="I1133" s="300"/>
      <c r="J1133" s="300"/>
      <c r="K1133" s="300"/>
      <c r="L1133" s="300"/>
      <c r="M1133" s="300"/>
      <c r="N1133" s="300"/>
      <c r="O1133" s="300"/>
      <c r="P1133" s="300"/>
      <c r="Q1133" s="300"/>
      <c r="R1133" s="300"/>
      <c r="S1133" s="300"/>
      <c r="T1133" s="300"/>
      <c r="U1133" s="300"/>
      <c r="V1133" s="300"/>
      <c r="W1133" s="300"/>
      <c r="X1133" s="300"/>
      <c r="Y1133" s="300"/>
      <c r="Z1133" s="300"/>
    </row>
    <row r="1134" spans="1:26">
      <c r="A1134" s="215" t="s">
        <v>4523</v>
      </c>
      <c r="B1134" s="207">
        <v>2562</v>
      </c>
      <c r="C1134" s="215" t="s">
        <v>6437</v>
      </c>
      <c r="D1134" s="215" t="s">
        <v>9068</v>
      </c>
      <c r="E1134" s="215" t="s">
        <v>9068</v>
      </c>
      <c r="F1134" s="215" t="s">
        <v>8946</v>
      </c>
      <c r="G1134" s="215" t="s">
        <v>8947</v>
      </c>
      <c r="H1134" s="215" t="s">
        <v>6521</v>
      </c>
      <c r="I1134" s="300"/>
      <c r="J1134" s="300"/>
      <c r="K1134" s="300"/>
      <c r="L1134" s="300"/>
      <c r="M1134" s="300"/>
      <c r="N1134" s="300"/>
      <c r="O1134" s="300"/>
      <c r="P1134" s="300"/>
      <c r="Q1134" s="300"/>
      <c r="R1134" s="300"/>
      <c r="S1134" s="300"/>
      <c r="T1134" s="300"/>
      <c r="U1134" s="300"/>
      <c r="V1134" s="300"/>
      <c r="W1134" s="300"/>
      <c r="X1134" s="300"/>
      <c r="Y1134" s="300"/>
      <c r="Z1134" s="300"/>
    </row>
    <row r="1135" spans="1:26">
      <c r="A1135" s="215" t="s">
        <v>4128</v>
      </c>
      <c r="B1135" s="207">
        <v>2563</v>
      </c>
      <c r="C1135" s="215" t="s">
        <v>6122</v>
      </c>
      <c r="D1135" s="215" t="s">
        <v>9069</v>
      </c>
      <c r="E1135" s="215" t="s">
        <v>9069</v>
      </c>
      <c r="F1135" s="215" t="s">
        <v>8946</v>
      </c>
      <c r="G1135" s="215" t="s">
        <v>8947</v>
      </c>
      <c r="H1135" s="215" t="s">
        <v>6497</v>
      </c>
      <c r="I1135" s="300"/>
      <c r="J1135" s="300"/>
      <c r="K1135" s="300"/>
      <c r="L1135" s="300"/>
      <c r="M1135" s="300"/>
      <c r="N1135" s="300"/>
      <c r="O1135" s="300"/>
      <c r="P1135" s="300"/>
      <c r="Q1135" s="300"/>
      <c r="R1135" s="300"/>
      <c r="S1135" s="300"/>
      <c r="T1135" s="300"/>
      <c r="U1135" s="300"/>
      <c r="V1135" s="300"/>
      <c r="W1135" s="300"/>
      <c r="X1135" s="300"/>
      <c r="Y1135" s="300"/>
      <c r="Z1135" s="300"/>
    </row>
    <row r="1136" spans="1:26">
      <c r="A1136" s="215" t="s">
        <v>4042</v>
      </c>
      <c r="B1136" s="207">
        <v>2564</v>
      </c>
      <c r="C1136" s="215" t="s">
        <v>6067</v>
      </c>
      <c r="D1136" s="215" t="s">
        <v>9070</v>
      </c>
      <c r="E1136" s="215" t="s">
        <v>9070</v>
      </c>
      <c r="F1136" s="215" t="s">
        <v>8946</v>
      </c>
      <c r="G1136" s="215" t="s">
        <v>8947</v>
      </c>
      <c r="H1136" s="215" t="s">
        <v>6504</v>
      </c>
      <c r="I1136" s="300"/>
      <c r="J1136" s="300"/>
      <c r="K1136" s="300"/>
      <c r="L1136" s="300"/>
      <c r="M1136" s="300"/>
      <c r="N1136" s="300"/>
      <c r="O1136" s="300"/>
      <c r="P1136" s="300"/>
      <c r="Q1136" s="300"/>
      <c r="R1136" s="300"/>
      <c r="S1136" s="300"/>
      <c r="T1136" s="300"/>
      <c r="U1136" s="300"/>
      <c r="V1136" s="300"/>
      <c r="W1136" s="300"/>
      <c r="X1136" s="300"/>
      <c r="Y1136" s="300"/>
      <c r="Z1136" s="300"/>
    </row>
    <row r="1137" spans="1:26">
      <c r="A1137" s="215" t="s">
        <v>4118</v>
      </c>
      <c r="B1137" s="207">
        <v>2565</v>
      </c>
      <c r="C1137" s="215" t="s">
        <v>6117</v>
      </c>
      <c r="D1137" s="215" t="s">
        <v>9071</v>
      </c>
      <c r="E1137" s="215" t="s">
        <v>9071</v>
      </c>
      <c r="F1137" s="215" t="s">
        <v>8946</v>
      </c>
      <c r="G1137" s="215" t="s">
        <v>8947</v>
      </c>
      <c r="H1137" s="215" t="s">
        <v>6521</v>
      </c>
      <c r="I1137" s="300"/>
      <c r="J1137" s="300"/>
      <c r="K1137" s="300"/>
      <c r="L1137" s="300"/>
      <c r="M1137" s="300"/>
      <c r="N1137" s="300"/>
      <c r="O1137" s="300"/>
      <c r="P1137" s="300"/>
      <c r="Q1137" s="300"/>
      <c r="R1137" s="300"/>
      <c r="S1137" s="300"/>
      <c r="T1137" s="300"/>
      <c r="U1137" s="300"/>
      <c r="V1137" s="300"/>
      <c r="W1137" s="300"/>
      <c r="X1137" s="300"/>
      <c r="Y1137" s="300"/>
      <c r="Z1137" s="300"/>
    </row>
    <row r="1138" spans="1:26">
      <c r="A1138" s="215" t="s">
        <v>4119</v>
      </c>
      <c r="B1138" s="207">
        <v>2566</v>
      </c>
      <c r="C1138" s="215" t="s">
        <v>5466</v>
      </c>
      <c r="D1138" s="215" t="s">
        <v>8945</v>
      </c>
      <c r="E1138" s="215" t="s">
        <v>8945</v>
      </c>
      <c r="F1138" s="215" t="s">
        <v>8946</v>
      </c>
      <c r="G1138" s="215" t="s">
        <v>8947</v>
      </c>
      <c r="H1138" s="215" t="s">
        <v>6500</v>
      </c>
      <c r="I1138" s="300"/>
      <c r="J1138" s="300"/>
      <c r="K1138" s="300"/>
      <c r="L1138" s="300"/>
      <c r="M1138" s="300"/>
      <c r="N1138" s="300"/>
      <c r="O1138" s="300"/>
      <c r="P1138" s="300"/>
      <c r="Q1138" s="300"/>
      <c r="R1138" s="300"/>
      <c r="S1138" s="300"/>
      <c r="T1138" s="300"/>
      <c r="U1138" s="300"/>
      <c r="V1138" s="300"/>
      <c r="W1138" s="300"/>
      <c r="X1138" s="300"/>
      <c r="Y1138" s="300"/>
      <c r="Z1138" s="300"/>
    </row>
    <row r="1139" spans="1:26">
      <c r="A1139" s="215" t="s">
        <v>2682</v>
      </c>
      <c r="B1139" s="207">
        <v>2567</v>
      </c>
      <c r="C1139" s="215" t="s">
        <v>4854</v>
      </c>
      <c r="D1139" s="215" t="s">
        <v>9072</v>
      </c>
      <c r="E1139" s="215" t="s">
        <v>9072</v>
      </c>
      <c r="F1139" s="215" t="s">
        <v>8946</v>
      </c>
      <c r="G1139" s="215" t="s">
        <v>8947</v>
      </c>
      <c r="H1139" s="215" t="s">
        <v>6500</v>
      </c>
      <c r="I1139" s="300"/>
      <c r="J1139" s="300"/>
      <c r="K1139" s="300"/>
      <c r="L1139" s="300"/>
      <c r="M1139" s="300"/>
      <c r="N1139" s="300"/>
      <c r="O1139" s="300"/>
      <c r="P1139" s="300"/>
      <c r="Q1139" s="300"/>
      <c r="R1139" s="300"/>
      <c r="S1139" s="300"/>
      <c r="T1139" s="300"/>
      <c r="U1139" s="300"/>
      <c r="V1139" s="300"/>
      <c r="W1139" s="300"/>
      <c r="X1139" s="300"/>
      <c r="Y1139" s="300"/>
      <c r="Z1139" s="300"/>
    </row>
    <row r="1140" spans="1:26">
      <c r="A1140" s="215" t="s">
        <v>4282</v>
      </c>
      <c r="B1140" s="207">
        <v>2568</v>
      </c>
      <c r="C1140" s="215" t="s">
        <v>6247</v>
      </c>
      <c r="D1140" s="215" t="s">
        <v>9073</v>
      </c>
      <c r="E1140" s="215" t="s">
        <v>9073</v>
      </c>
      <c r="F1140" s="215" t="s">
        <v>8946</v>
      </c>
      <c r="G1140" s="215" t="s">
        <v>8947</v>
      </c>
      <c r="H1140" s="215" t="s">
        <v>6548</v>
      </c>
      <c r="I1140" s="300"/>
      <c r="J1140" s="300"/>
      <c r="K1140" s="300"/>
      <c r="L1140" s="300"/>
      <c r="M1140" s="300"/>
      <c r="N1140" s="300"/>
      <c r="O1140" s="300"/>
      <c r="P1140" s="300"/>
      <c r="Q1140" s="300"/>
      <c r="R1140" s="300"/>
      <c r="S1140" s="300"/>
      <c r="T1140" s="300"/>
      <c r="U1140" s="300"/>
      <c r="V1140" s="300"/>
      <c r="W1140" s="300"/>
      <c r="X1140" s="300"/>
      <c r="Y1140" s="300"/>
      <c r="Z1140" s="300"/>
    </row>
    <row r="1141" spans="1:26">
      <c r="A1141" s="215" t="s">
        <v>9074</v>
      </c>
      <c r="B1141" s="207">
        <v>2569</v>
      </c>
      <c r="C1141" s="215" t="s">
        <v>6255</v>
      </c>
      <c r="D1141" s="215" t="s">
        <v>9075</v>
      </c>
      <c r="E1141" s="215" t="s">
        <v>9075</v>
      </c>
      <c r="F1141" s="215" t="s">
        <v>8946</v>
      </c>
      <c r="G1141" s="215" t="s">
        <v>8947</v>
      </c>
      <c r="H1141" s="215" t="s">
        <v>6504</v>
      </c>
      <c r="I1141" s="300"/>
      <c r="J1141" s="300"/>
      <c r="K1141" s="300"/>
      <c r="L1141" s="300"/>
      <c r="M1141" s="300"/>
      <c r="N1141" s="300"/>
      <c r="O1141" s="300"/>
      <c r="P1141" s="300"/>
      <c r="Q1141" s="300"/>
      <c r="R1141" s="300"/>
      <c r="S1141" s="300"/>
      <c r="T1141" s="300"/>
      <c r="U1141" s="300"/>
      <c r="V1141" s="300"/>
      <c r="W1141" s="300"/>
      <c r="X1141" s="300"/>
      <c r="Y1141" s="300"/>
      <c r="Z1141" s="300"/>
    </row>
    <row r="1142" spans="1:26">
      <c r="A1142" s="215" t="s">
        <v>4185</v>
      </c>
      <c r="B1142" s="207">
        <v>2570</v>
      </c>
      <c r="C1142" s="215" t="s">
        <v>6172</v>
      </c>
      <c r="D1142" s="215" t="s">
        <v>9076</v>
      </c>
      <c r="E1142" s="215" t="s">
        <v>9076</v>
      </c>
      <c r="F1142" s="215" t="s">
        <v>8946</v>
      </c>
      <c r="G1142" s="215" t="s">
        <v>8947</v>
      </c>
      <c r="H1142" s="215" t="s">
        <v>6521</v>
      </c>
      <c r="I1142" s="300"/>
      <c r="J1142" s="300"/>
      <c r="K1142" s="300"/>
      <c r="L1142" s="300"/>
      <c r="M1142" s="300"/>
      <c r="N1142" s="300"/>
      <c r="O1142" s="300"/>
      <c r="P1142" s="300"/>
      <c r="Q1142" s="300"/>
      <c r="R1142" s="300"/>
      <c r="S1142" s="300"/>
      <c r="T1142" s="300"/>
      <c r="U1142" s="300"/>
      <c r="V1142" s="300"/>
      <c r="W1142" s="300"/>
      <c r="X1142" s="300"/>
      <c r="Y1142" s="300"/>
      <c r="Z1142" s="300"/>
    </row>
    <row r="1143" spans="1:26">
      <c r="A1143" s="215" t="s">
        <v>4201</v>
      </c>
      <c r="B1143" s="207">
        <v>2571</v>
      </c>
      <c r="C1143" s="215" t="s">
        <v>6185</v>
      </c>
      <c r="D1143" s="215" t="s">
        <v>9077</v>
      </c>
      <c r="E1143" s="215" t="s">
        <v>9077</v>
      </c>
      <c r="F1143" s="215" t="s">
        <v>8946</v>
      </c>
      <c r="G1143" s="215" t="s">
        <v>8947</v>
      </c>
      <c r="H1143" s="215" t="s">
        <v>6521</v>
      </c>
      <c r="I1143" s="300"/>
      <c r="J1143" s="300"/>
      <c r="K1143" s="300"/>
      <c r="L1143" s="300"/>
      <c r="M1143" s="300"/>
      <c r="N1143" s="300"/>
      <c r="O1143" s="300"/>
      <c r="P1143" s="300"/>
      <c r="Q1143" s="300"/>
      <c r="R1143" s="300"/>
      <c r="S1143" s="300"/>
      <c r="T1143" s="300"/>
      <c r="U1143" s="300"/>
      <c r="V1143" s="300"/>
      <c r="W1143" s="300"/>
      <c r="X1143" s="300"/>
      <c r="Y1143" s="300"/>
      <c r="Z1143" s="300"/>
    </row>
    <row r="1144" spans="1:26">
      <c r="A1144" s="215" t="s">
        <v>4323</v>
      </c>
      <c r="B1144" s="207">
        <v>2572</v>
      </c>
      <c r="C1144" s="215" t="s">
        <v>6279</v>
      </c>
      <c r="D1144" s="215" t="s">
        <v>9078</v>
      </c>
      <c r="E1144" s="215" t="s">
        <v>9078</v>
      </c>
      <c r="F1144" s="215" t="s">
        <v>8946</v>
      </c>
      <c r="G1144" s="215" t="s">
        <v>8947</v>
      </c>
      <c r="H1144" s="215" t="s">
        <v>6504</v>
      </c>
      <c r="I1144" s="300"/>
      <c r="J1144" s="300"/>
      <c r="K1144" s="300"/>
      <c r="L1144" s="300"/>
      <c r="M1144" s="300"/>
      <c r="N1144" s="300"/>
      <c r="O1144" s="300"/>
      <c r="P1144" s="300"/>
      <c r="Q1144" s="300"/>
      <c r="R1144" s="300"/>
      <c r="S1144" s="300"/>
      <c r="T1144" s="300"/>
      <c r="U1144" s="300"/>
      <c r="V1144" s="300"/>
      <c r="W1144" s="300"/>
      <c r="X1144" s="300"/>
      <c r="Y1144" s="300"/>
      <c r="Z1144" s="300"/>
    </row>
    <row r="1145" spans="1:26">
      <c r="A1145" s="215" t="s">
        <v>4264</v>
      </c>
      <c r="B1145" s="207">
        <v>2573</v>
      </c>
      <c r="C1145" s="215" t="s">
        <v>6233</v>
      </c>
      <c r="D1145" s="215" t="s">
        <v>9079</v>
      </c>
      <c r="E1145" s="215" t="s">
        <v>9079</v>
      </c>
      <c r="F1145" s="215" t="s">
        <v>8946</v>
      </c>
      <c r="G1145" s="215" t="s">
        <v>8947</v>
      </c>
      <c r="H1145" s="215" t="s">
        <v>6521</v>
      </c>
      <c r="I1145" s="300"/>
      <c r="J1145" s="300"/>
      <c r="K1145" s="300"/>
      <c r="L1145" s="300"/>
      <c r="M1145" s="300"/>
      <c r="N1145" s="300"/>
      <c r="O1145" s="300"/>
      <c r="P1145" s="300"/>
      <c r="Q1145" s="300"/>
      <c r="R1145" s="300"/>
      <c r="S1145" s="300"/>
      <c r="T1145" s="300"/>
      <c r="U1145" s="300"/>
      <c r="V1145" s="300"/>
      <c r="W1145" s="300"/>
      <c r="X1145" s="300"/>
      <c r="Y1145" s="300"/>
      <c r="Z1145" s="300"/>
    </row>
    <row r="1146" spans="1:26">
      <c r="A1146" s="215" t="s">
        <v>4358</v>
      </c>
      <c r="B1146" s="207">
        <v>2574</v>
      </c>
      <c r="C1146" s="215" t="s">
        <v>6307</v>
      </c>
      <c r="D1146" s="215" t="s">
        <v>9080</v>
      </c>
      <c r="E1146" s="215" t="s">
        <v>9081</v>
      </c>
      <c r="F1146" s="215" t="s">
        <v>8946</v>
      </c>
      <c r="G1146" s="215" t="s">
        <v>8947</v>
      </c>
      <c r="H1146" s="215" t="s">
        <v>6521</v>
      </c>
      <c r="I1146" s="300"/>
      <c r="J1146" s="300"/>
      <c r="K1146" s="300"/>
      <c r="L1146" s="300"/>
      <c r="M1146" s="300"/>
      <c r="N1146" s="300"/>
      <c r="O1146" s="300"/>
      <c r="P1146" s="300"/>
      <c r="Q1146" s="300"/>
      <c r="R1146" s="300"/>
      <c r="S1146" s="300"/>
      <c r="T1146" s="300"/>
      <c r="U1146" s="300"/>
      <c r="V1146" s="300"/>
      <c r="W1146" s="300"/>
      <c r="X1146" s="300"/>
      <c r="Y1146" s="300"/>
      <c r="Z1146" s="300"/>
    </row>
    <row r="1147" spans="1:26">
      <c r="A1147" s="215" t="s">
        <v>4362</v>
      </c>
      <c r="B1147" s="207">
        <v>2575</v>
      </c>
      <c r="C1147" s="215" t="s">
        <v>6311</v>
      </c>
      <c r="D1147" s="215" t="s">
        <v>9082</v>
      </c>
      <c r="E1147" s="215" t="s">
        <v>9082</v>
      </c>
      <c r="F1147" s="215" t="s">
        <v>8946</v>
      </c>
      <c r="G1147" s="215" t="s">
        <v>8947</v>
      </c>
      <c r="H1147" s="215" t="s">
        <v>6497</v>
      </c>
      <c r="I1147" s="300"/>
      <c r="J1147" s="300"/>
      <c r="K1147" s="300"/>
      <c r="L1147" s="300"/>
      <c r="M1147" s="300"/>
      <c r="N1147" s="300"/>
      <c r="O1147" s="300"/>
      <c r="P1147" s="300"/>
      <c r="Q1147" s="300"/>
      <c r="R1147" s="300"/>
      <c r="S1147" s="300"/>
      <c r="T1147" s="300"/>
      <c r="U1147" s="300"/>
      <c r="V1147" s="300"/>
      <c r="W1147" s="300"/>
      <c r="X1147" s="300"/>
      <c r="Y1147" s="300"/>
      <c r="Z1147" s="300"/>
    </row>
    <row r="1148" spans="1:26">
      <c r="A1148" s="215" t="s">
        <v>4439</v>
      </c>
      <c r="B1148" s="207">
        <v>2576</v>
      </c>
      <c r="C1148" s="215" t="s">
        <v>6370</v>
      </c>
      <c r="D1148" s="215" t="s">
        <v>9083</v>
      </c>
      <c r="E1148" s="215" t="s">
        <v>9083</v>
      </c>
      <c r="F1148" s="215" t="s">
        <v>8946</v>
      </c>
      <c r="G1148" s="215" t="s">
        <v>8947</v>
      </c>
      <c r="H1148" s="215" t="s">
        <v>6500</v>
      </c>
      <c r="I1148" s="300"/>
      <c r="J1148" s="300"/>
      <c r="K1148" s="300"/>
      <c r="L1148" s="300"/>
      <c r="M1148" s="300"/>
      <c r="N1148" s="300"/>
      <c r="O1148" s="300"/>
      <c r="P1148" s="300"/>
      <c r="Q1148" s="300"/>
      <c r="R1148" s="300"/>
      <c r="S1148" s="300"/>
      <c r="T1148" s="300"/>
      <c r="U1148" s="300"/>
      <c r="V1148" s="300"/>
      <c r="W1148" s="300"/>
      <c r="X1148" s="300"/>
      <c r="Y1148" s="300"/>
      <c r="Z1148" s="300"/>
    </row>
    <row r="1149" spans="1:26">
      <c r="A1149" s="215" t="s">
        <v>4417</v>
      </c>
      <c r="B1149" s="207">
        <v>2577</v>
      </c>
      <c r="C1149" s="215" t="s">
        <v>4964</v>
      </c>
      <c r="D1149" s="215" t="s">
        <v>7068</v>
      </c>
      <c r="E1149" s="215" t="s">
        <v>7068</v>
      </c>
      <c r="F1149" s="215" t="s">
        <v>8946</v>
      </c>
      <c r="G1149" s="215" t="s">
        <v>8947</v>
      </c>
      <c r="H1149" s="215" t="s">
        <v>6500</v>
      </c>
      <c r="I1149" s="300"/>
      <c r="J1149" s="300"/>
      <c r="K1149" s="300"/>
      <c r="L1149" s="300"/>
      <c r="M1149" s="300"/>
      <c r="N1149" s="300"/>
      <c r="O1149" s="300"/>
      <c r="P1149" s="300"/>
      <c r="Q1149" s="300"/>
      <c r="R1149" s="300"/>
      <c r="S1149" s="300"/>
      <c r="T1149" s="300"/>
      <c r="U1149" s="300"/>
      <c r="V1149" s="300"/>
      <c r="W1149" s="300"/>
      <c r="X1149" s="300"/>
      <c r="Y1149" s="300"/>
      <c r="Z1149" s="300"/>
    </row>
    <row r="1150" spans="1:26">
      <c r="A1150" s="215" t="s">
        <v>4441</v>
      </c>
      <c r="B1150" s="207">
        <v>2578</v>
      </c>
      <c r="C1150" s="215" t="s">
        <v>6373</v>
      </c>
      <c r="D1150" s="215" t="s">
        <v>9084</v>
      </c>
      <c r="E1150" s="215" t="s">
        <v>9084</v>
      </c>
      <c r="F1150" s="215" t="s">
        <v>8946</v>
      </c>
      <c r="G1150" s="215" t="s">
        <v>8947</v>
      </c>
      <c r="H1150" s="215" t="s">
        <v>6497</v>
      </c>
      <c r="I1150" s="300"/>
      <c r="J1150" s="300"/>
      <c r="K1150" s="300"/>
      <c r="L1150" s="300"/>
      <c r="M1150" s="300"/>
      <c r="N1150" s="300"/>
      <c r="O1150" s="300"/>
      <c r="P1150" s="300"/>
      <c r="Q1150" s="300"/>
      <c r="R1150" s="300"/>
      <c r="S1150" s="300"/>
      <c r="T1150" s="300"/>
      <c r="U1150" s="300"/>
      <c r="V1150" s="300"/>
      <c r="W1150" s="300"/>
      <c r="X1150" s="300"/>
      <c r="Y1150" s="300"/>
      <c r="Z1150" s="300"/>
    </row>
    <row r="1151" spans="1:26">
      <c r="A1151" s="215" t="s">
        <v>4441</v>
      </c>
      <c r="B1151" s="207">
        <v>2579</v>
      </c>
      <c r="C1151" s="215" t="s">
        <v>6438</v>
      </c>
      <c r="D1151" s="215" t="s">
        <v>9085</v>
      </c>
      <c r="E1151" s="215" t="s">
        <v>9085</v>
      </c>
      <c r="F1151" s="215" t="s">
        <v>8946</v>
      </c>
      <c r="G1151" s="215" t="s">
        <v>8947</v>
      </c>
      <c r="H1151" s="215" t="s">
        <v>6504</v>
      </c>
      <c r="I1151" s="300"/>
      <c r="J1151" s="300"/>
      <c r="K1151" s="300"/>
      <c r="L1151" s="300"/>
      <c r="M1151" s="300"/>
      <c r="N1151" s="300"/>
      <c r="O1151" s="300"/>
      <c r="P1151" s="300"/>
      <c r="Q1151" s="300"/>
      <c r="R1151" s="300"/>
      <c r="S1151" s="300"/>
      <c r="T1151" s="300"/>
      <c r="U1151" s="300"/>
      <c r="V1151" s="300"/>
      <c r="W1151" s="300"/>
      <c r="X1151" s="300"/>
      <c r="Y1151" s="300"/>
      <c r="Z1151" s="300"/>
    </row>
    <row r="1152" spans="1:26">
      <c r="A1152" s="215" t="s">
        <v>3218</v>
      </c>
      <c r="B1152" s="207">
        <v>2581</v>
      </c>
      <c r="C1152" s="215" t="s">
        <v>5346</v>
      </c>
      <c r="D1152" s="215" t="s">
        <v>9086</v>
      </c>
      <c r="E1152" s="215" t="s">
        <v>9086</v>
      </c>
      <c r="F1152" s="215" t="s">
        <v>8946</v>
      </c>
      <c r="G1152" s="215" t="s">
        <v>8947</v>
      </c>
      <c r="H1152" s="215" t="s">
        <v>6504</v>
      </c>
      <c r="I1152" s="300"/>
      <c r="J1152" s="300"/>
      <c r="K1152" s="300"/>
      <c r="L1152" s="300"/>
      <c r="M1152" s="300"/>
      <c r="N1152" s="300"/>
      <c r="O1152" s="300"/>
      <c r="P1152" s="300"/>
      <c r="Q1152" s="300"/>
      <c r="R1152" s="300"/>
      <c r="S1152" s="300"/>
      <c r="T1152" s="300"/>
      <c r="U1152" s="300"/>
      <c r="V1152" s="300"/>
      <c r="W1152" s="300"/>
      <c r="X1152" s="300"/>
      <c r="Y1152" s="300"/>
      <c r="Z1152" s="300"/>
    </row>
    <row r="1153" spans="1:26">
      <c r="A1153" s="215" t="s">
        <v>4210</v>
      </c>
      <c r="B1153" s="207">
        <v>2582</v>
      </c>
      <c r="C1153" s="215" t="s">
        <v>6192</v>
      </c>
      <c r="D1153" s="215" t="s">
        <v>9087</v>
      </c>
      <c r="E1153" s="215" t="s">
        <v>9087</v>
      </c>
      <c r="F1153" s="215" t="s">
        <v>8946</v>
      </c>
      <c r="G1153" s="215" t="s">
        <v>8947</v>
      </c>
      <c r="H1153" s="215" t="s">
        <v>6521</v>
      </c>
      <c r="I1153" s="300"/>
      <c r="J1153" s="300"/>
      <c r="K1153" s="300"/>
      <c r="L1153" s="300"/>
      <c r="M1153" s="300"/>
      <c r="N1153" s="300"/>
      <c r="O1153" s="300"/>
      <c r="P1153" s="300"/>
      <c r="Q1153" s="300"/>
      <c r="R1153" s="300"/>
      <c r="S1153" s="300"/>
      <c r="T1153" s="300"/>
      <c r="U1153" s="300"/>
      <c r="V1153" s="300"/>
      <c r="W1153" s="300"/>
      <c r="X1153" s="300"/>
      <c r="Y1153" s="300"/>
      <c r="Z1153" s="300"/>
    </row>
    <row r="1154" spans="1:26">
      <c r="A1154" s="215" t="s">
        <v>3328</v>
      </c>
      <c r="B1154" s="207">
        <v>2588</v>
      </c>
      <c r="C1154" s="215" t="s">
        <v>9088</v>
      </c>
      <c r="D1154" s="215" t="s">
        <v>9089</v>
      </c>
      <c r="E1154" s="215" t="s">
        <v>9090</v>
      </c>
      <c r="F1154" s="215" t="s">
        <v>8946</v>
      </c>
      <c r="G1154" s="215" t="s">
        <v>8947</v>
      </c>
      <c r="H1154" s="215" t="s">
        <v>6497</v>
      </c>
      <c r="I1154" s="300"/>
      <c r="J1154" s="300"/>
      <c r="K1154" s="300"/>
      <c r="L1154" s="300"/>
      <c r="M1154" s="300"/>
      <c r="N1154" s="300"/>
      <c r="O1154" s="300"/>
      <c r="P1154" s="300"/>
      <c r="Q1154" s="300"/>
      <c r="R1154" s="300"/>
      <c r="S1154" s="300"/>
      <c r="T1154" s="300"/>
      <c r="U1154" s="300"/>
      <c r="V1154" s="300"/>
      <c r="W1154" s="300"/>
      <c r="X1154" s="300"/>
      <c r="Y1154" s="300"/>
      <c r="Z1154" s="300"/>
    </row>
    <row r="1155" spans="1:26">
      <c r="A1155" s="215" t="s">
        <v>3908</v>
      </c>
      <c r="B1155" s="207">
        <v>2589</v>
      </c>
      <c r="C1155" s="215" t="s">
        <v>9091</v>
      </c>
      <c r="D1155" s="215" t="s">
        <v>9092</v>
      </c>
      <c r="E1155" s="215" t="s">
        <v>9093</v>
      </c>
      <c r="F1155" s="215" t="s">
        <v>8946</v>
      </c>
      <c r="G1155" s="215" t="s">
        <v>8947</v>
      </c>
      <c r="H1155" s="215" t="s">
        <v>6497</v>
      </c>
      <c r="I1155" s="300"/>
      <c r="J1155" s="300"/>
      <c r="K1155" s="300"/>
      <c r="L1155" s="300"/>
      <c r="M1155" s="300"/>
      <c r="N1155" s="300"/>
      <c r="O1155" s="300"/>
      <c r="P1155" s="300"/>
      <c r="Q1155" s="300"/>
      <c r="R1155" s="300"/>
      <c r="S1155" s="300"/>
      <c r="T1155" s="300"/>
      <c r="U1155" s="300"/>
      <c r="V1155" s="300"/>
      <c r="W1155" s="300"/>
      <c r="X1155" s="300"/>
      <c r="Y1155" s="300"/>
      <c r="Z1155" s="300"/>
    </row>
    <row r="1156" spans="1:26">
      <c r="A1156" s="215" t="s">
        <v>3167</v>
      </c>
      <c r="B1156" s="207">
        <v>2590</v>
      </c>
      <c r="C1156" s="215" t="s">
        <v>5302</v>
      </c>
      <c r="D1156" s="215" t="s">
        <v>9094</v>
      </c>
      <c r="E1156" s="215" t="s">
        <v>9094</v>
      </c>
      <c r="F1156" s="215" t="s">
        <v>8946</v>
      </c>
      <c r="G1156" s="215" t="s">
        <v>8947</v>
      </c>
      <c r="H1156" s="215" t="s">
        <v>6500</v>
      </c>
      <c r="I1156" s="300"/>
      <c r="J1156" s="300"/>
      <c r="K1156" s="300"/>
      <c r="L1156" s="300"/>
      <c r="M1156" s="300"/>
      <c r="N1156" s="300"/>
      <c r="O1156" s="300"/>
      <c r="P1156" s="300"/>
      <c r="Q1156" s="300"/>
      <c r="R1156" s="300"/>
      <c r="S1156" s="300"/>
      <c r="T1156" s="300"/>
      <c r="U1156" s="300"/>
      <c r="V1156" s="300"/>
      <c r="W1156" s="300"/>
      <c r="X1156" s="300"/>
      <c r="Y1156" s="300"/>
      <c r="Z1156" s="300"/>
    </row>
    <row r="1157" spans="1:26">
      <c r="A1157" s="215" t="s">
        <v>3242</v>
      </c>
      <c r="B1157" s="207">
        <v>2591</v>
      </c>
      <c r="C1157" s="215" t="s">
        <v>5373</v>
      </c>
      <c r="D1157" s="215" t="s">
        <v>9095</v>
      </c>
      <c r="E1157" s="215" t="s">
        <v>9095</v>
      </c>
      <c r="F1157" s="215" t="s">
        <v>8946</v>
      </c>
      <c r="G1157" s="215" t="s">
        <v>8947</v>
      </c>
      <c r="H1157" s="215" t="s">
        <v>6497</v>
      </c>
      <c r="I1157" s="300"/>
      <c r="J1157" s="300"/>
      <c r="K1157" s="300"/>
      <c r="L1157" s="300"/>
      <c r="M1157" s="300"/>
      <c r="N1157" s="300"/>
      <c r="O1157" s="300"/>
      <c r="P1157" s="300"/>
      <c r="Q1157" s="300"/>
      <c r="R1157" s="300"/>
      <c r="S1157" s="300"/>
      <c r="T1157" s="300"/>
      <c r="U1157" s="300"/>
      <c r="V1157" s="300"/>
      <c r="W1157" s="300"/>
      <c r="X1157" s="300"/>
      <c r="Y1157" s="300"/>
      <c r="Z1157" s="300"/>
    </row>
    <row r="1158" spans="1:26">
      <c r="A1158" s="215" t="s">
        <v>3255</v>
      </c>
      <c r="B1158" s="207">
        <v>2592</v>
      </c>
      <c r="C1158" s="215" t="s">
        <v>5382</v>
      </c>
      <c r="D1158" s="215" t="s">
        <v>9096</v>
      </c>
      <c r="E1158" s="215" t="s">
        <v>9096</v>
      </c>
      <c r="F1158" s="215" t="s">
        <v>8946</v>
      </c>
      <c r="G1158" s="215" t="s">
        <v>8947</v>
      </c>
      <c r="H1158" s="215" t="s">
        <v>6548</v>
      </c>
      <c r="I1158" s="300"/>
      <c r="J1158" s="300"/>
      <c r="K1158" s="300"/>
      <c r="L1158" s="300"/>
      <c r="M1158" s="300"/>
      <c r="N1158" s="300"/>
      <c r="O1158" s="300"/>
      <c r="P1158" s="300"/>
      <c r="Q1158" s="300"/>
      <c r="R1158" s="300"/>
      <c r="S1158" s="300"/>
      <c r="T1158" s="300"/>
      <c r="U1158" s="300"/>
      <c r="V1158" s="300"/>
      <c r="W1158" s="300"/>
      <c r="X1158" s="300"/>
      <c r="Y1158" s="300"/>
      <c r="Z1158" s="300"/>
    </row>
    <row r="1159" spans="1:26">
      <c r="A1159" s="215" t="s">
        <v>3248</v>
      </c>
      <c r="B1159" s="207">
        <v>2593</v>
      </c>
      <c r="C1159" s="215" t="s">
        <v>5375</v>
      </c>
      <c r="D1159" s="215" t="s">
        <v>9097</v>
      </c>
      <c r="E1159" s="215" t="s">
        <v>9097</v>
      </c>
      <c r="F1159" s="215" t="s">
        <v>8946</v>
      </c>
      <c r="G1159" s="215" t="s">
        <v>8947</v>
      </c>
      <c r="H1159" s="215" t="s">
        <v>6497</v>
      </c>
      <c r="I1159" s="300"/>
      <c r="J1159" s="300"/>
      <c r="K1159" s="300"/>
      <c r="L1159" s="300"/>
      <c r="M1159" s="300"/>
      <c r="N1159" s="300"/>
      <c r="O1159" s="300"/>
      <c r="P1159" s="300"/>
      <c r="Q1159" s="300"/>
      <c r="R1159" s="300"/>
      <c r="S1159" s="300"/>
      <c r="T1159" s="300"/>
      <c r="U1159" s="300"/>
      <c r="V1159" s="300"/>
      <c r="W1159" s="300"/>
      <c r="X1159" s="300"/>
      <c r="Y1159" s="300"/>
      <c r="Z1159" s="300"/>
    </row>
    <row r="1160" spans="1:26">
      <c r="A1160" s="215" t="s">
        <v>3263</v>
      </c>
      <c r="B1160" s="207">
        <v>2594</v>
      </c>
      <c r="C1160" s="215" t="s">
        <v>5388</v>
      </c>
      <c r="D1160" s="215" t="s">
        <v>3263</v>
      </c>
      <c r="E1160" s="215" t="s">
        <v>3263</v>
      </c>
      <c r="F1160" s="215" t="s">
        <v>8946</v>
      </c>
      <c r="G1160" s="215" t="s">
        <v>8947</v>
      </c>
      <c r="H1160" s="215" t="s">
        <v>6497</v>
      </c>
      <c r="I1160" s="300"/>
      <c r="J1160" s="300"/>
      <c r="K1160" s="300"/>
      <c r="L1160" s="300"/>
      <c r="M1160" s="300"/>
      <c r="N1160" s="300"/>
      <c r="O1160" s="300"/>
      <c r="P1160" s="300"/>
      <c r="Q1160" s="300"/>
      <c r="R1160" s="300"/>
      <c r="S1160" s="300"/>
      <c r="T1160" s="300"/>
      <c r="U1160" s="300"/>
      <c r="V1160" s="300"/>
      <c r="W1160" s="300"/>
      <c r="X1160" s="300"/>
      <c r="Y1160" s="300"/>
      <c r="Z1160" s="300"/>
    </row>
    <row r="1161" spans="1:26">
      <c r="A1161" s="215" t="s">
        <v>3502</v>
      </c>
      <c r="B1161" s="207">
        <v>2595</v>
      </c>
      <c r="C1161" s="215" t="s">
        <v>5609</v>
      </c>
      <c r="D1161" s="215" t="s">
        <v>9098</v>
      </c>
      <c r="E1161" s="215" t="s">
        <v>9098</v>
      </c>
      <c r="F1161" s="215" t="s">
        <v>8946</v>
      </c>
      <c r="G1161" s="215" t="s">
        <v>8947</v>
      </c>
      <c r="H1161" s="215" t="s">
        <v>6497</v>
      </c>
      <c r="I1161" s="300"/>
      <c r="J1161" s="300"/>
      <c r="K1161" s="300"/>
      <c r="L1161" s="300"/>
      <c r="M1161" s="300"/>
      <c r="N1161" s="300"/>
      <c r="O1161" s="300"/>
      <c r="P1161" s="300"/>
      <c r="Q1161" s="300"/>
      <c r="R1161" s="300"/>
      <c r="S1161" s="300"/>
      <c r="T1161" s="300"/>
      <c r="U1161" s="300"/>
      <c r="V1161" s="300"/>
      <c r="W1161" s="300"/>
      <c r="X1161" s="300"/>
      <c r="Y1161" s="300"/>
      <c r="Z1161" s="300"/>
    </row>
    <row r="1162" spans="1:26">
      <c r="A1162" s="215" t="s">
        <v>3499</v>
      </c>
      <c r="B1162" s="207">
        <v>2596</v>
      </c>
      <c r="C1162" s="215" t="s">
        <v>5605</v>
      </c>
      <c r="D1162" s="215" t="s">
        <v>9099</v>
      </c>
      <c r="E1162" s="215" t="s">
        <v>9099</v>
      </c>
      <c r="F1162" s="215" t="s">
        <v>8946</v>
      </c>
      <c r="G1162" s="215" t="s">
        <v>8947</v>
      </c>
      <c r="H1162" s="215" t="s">
        <v>6548</v>
      </c>
      <c r="I1162" s="300"/>
      <c r="J1162" s="300"/>
      <c r="K1162" s="300"/>
      <c r="L1162" s="300"/>
      <c r="M1162" s="300"/>
      <c r="N1162" s="300"/>
      <c r="O1162" s="300"/>
      <c r="P1162" s="300"/>
      <c r="Q1162" s="300"/>
      <c r="R1162" s="300"/>
      <c r="S1162" s="300"/>
      <c r="T1162" s="300"/>
      <c r="U1162" s="300"/>
      <c r="V1162" s="300"/>
      <c r="W1162" s="300"/>
      <c r="X1162" s="300"/>
      <c r="Y1162" s="300"/>
      <c r="Z1162" s="300"/>
    </row>
    <row r="1163" spans="1:26">
      <c r="A1163" s="215" t="s">
        <v>3499</v>
      </c>
      <c r="B1163" s="207">
        <v>2597</v>
      </c>
      <c r="C1163" s="215" t="s">
        <v>5606</v>
      </c>
      <c r="D1163" s="215" t="s">
        <v>9100</v>
      </c>
      <c r="E1163" s="215" t="s">
        <v>9100</v>
      </c>
      <c r="F1163" s="215" t="s">
        <v>8946</v>
      </c>
      <c r="G1163" s="215" t="s">
        <v>8947</v>
      </c>
      <c r="H1163" s="215" t="s">
        <v>6548</v>
      </c>
      <c r="I1163" s="300"/>
      <c r="J1163" s="300"/>
      <c r="K1163" s="300"/>
      <c r="L1163" s="300"/>
      <c r="M1163" s="300"/>
      <c r="N1163" s="300"/>
      <c r="O1163" s="300"/>
      <c r="P1163" s="300"/>
      <c r="Q1163" s="300"/>
      <c r="R1163" s="300"/>
      <c r="S1163" s="300"/>
      <c r="T1163" s="300"/>
      <c r="U1163" s="300"/>
      <c r="V1163" s="300"/>
      <c r="W1163" s="300"/>
      <c r="X1163" s="300"/>
      <c r="Y1163" s="300"/>
      <c r="Z1163" s="300"/>
    </row>
    <row r="1164" spans="1:26">
      <c r="A1164" s="215" t="s">
        <v>3518</v>
      </c>
      <c r="B1164" s="207">
        <v>2598</v>
      </c>
      <c r="C1164" s="215" t="s">
        <v>5628</v>
      </c>
      <c r="D1164" s="215" t="s">
        <v>9101</v>
      </c>
      <c r="E1164" s="215" t="s">
        <v>9102</v>
      </c>
      <c r="F1164" s="215" t="s">
        <v>8946</v>
      </c>
      <c r="G1164" s="215" t="s">
        <v>8947</v>
      </c>
      <c r="H1164" s="215" t="s">
        <v>6521</v>
      </c>
      <c r="I1164" s="300"/>
      <c r="J1164" s="300"/>
      <c r="K1164" s="300"/>
      <c r="L1164" s="300"/>
      <c r="M1164" s="300"/>
      <c r="N1164" s="300"/>
      <c r="O1164" s="300"/>
      <c r="P1164" s="300"/>
      <c r="Q1164" s="300"/>
      <c r="R1164" s="300"/>
      <c r="S1164" s="300"/>
      <c r="T1164" s="300"/>
      <c r="U1164" s="300"/>
      <c r="V1164" s="300"/>
      <c r="W1164" s="300"/>
      <c r="X1164" s="300"/>
      <c r="Y1164" s="300"/>
      <c r="Z1164" s="300"/>
    </row>
    <row r="1165" spans="1:26">
      <c r="A1165" s="215" t="s">
        <v>3560</v>
      </c>
      <c r="B1165" s="207">
        <v>2599</v>
      </c>
      <c r="C1165" s="215" t="s">
        <v>5667</v>
      </c>
      <c r="D1165" s="215" t="s">
        <v>9103</v>
      </c>
      <c r="E1165" s="215" t="s">
        <v>9103</v>
      </c>
      <c r="F1165" s="215" t="s">
        <v>8946</v>
      </c>
      <c r="G1165" s="215" t="s">
        <v>8947</v>
      </c>
      <c r="H1165" s="215" t="s">
        <v>6497</v>
      </c>
      <c r="I1165" s="300"/>
      <c r="J1165" s="300"/>
      <c r="K1165" s="300"/>
      <c r="L1165" s="300"/>
      <c r="M1165" s="300"/>
      <c r="N1165" s="300"/>
      <c r="O1165" s="300"/>
      <c r="P1165" s="300"/>
      <c r="Q1165" s="300"/>
      <c r="R1165" s="300"/>
      <c r="S1165" s="300"/>
      <c r="T1165" s="300"/>
      <c r="U1165" s="300"/>
      <c r="V1165" s="300"/>
      <c r="W1165" s="300"/>
      <c r="X1165" s="300"/>
      <c r="Y1165" s="300"/>
      <c r="Z1165" s="300"/>
    </row>
    <row r="1166" spans="1:26">
      <c r="A1166" s="215" t="s">
        <v>4402</v>
      </c>
      <c r="B1166" s="207">
        <v>2600</v>
      </c>
      <c r="C1166" s="215" t="s">
        <v>6343</v>
      </c>
      <c r="D1166" s="215" t="s">
        <v>9104</v>
      </c>
      <c r="E1166" s="215" t="s">
        <v>9104</v>
      </c>
      <c r="F1166" s="215" t="s">
        <v>8946</v>
      </c>
      <c r="G1166" s="215" t="s">
        <v>8947</v>
      </c>
      <c r="H1166" s="215" t="s">
        <v>6548</v>
      </c>
      <c r="I1166" s="300"/>
      <c r="J1166" s="300"/>
      <c r="K1166" s="300"/>
      <c r="L1166" s="300"/>
      <c r="M1166" s="300"/>
      <c r="N1166" s="300"/>
      <c r="O1166" s="300"/>
      <c r="P1166" s="300"/>
      <c r="Q1166" s="300"/>
      <c r="R1166" s="300"/>
      <c r="S1166" s="300"/>
      <c r="T1166" s="300"/>
      <c r="U1166" s="300"/>
      <c r="V1166" s="300"/>
      <c r="W1166" s="300"/>
      <c r="X1166" s="300"/>
      <c r="Y1166" s="300"/>
      <c r="Z1166" s="300"/>
    </row>
    <row r="1167" spans="1:26">
      <c r="A1167" s="215" t="s">
        <v>3725</v>
      </c>
      <c r="B1167" s="207">
        <v>2601</v>
      </c>
      <c r="C1167" s="215" t="s">
        <v>9105</v>
      </c>
      <c r="D1167" s="215" t="s">
        <v>9106</v>
      </c>
      <c r="E1167" s="215" t="s">
        <v>9106</v>
      </c>
      <c r="F1167" s="215" t="s">
        <v>8946</v>
      </c>
      <c r="G1167" s="215" t="s">
        <v>8947</v>
      </c>
      <c r="H1167" s="215" t="s">
        <v>6548</v>
      </c>
      <c r="I1167" s="300"/>
      <c r="J1167" s="300"/>
      <c r="K1167" s="300"/>
      <c r="L1167" s="300"/>
      <c r="M1167" s="300"/>
      <c r="N1167" s="300"/>
      <c r="O1167" s="300"/>
      <c r="P1167" s="300"/>
      <c r="Q1167" s="300"/>
      <c r="R1167" s="300"/>
      <c r="S1167" s="300"/>
      <c r="T1167" s="300"/>
      <c r="U1167" s="300"/>
      <c r="V1167" s="300"/>
      <c r="W1167" s="300"/>
      <c r="X1167" s="300"/>
      <c r="Y1167" s="300"/>
      <c r="Z1167" s="300"/>
    </row>
    <row r="1168" spans="1:26">
      <c r="A1168" s="215" t="s">
        <v>3760</v>
      </c>
      <c r="B1168" s="207">
        <v>2602</v>
      </c>
      <c r="C1168" s="215" t="s">
        <v>9107</v>
      </c>
      <c r="D1168" s="215" t="s">
        <v>9108</v>
      </c>
      <c r="E1168" s="215" t="s">
        <v>9109</v>
      </c>
      <c r="F1168" s="215" t="s">
        <v>8946</v>
      </c>
      <c r="G1168" s="215" t="s">
        <v>8947</v>
      </c>
      <c r="H1168" s="215" t="s">
        <v>6500</v>
      </c>
      <c r="I1168" s="300"/>
      <c r="J1168" s="300"/>
      <c r="K1168" s="300"/>
      <c r="L1168" s="300"/>
      <c r="M1168" s="300"/>
      <c r="N1168" s="300"/>
      <c r="O1168" s="300"/>
      <c r="P1168" s="300"/>
      <c r="Q1168" s="300"/>
      <c r="R1168" s="300"/>
      <c r="S1168" s="300"/>
      <c r="T1168" s="300"/>
      <c r="U1168" s="300"/>
      <c r="V1168" s="300"/>
      <c r="W1168" s="300"/>
      <c r="X1168" s="300"/>
      <c r="Y1168" s="300"/>
      <c r="Z1168" s="300"/>
    </row>
    <row r="1169" spans="1:26">
      <c r="A1169" s="215" t="s">
        <v>3760</v>
      </c>
      <c r="B1169" s="207">
        <v>2603</v>
      </c>
      <c r="C1169" s="215" t="s">
        <v>9110</v>
      </c>
      <c r="D1169" s="215" t="s">
        <v>9111</v>
      </c>
      <c r="E1169" s="215" t="s">
        <v>9112</v>
      </c>
      <c r="F1169" s="215" t="s">
        <v>8946</v>
      </c>
      <c r="G1169" s="215" t="s">
        <v>8947</v>
      </c>
      <c r="H1169" s="215" t="s">
        <v>6548</v>
      </c>
      <c r="I1169" s="300"/>
      <c r="J1169" s="300"/>
      <c r="K1169" s="300"/>
      <c r="L1169" s="300"/>
      <c r="M1169" s="300"/>
      <c r="N1169" s="300"/>
      <c r="O1169" s="300"/>
      <c r="P1169" s="300"/>
      <c r="Q1169" s="300"/>
      <c r="R1169" s="300"/>
      <c r="S1169" s="300"/>
      <c r="T1169" s="300"/>
      <c r="U1169" s="300"/>
      <c r="V1169" s="300"/>
      <c r="W1169" s="300"/>
      <c r="X1169" s="300"/>
      <c r="Y1169" s="300"/>
      <c r="Z1169" s="300"/>
    </row>
    <row r="1170" spans="1:26">
      <c r="A1170" s="215" t="s">
        <v>3816</v>
      </c>
      <c r="B1170" s="207">
        <v>2604</v>
      </c>
      <c r="C1170" s="215" t="s">
        <v>5893</v>
      </c>
      <c r="D1170" s="215" t="s">
        <v>9113</v>
      </c>
      <c r="E1170" s="215" t="s">
        <v>9113</v>
      </c>
      <c r="F1170" s="215" t="s">
        <v>8946</v>
      </c>
      <c r="G1170" s="215" t="s">
        <v>8947</v>
      </c>
      <c r="H1170" s="215" t="s">
        <v>6497</v>
      </c>
      <c r="I1170" s="300"/>
      <c r="J1170" s="300"/>
      <c r="K1170" s="300"/>
      <c r="L1170" s="300"/>
      <c r="M1170" s="300"/>
      <c r="N1170" s="300"/>
      <c r="O1170" s="300"/>
      <c r="P1170" s="300"/>
      <c r="Q1170" s="300"/>
      <c r="R1170" s="300"/>
      <c r="S1170" s="300"/>
      <c r="T1170" s="300"/>
      <c r="U1170" s="300"/>
      <c r="V1170" s="300"/>
      <c r="W1170" s="300"/>
      <c r="X1170" s="300"/>
      <c r="Y1170" s="300"/>
      <c r="Z1170" s="300"/>
    </row>
    <row r="1171" spans="1:26">
      <c r="A1171" s="215" t="s">
        <v>3833</v>
      </c>
      <c r="B1171" s="207">
        <v>2605</v>
      </c>
      <c r="C1171" s="215" t="s">
        <v>5911</v>
      </c>
      <c r="D1171" s="215" t="s">
        <v>9114</v>
      </c>
      <c r="E1171" s="215" t="s">
        <v>9114</v>
      </c>
      <c r="F1171" s="215" t="s">
        <v>8946</v>
      </c>
      <c r="G1171" s="215" t="s">
        <v>8947</v>
      </c>
      <c r="H1171" s="215" t="s">
        <v>6500</v>
      </c>
      <c r="I1171" s="300"/>
      <c r="J1171" s="300"/>
      <c r="K1171" s="300"/>
      <c r="L1171" s="300"/>
      <c r="M1171" s="300"/>
      <c r="N1171" s="300"/>
      <c r="O1171" s="300"/>
      <c r="P1171" s="300"/>
      <c r="Q1171" s="300"/>
      <c r="R1171" s="300"/>
      <c r="S1171" s="300"/>
      <c r="T1171" s="300"/>
      <c r="U1171" s="300"/>
      <c r="V1171" s="300"/>
      <c r="W1171" s="300"/>
      <c r="X1171" s="300"/>
      <c r="Y1171" s="300"/>
      <c r="Z1171" s="300"/>
    </row>
    <row r="1172" spans="1:26">
      <c r="A1172" s="215" t="s">
        <v>9115</v>
      </c>
      <c r="B1172" s="207">
        <v>2606</v>
      </c>
      <c r="C1172" s="215" t="s">
        <v>5383</v>
      </c>
      <c r="D1172" s="215" t="s">
        <v>9116</v>
      </c>
      <c r="E1172" s="215" t="s">
        <v>9116</v>
      </c>
      <c r="F1172" s="215" t="s">
        <v>8946</v>
      </c>
      <c r="G1172" s="215" t="s">
        <v>8947</v>
      </c>
      <c r="H1172" s="215" t="s">
        <v>6548</v>
      </c>
      <c r="I1172" s="300"/>
      <c r="J1172" s="300"/>
      <c r="K1172" s="300"/>
      <c r="L1172" s="300"/>
      <c r="M1172" s="300"/>
      <c r="N1172" s="300"/>
      <c r="O1172" s="300"/>
      <c r="P1172" s="300"/>
      <c r="Q1172" s="300"/>
      <c r="R1172" s="300"/>
      <c r="S1172" s="300"/>
      <c r="T1172" s="300"/>
      <c r="U1172" s="300"/>
      <c r="V1172" s="300"/>
      <c r="W1172" s="300"/>
      <c r="X1172" s="300"/>
      <c r="Y1172" s="300"/>
      <c r="Z1172" s="300"/>
    </row>
    <row r="1173" spans="1:26">
      <c r="A1173" s="215" t="s">
        <v>3933</v>
      </c>
      <c r="B1173" s="207">
        <v>2607</v>
      </c>
      <c r="C1173" s="215" t="s">
        <v>5977</v>
      </c>
      <c r="D1173" s="215" t="s">
        <v>9117</v>
      </c>
      <c r="E1173" s="215" t="s">
        <v>9118</v>
      </c>
      <c r="F1173" s="215" t="s">
        <v>8946</v>
      </c>
      <c r="G1173" s="215" t="s">
        <v>8947</v>
      </c>
      <c r="H1173" s="215" t="s">
        <v>6497</v>
      </c>
      <c r="I1173" s="300"/>
      <c r="J1173" s="300"/>
      <c r="K1173" s="300"/>
      <c r="L1173" s="300"/>
      <c r="M1173" s="300"/>
      <c r="N1173" s="300"/>
      <c r="O1173" s="300"/>
      <c r="P1173" s="300"/>
      <c r="Q1173" s="300"/>
      <c r="R1173" s="300"/>
      <c r="S1173" s="300"/>
      <c r="T1173" s="300"/>
      <c r="U1173" s="300"/>
      <c r="V1173" s="300"/>
      <c r="W1173" s="300"/>
      <c r="X1173" s="300"/>
      <c r="Y1173" s="300"/>
      <c r="Z1173" s="300"/>
    </row>
    <row r="1174" spans="1:26">
      <c r="A1174" s="215" t="s">
        <v>9119</v>
      </c>
      <c r="B1174" s="207">
        <v>2608</v>
      </c>
      <c r="C1174" s="215" t="s">
        <v>5631</v>
      </c>
      <c r="D1174" s="215" t="s">
        <v>9120</v>
      </c>
      <c r="E1174" s="215" t="s">
        <v>9120</v>
      </c>
      <c r="F1174" s="215" t="s">
        <v>8946</v>
      </c>
      <c r="G1174" s="215" t="s">
        <v>8947</v>
      </c>
      <c r="H1174" s="215" t="s">
        <v>6548</v>
      </c>
      <c r="I1174" s="300"/>
      <c r="J1174" s="300"/>
      <c r="K1174" s="300"/>
      <c r="L1174" s="300"/>
      <c r="M1174" s="300"/>
      <c r="N1174" s="300"/>
      <c r="O1174" s="300"/>
      <c r="P1174" s="300"/>
      <c r="Q1174" s="300"/>
      <c r="R1174" s="300"/>
      <c r="S1174" s="300"/>
      <c r="T1174" s="300"/>
      <c r="U1174" s="300"/>
      <c r="V1174" s="300"/>
      <c r="W1174" s="300"/>
      <c r="X1174" s="300"/>
      <c r="Y1174" s="300"/>
      <c r="Z1174" s="300"/>
    </row>
    <row r="1175" spans="1:26">
      <c r="A1175" s="215" t="s">
        <v>4070</v>
      </c>
      <c r="B1175" s="207">
        <v>2609</v>
      </c>
      <c r="C1175" s="215" t="s">
        <v>6091</v>
      </c>
      <c r="D1175" s="215" t="s">
        <v>9121</v>
      </c>
      <c r="E1175" s="215" t="s">
        <v>9122</v>
      </c>
      <c r="F1175" s="215" t="s">
        <v>8946</v>
      </c>
      <c r="G1175" s="215" t="s">
        <v>8947</v>
      </c>
      <c r="H1175" s="215" t="s">
        <v>6504</v>
      </c>
      <c r="I1175" s="300"/>
      <c r="J1175" s="300"/>
      <c r="K1175" s="300"/>
      <c r="L1175" s="300"/>
      <c r="M1175" s="300"/>
      <c r="N1175" s="300"/>
      <c r="O1175" s="300"/>
      <c r="P1175" s="300"/>
      <c r="Q1175" s="300"/>
      <c r="R1175" s="300"/>
      <c r="S1175" s="300"/>
      <c r="T1175" s="300"/>
      <c r="U1175" s="300"/>
      <c r="V1175" s="300"/>
      <c r="W1175" s="300"/>
      <c r="X1175" s="300"/>
      <c r="Y1175" s="300"/>
      <c r="Z1175" s="300"/>
    </row>
    <row r="1176" spans="1:26">
      <c r="A1176" s="215" t="s">
        <v>4130</v>
      </c>
      <c r="B1176" s="207">
        <v>2610</v>
      </c>
      <c r="C1176" s="215" t="s">
        <v>6125</v>
      </c>
      <c r="D1176" s="215" t="s">
        <v>9123</v>
      </c>
      <c r="E1176" s="215" t="s">
        <v>9123</v>
      </c>
      <c r="F1176" s="215" t="s">
        <v>8946</v>
      </c>
      <c r="G1176" s="215" t="s">
        <v>8947</v>
      </c>
      <c r="H1176" s="215" t="s">
        <v>6500</v>
      </c>
      <c r="I1176" s="300"/>
      <c r="J1176" s="300"/>
      <c r="K1176" s="300"/>
      <c r="L1176" s="300"/>
      <c r="M1176" s="300"/>
      <c r="N1176" s="300"/>
      <c r="O1176" s="300"/>
      <c r="P1176" s="300"/>
      <c r="Q1176" s="300"/>
      <c r="R1176" s="300"/>
      <c r="S1176" s="300"/>
      <c r="T1176" s="300"/>
      <c r="U1176" s="300"/>
      <c r="V1176" s="300"/>
      <c r="W1176" s="300"/>
      <c r="X1176" s="300"/>
      <c r="Y1176" s="300"/>
      <c r="Z1176" s="300"/>
    </row>
    <row r="1177" spans="1:26">
      <c r="A1177" s="215" t="s">
        <v>4166</v>
      </c>
      <c r="B1177" s="207">
        <v>2611</v>
      </c>
      <c r="C1177" s="215" t="s">
        <v>6155</v>
      </c>
      <c r="D1177" s="215" t="s">
        <v>9124</v>
      </c>
      <c r="E1177" s="215" t="s">
        <v>9124</v>
      </c>
      <c r="F1177" s="215" t="s">
        <v>8946</v>
      </c>
      <c r="G1177" s="215" t="s">
        <v>8947</v>
      </c>
      <c r="H1177" s="215" t="s">
        <v>6521</v>
      </c>
      <c r="I1177" s="300"/>
      <c r="J1177" s="300"/>
      <c r="K1177" s="300"/>
      <c r="L1177" s="300"/>
      <c r="M1177" s="300"/>
      <c r="N1177" s="300"/>
      <c r="O1177" s="300"/>
      <c r="P1177" s="300"/>
      <c r="Q1177" s="300"/>
      <c r="R1177" s="300"/>
      <c r="S1177" s="300"/>
      <c r="T1177" s="300"/>
      <c r="U1177" s="300"/>
      <c r="V1177" s="300"/>
      <c r="W1177" s="300"/>
      <c r="X1177" s="300"/>
      <c r="Y1177" s="300"/>
      <c r="Z1177" s="300"/>
    </row>
    <row r="1178" spans="1:26">
      <c r="A1178" s="215" t="s">
        <v>4337</v>
      </c>
      <c r="B1178" s="207">
        <v>2612</v>
      </c>
      <c r="C1178" s="215" t="s">
        <v>9125</v>
      </c>
      <c r="D1178" s="215" t="s">
        <v>9126</v>
      </c>
      <c r="E1178" s="215" t="s">
        <v>9127</v>
      </c>
      <c r="F1178" s="215" t="s">
        <v>8946</v>
      </c>
      <c r="G1178" s="215" t="s">
        <v>8947</v>
      </c>
      <c r="H1178" s="215" t="s">
        <v>6548</v>
      </c>
      <c r="I1178" s="300"/>
      <c r="J1178" s="300"/>
      <c r="K1178" s="300"/>
      <c r="L1178" s="300"/>
      <c r="M1178" s="300"/>
      <c r="N1178" s="300"/>
      <c r="O1178" s="300"/>
      <c r="P1178" s="300"/>
      <c r="Q1178" s="300"/>
      <c r="R1178" s="300"/>
      <c r="S1178" s="300"/>
      <c r="T1178" s="300"/>
      <c r="U1178" s="300"/>
      <c r="V1178" s="300"/>
      <c r="W1178" s="300"/>
      <c r="X1178" s="300"/>
      <c r="Y1178" s="300"/>
      <c r="Z1178" s="300"/>
    </row>
    <row r="1179" spans="1:26">
      <c r="A1179" s="215" t="s">
        <v>4337</v>
      </c>
      <c r="B1179" s="207">
        <v>2613</v>
      </c>
      <c r="C1179" s="215" t="s">
        <v>9128</v>
      </c>
      <c r="D1179" s="215" t="s">
        <v>9129</v>
      </c>
      <c r="E1179" s="215" t="s">
        <v>9130</v>
      </c>
      <c r="F1179" s="215" t="s">
        <v>8946</v>
      </c>
      <c r="G1179" s="215" t="s">
        <v>8947</v>
      </c>
      <c r="H1179" s="215" t="s">
        <v>6500</v>
      </c>
      <c r="I1179" s="300"/>
      <c r="J1179" s="300"/>
      <c r="K1179" s="300"/>
      <c r="L1179" s="300"/>
      <c r="M1179" s="300"/>
      <c r="N1179" s="300"/>
      <c r="O1179" s="300"/>
      <c r="P1179" s="300"/>
      <c r="Q1179" s="300"/>
      <c r="R1179" s="300"/>
      <c r="S1179" s="300"/>
      <c r="T1179" s="300"/>
      <c r="U1179" s="300"/>
      <c r="V1179" s="300"/>
      <c r="W1179" s="300"/>
      <c r="X1179" s="300"/>
      <c r="Y1179" s="300"/>
      <c r="Z1179" s="300"/>
    </row>
    <row r="1180" spans="1:26">
      <c r="A1180" s="215" t="s">
        <v>4355</v>
      </c>
      <c r="B1180" s="207">
        <v>2614</v>
      </c>
      <c r="C1180" s="215" t="s">
        <v>6304</v>
      </c>
      <c r="D1180" s="215" t="s">
        <v>9131</v>
      </c>
      <c r="E1180" s="215" t="s">
        <v>9131</v>
      </c>
      <c r="F1180" s="215" t="s">
        <v>8946</v>
      </c>
      <c r="G1180" s="215" t="s">
        <v>8947</v>
      </c>
      <c r="H1180" s="215" t="s">
        <v>6500</v>
      </c>
      <c r="I1180" s="300"/>
      <c r="J1180" s="300"/>
      <c r="K1180" s="300"/>
      <c r="L1180" s="300"/>
      <c r="M1180" s="300"/>
      <c r="N1180" s="300"/>
      <c r="O1180" s="300"/>
      <c r="P1180" s="300"/>
      <c r="Q1180" s="300"/>
      <c r="R1180" s="300"/>
      <c r="S1180" s="300"/>
      <c r="T1180" s="300"/>
      <c r="U1180" s="300"/>
      <c r="V1180" s="300"/>
      <c r="W1180" s="300"/>
      <c r="X1180" s="300"/>
      <c r="Y1180" s="300"/>
      <c r="Z1180" s="300"/>
    </row>
    <row r="1181" spans="1:26">
      <c r="A1181" s="215" t="s">
        <v>2875</v>
      </c>
      <c r="B1181" s="207">
        <v>2615</v>
      </c>
      <c r="C1181" s="215" t="s">
        <v>5041</v>
      </c>
      <c r="D1181" s="215" t="s">
        <v>9132</v>
      </c>
      <c r="E1181" s="215" t="s">
        <v>9132</v>
      </c>
      <c r="F1181" s="215" t="s">
        <v>8946</v>
      </c>
      <c r="G1181" s="215" t="s">
        <v>8947</v>
      </c>
      <c r="H1181" s="215" t="s">
        <v>6521</v>
      </c>
      <c r="I1181" s="300"/>
      <c r="J1181" s="300"/>
      <c r="K1181" s="300"/>
      <c r="L1181" s="300"/>
      <c r="M1181" s="300"/>
      <c r="N1181" s="300"/>
      <c r="O1181" s="300"/>
      <c r="P1181" s="300"/>
      <c r="Q1181" s="300"/>
      <c r="R1181" s="300"/>
      <c r="S1181" s="300"/>
      <c r="T1181" s="300"/>
      <c r="U1181" s="300"/>
      <c r="V1181" s="300"/>
      <c r="W1181" s="300"/>
      <c r="X1181" s="300"/>
      <c r="Y1181" s="300"/>
      <c r="Z1181" s="300"/>
    </row>
    <row r="1182" spans="1:26">
      <c r="A1182" s="215" t="s">
        <v>3056</v>
      </c>
      <c r="B1182" s="207">
        <v>2616</v>
      </c>
      <c r="C1182" s="215" t="s">
        <v>5191</v>
      </c>
      <c r="D1182" s="215" t="s">
        <v>9133</v>
      </c>
      <c r="E1182" s="215" t="s">
        <v>9134</v>
      </c>
      <c r="F1182" s="215" t="s">
        <v>8946</v>
      </c>
      <c r="G1182" s="215" t="s">
        <v>8947</v>
      </c>
      <c r="H1182" s="215" t="s">
        <v>6500</v>
      </c>
      <c r="I1182" s="300"/>
      <c r="J1182" s="300"/>
      <c r="K1182" s="300"/>
      <c r="L1182" s="300"/>
      <c r="M1182" s="300"/>
      <c r="N1182" s="300"/>
      <c r="O1182" s="300"/>
      <c r="P1182" s="300"/>
      <c r="Q1182" s="300"/>
      <c r="R1182" s="300"/>
      <c r="S1182" s="300"/>
      <c r="T1182" s="300"/>
      <c r="U1182" s="300"/>
      <c r="V1182" s="300"/>
      <c r="W1182" s="300"/>
      <c r="X1182" s="300"/>
      <c r="Y1182" s="300"/>
      <c r="Z1182" s="300"/>
    </row>
    <row r="1183" spans="1:26">
      <c r="A1183" s="215" t="s">
        <v>4219</v>
      </c>
      <c r="B1183" s="207">
        <v>2617</v>
      </c>
      <c r="C1183" s="215" t="s">
        <v>6198</v>
      </c>
      <c r="D1183" s="215" t="s">
        <v>9135</v>
      </c>
      <c r="E1183" s="215" t="s">
        <v>9135</v>
      </c>
      <c r="F1183" s="215" t="s">
        <v>8946</v>
      </c>
      <c r="G1183" s="215" t="s">
        <v>8947</v>
      </c>
      <c r="H1183" s="215" t="s">
        <v>6521</v>
      </c>
      <c r="I1183" s="300"/>
      <c r="J1183" s="300"/>
      <c r="K1183" s="300"/>
      <c r="L1183" s="300"/>
      <c r="M1183" s="300"/>
      <c r="N1183" s="300"/>
      <c r="O1183" s="300"/>
      <c r="P1183" s="300"/>
      <c r="Q1183" s="300"/>
      <c r="R1183" s="300"/>
      <c r="S1183" s="300"/>
      <c r="T1183" s="300"/>
      <c r="U1183" s="300"/>
      <c r="V1183" s="300"/>
      <c r="W1183" s="300"/>
      <c r="X1183" s="300"/>
      <c r="Y1183" s="300"/>
      <c r="Z1183" s="300"/>
    </row>
    <row r="1184" spans="1:26">
      <c r="A1184" s="215" t="s">
        <v>4219</v>
      </c>
      <c r="B1184" s="207">
        <v>2618</v>
      </c>
      <c r="C1184" s="215" t="s">
        <v>9136</v>
      </c>
      <c r="D1184" s="215" t="s">
        <v>9137</v>
      </c>
      <c r="E1184" s="215" t="s">
        <v>9138</v>
      </c>
      <c r="F1184" s="215" t="s">
        <v>8946</v>
      </c>
      <c r="G1184" s="215" t="s">
        <v>8947</v>
      </c>
      <c r="H1184" s="215" t="s">
        <v>6548</v>
      </c>
      <c r="I1184" s="300"/>
      <c r="J1184" s="300"/>
      <c r="K1184" s="300"/>
      <c r="L1184" s="300"/>
      <c r="M1184" s="300"/>
      <c r="N1184" s="300"/>
      <c r="O1184" s="300"/>
      <c r="P1184" s="300"/>
      <c r="Q1184" s="300"/>
      <c r="R1184" s="300"/>
      <c r="S1184" s="300"/>
      <c r="T1184" s="300"/>
      <c r="U1184" s="300"/>
      <c r="V1184" s="300"/>
      <c r="W1184" s="300"/>
      <c r="X1184" s="300"/>
      <c r="Y1184" s="300"/>
      <c r="Z1184" s="300"/>
    </row>
    <row r="1185" spans="1:26">
      <c r="A1185" s="215" t="s">
        <v>4025</v>
      </c>
      <c r="B1185" s="207">
        <v>2619</v>
      </c>
      <c r="C1185" s="215" t="s">
        <v>6051</v>
      </c>
      <c r="D1185" s="215" t="s">
        <v>9139</v>
      </c>
      <c r="E1185" s="215" t="s">
        <v>9139</v>
      </c>
      <c r="F1185" s="215" t="s">
        <v>8946</v>
      </c>
      <c r="G1185" s="215" t="s">
        <v>8947</v>
      </c>
      <c r="H1185" s="215" t="s">
        <v>6500</v>
      </c>
      <c r="I1185" s="300"/>
      <c r="J1185" s="300"/>
      <c r="K1185" s="300"/>
      <c r="L1185" s="300"/>
      <c r="M1185" s="300"/>
      <c r="N1185" s="300"/>
      <c r="O1185" s="300"/>
      <c r="P1185" s="300"/>
      <c r="Q1185" s="300"/>
      <c r="R1185" s="300"/>
      <c r="S1185" s="300"/>
      <c r="T1185" s="300"/>
      <c r="U1185" s="300"/>
      <c r="V1185" s="300"/>
      <c r="W1185" s="300"/>
      <c r="X1185" s="300"/>
      <c r="Y1185" s="300"/>
      <c r="Z1185" s="300"/>
    </row>
    <row r="1186" spans="1:26">
      <c r="A1186" s="215"/>
      <c r="B1186" s="207">
        <v>2620</v>
      </c>
      <c r="C1186" s="215" t="s">
        <v>9140</v>
      </c>
      <c r="D1186" s="215" t="s">
        <v>9141</v>
      </c>
      <c r="E1186" s="215" t="s">
        <v>9141</v>
      </c>
      <c r="F1186" s="215" t="s">
        <v>8946</v>
      </c>
      <c r="G1186" s="215" t="s">
        <v>8947</v>
      </c>
      <c r="H1186" s="215" t="s">
        <v>6500</v>
      </c>
      <c r="I1186" s="300"/>
      <c r="J1186" s="300"/>
      <c r="K1186" s="300"/>
      <c r="L1186" s="300"/>
      <c r="M1186" s="300"/>
      <c r="N1186" s="300"/>
      <c r="O1186" s="300"/>
      <c r="P1186" s="300"/>
      <c r="Q1186" s="300"/>
      <c r="R1186" s="300"/>
      <c r="S1186" s="300"/>
      <c r="T1186" s="300"/>
      <c r="U1186" s="300"/>
      <c r="V1186" s="300"/>
      <c r="W1186" s="300"/>
      <c r="X1186" s="300"/>
      <c r="Y1186" s="300"/>
      <c r="Z1186" s="300"/>
    </row>
    <row r="1187" spans="1:26">
      <c r="A1187" s="215" t="s">
        <v>2616</v>
      </c>
      <c r="B1187" s="207">
        <v>429</v>
      </c>
      <c r="C1187" s="215" t="s">
        <v>2409</v>
      </c>
      <c r="D1187" s="215" t="s">
        <v>9142</v>
      </c>
      <c r="E1187" s="215" t="s">
        <v>9142</v>
      </c>
      <c r="F1187" s="215" t="s">
        <v>9143</v>
      </c>
      <c r="G1187" s="215" t="s">
        <v>9144</v>
      </c>
      <c r="H1187" s="215" t="s">
        <v>6548</v>
      </c>
      <c r="I1187" s="300"/>
      <c r="J1187" s="300"/>
      <c r="K1187" s="300"/>
      <c r="L1187" s="300"/>
      <c r="M1187" s="300"/>
      <c r="N1187" s="300"/>
      <c r="O1187" s="300"/>
      <c r="P1187" s="300"/>
      <c r="Q1187" s="300"/>
      <c r="R1187" s="300"/>
      <c r="S1187" s="300"/>
      <c r="T1187" s="300"/>
      <c r="U1187" s="300"/>
      <c r="V1187" s="300"/>
      <c r="W1187" s="300"/>
      <c r="X1187" s="300"/>
      <c r="Y1187" s="300"/>
      <c r="Z1187" s="300"/>
    </row>
    <row r="1188" spans="1:26">
      <c r="A1188" s="215" t="s">
        <v>4010</v>
      </c>
      <c r="B1188" s="207">
        <v>443</v>
      </c>
      <c r="C1188" s="215" t="s">
        <v>6037</v>
      </c>
      <c r="D1188" s="215" t="s">
        <v>9145</v>
      </c>
      <c r="E1188" s="215" t="s">
        <v>9145</v>
      </c>
      <c r="F1188" s="215" t="s">
        <v>9143</v>
      </c>
      <c r="G1188" s="215" t="s">
        <v>9144</v>
      </c>
      <c r="H1188" s="215" t="s">
        <v>6548</v>
      </c>
      <c r="I1188" s="300"/>
      <c r="J1188" s="300"/>
      <c r="K1188" s="300"/>
      <c r="L1188" s="300"/>
      <c r="M1188" s="300"/>
      <c r="N1188" s="300"/>
      <c r="O1188" s="300"/>
      <c r="P1188" s="300"/>
      <c r="Q1188" s="300"/>
      <c r="R1188" s="300"/>
      <c r="S1188" s="300"/>
      <c r="T1188" s="300"/>
      <c r="U1188" s="300"/>
      <c r="V1188" s="300"/>
      <c r="W1188" s="300"/>
      <c r="X1188" s="300"/>
      <c r="Y1188" s="300"/>
      <c r="Z1188" s="300"/>
    </row>
    <row r="1189" spans="1:26">
      <c r="A1189" s="215"/>
      <c r="B1189" s="207">
        <v>447</v>
      </c>
      <c r="C1189" s="215" t="s">
        <v>9146</v>
      </c>
      <c r="D1189" s="215" t="s">
        <v>9147</v>
      </c>
      <c r="E1189" s="215" t="s">
        <v>9147</v>
      </c>
      <c r="F1189" s="215" t="s">
        <v>9143</v>
      </c>
      <c r="G1189" s="215" t="s">
        <v>9144</v>
      </c>
      <c r="H1189" s="215" t="s">
        <v>6548</v>
      </c>
      <c r="I1189" s="300"/>
      <c r="J1189" s="300"/>
      <c r="K1189" s="300"/>
      <c r="L1189" s="300"/>
      <c r="M1189" s="300"/>
      <c r="N1189" s="300"/>
      <c r="O1189" s="300"/>
      <c r="P1189" s="300"/>
      <c r="Q1189" s="300"/>
      <c r="R1189" s="300"/>
      <c r="S1189" s="300"/>
      <c r="T1189" s="300"/>
      <c r="U1189" s="300"/>
      <c r="V1189" s="300"/>
      <c r="W1189" s="300"/>
      <c r="X1189" s="300"/>
      <c r="Y1189" s="300"/>
      <c r="Z1189" s="300"/>
    </row>
    <row r="1190" spans="1:26">
      <c r="A1190" s="215" t="s">
        <v>4346</v>
      </c>
      <c r="B1190" s="207">
        <v>448</v>
      </c>
      <c r="C1190" s="215" t="s">
        <v>6298</v>
      </c>
      <c r="D1190" s="215" t="s">
        <v>9148</v>
      </c>
      <c r="E1190" s="215" t="s">
        <v>9148</v>
      </c>
      <c r="F1190" s="215" t="s">
        <v>9143</v>
      </c>
      <c r="G1190" s="215" t="s">
        <v>9144</v>
      </c>
      <c r="H1190" s="215" t="s">
        <v>6497</v>
      </c>
      <c r="I1190" s="300"/>
      <c r="J1190" s="300"/>
      <c r="K1190" s="300"/>
      <c r="L1190" s="300"/>
      <c r="M1190" s="300"/>
      <c r="N1190" s="300"/>
      <c r="O1190" s="300"/>
      <c r="P1190" s="300"/>
      <c r="Q1190" s="300"/>
      <c r="R1190" s="300"/>
      <c r="S1190" s="300"/>
      <c r="T1190" s="300"/>
      <c r="U1190" s="300"/>
      <c r="V1190" s="300"/>
      <c r="W1190" s="300"/>
      <c r="X1190" s="300"/>
      <c r="Y1190" s="300"/>
      <c r="Z1190" s="300"/>
    </row>
    <row r="1191" spans="1:26">
      <c r="A1191" s="215" t="s">
        <v>2636</v>
      </c>
      <c r="B1191" s="207">
        <v>511</v>
      </c>
      <c r="C1191" s="215" t="s">
        <v>4816</v>
      </c>
      <c r="D1191" s="215" t="s">
        <v>9149</v>
      </c>
      <c r="E1191" s="215" t="s">
        <v>9149</v>
      </c>
      <c r="F1191" s="215" t="s">
        <v>9143</v>
      </c>
      <c r="G1191" s="215" t="s">
        <v>9144</v>
      </c>
      <c r="H1191" s="215" t="s">
        <v>6497</v>
      </c>
      <c r="I1191" s="300"/>
      <c r="J1191" s="300"/>
      <c r="K1191" s="300"/>
      <c r="L1191" s="300"/>
      <c r="M1191" s="300"/>
      <c r="N1191" s="300"/>
      <c r="O1191" s="300"/>
      <c r="P1191" s="300"/>
      <c r="Q1191" s="300"/>
      <c r="R1191" s="300"/>
      <c r="S1191" s="300"/>
      <c r="T1191" s="300"/>
      <c r="U1191" s="300"/>
      <c r="V1191" s="300"/>
      <c r="W1191" s="300"/>
      <c r="X1191" s="300"/>
      <c r="Y1191" s="300"/>
      <c r="Z1191" s="300"/>
    </row>
    <row r="1192" spans="1:26">
      <c r="A1192" s="215"/>
      <c r="B1192" s="207">
        <v>513</v>
      </c>
      <c r="C1192" s="215" t="s">
        <v>9150</v>
      </c>
      <c r="D1192" s="215" t="s">
        <v>9151</v>
      </c>
      <c r="E1192" s="215" t="s">
        <v>9151</v>
      </c>
      <c r="F1192" s="215" t="s">
        <v>9143</v>
      </c>
      <c r="G1192" s="215" t="s">
        <v>9144</v>
      </c>
      <c r="H1192" s="215" t="s">
        <v>6548</v>
      </c>
      <c r="I1192" s="300"/>
      <c r="J1192" s="300"/>
      <c r="K1192" s="300"/>
      <c r="L1192" s="300"/>
      <c r="M1192" s="300"/>
      <c r="N1192" s="300"/>
      <c r="O1192" s="300"/>
      <c r="P1192" s="300"/>
      <c r="Q1192" s="300"/>
      <c r="R1192" s="300"/>
      <c r="S1192" s="300"/>
      <c r="T1192" s="300"/>
      <c r="U1192" s="300"/>
      <c r="V1192" s="300"/>
      <c r="W1192" s="300"/>
      <c r="X1192" s="300"/>
      <c r="Y1192" s="300"/>
      <c r="Z1192" s="300"/>
    </row>
    <row r="1193" spans="1:26">
      <c r="A1193" s="215"/>
      <c r="B1193" s="207">
        <v>519</v>
      </c>
      <c r="C1193" s="215" t="s">
        <v>9152</v>
      </c>
      <c r="D1193" s="215"/>
      <c r="E1193" s="215"/>
      <c r="F1193" s="215" t="s">
        <v>9143</v>
      </c>
      <c r="G1193" s="215" t="s">
        <v>9144</v>
      </c>
      <c r="H1193" s="215" t="s">
        <v>6548</v>
      </c>
      <c r="I1193" s="300"/>
      <c r="J1193" s="300"/>
      <c r="K1193" s="300"/>
      <c r="L1193" s="300"/>
      <c r="M1193" s="300"/>
      <c r="N1193" s="300"/>
      <c r="O1193" s="300"/>
      <c r="P1193" s="300"/>
      <c r="Q1193" s="300"/>
      <c r="R1193" s="300"/>
      <c r="S1193" s="300"/>
      <c r="T1193" s="300"/>
      <c r="U1193" s="300"/>
      <c r="V1193" s="300"/>
      <c r="W1193" s="300"/>
      <c r="X1193" s="300"/>
      <c r="Y1193" s="300"/>
      <c r="Z1193" s="300"/>
    </row>
    <row r="1194" spans="1:26">
      <c r="A1194" s="215" t="s">
        <v>3770</v>
      </c>
      <c r="B1194" s="207">
        <v>530</v>
      </c>
      <c r="C1194" s="215" t="s">
        <v>5851</v>
      </c>
      <c r="D1194" s="215" t="s">
        <v>9153</v>
      </c>
      <c r="E1194" s="215" t="s">
        <v>9154</v>
      </c>
      <c r="F1194" s="215" t="s">
        <v>9143</v>
      </c>
      <c r="G1194" s="215" t="s">
        <v>9144</v>
      </c>
      <c r="H1194" s="215" t="s">
        <v>6497</v>
      </c>
      <c r="I1194" s="300"/>
      <c r="J1194" s="300"/>
      <c r="K1194" s="300"/>
      <c r="L1194" s="300"/>
      <c r="M1194" s="300"/>
      <c r="N1194" s="300"/>
      <c r="O1194" s="300"/>
      <c r="P1194" s="300"/>
      <c r="Q1194" s="300"/>
      <c r="R1194" s="300"/>
      <c r="S1194" s="300"/>
      <c r="T1194" s="300"/>
      <c r="U1194" s="300"/>
      <c r="V1194" s="300"/>
      <c r="W1194" s="300"/>
      <c r="X1194" s="300"/>
      <c r="Y1194" s="300"/>
      <c r="Z1194" s="300"/>
    </row>
    <row r="1195" spans="1:26">
      <c r="A1195" s="215" t="s">
        <v>3552</v>
      </c>
      <c r="B1195" s="207">
        <v>535</v>
      </c>
      <c r="C1195" s="215" t="s">
        <v>5660</v>
      </c>
      <c r="D1195" s="215" t="s">
        <v>9155</v>
      </c>
      <c r="E1195" s="215" t="s">
        <v>9156</v>
      </c>
      <c r="F1195" s="215" t="s">
        <v>9143</v>
      </c>
      <c r="G1195" s="215" t="s">
        <v>9144</v>
      </c>
      <c r="H1195" s="215" t="s">
        <v>6497</v>
      </c>
      <c r="I1195" s="300"/>
      <c r="J1195" s="300"/>
      <c r="K1195" s="300"/>
      <c r="L1195" s="300"/>
      <c r="M1195" s="300"/>
      <c r="N1195" s="300"/>
      <c r="O1195" s="300"/>
      <c r="P1195" s="300"/>
      <c r="Q1195" s="300"/>
      <c r="R1195" s="300"/>
      <c r="S1195" s="300"/>
      <c r="T1195" s="300"/>
      <c r="U1195" s="300"/>
      <c r="V1195" s="300"/>
      <c r="W1195" s="300"/>
      <c r="X1195" s="300"/>
      <c r="Y1195" s="300"/>
      <c r="Z1195" s="300"/>
    </row>
    <row r="1196" spans="1:26">
      <c r="A1196" s="215"/>
      <c r="B1196" s="207">
        <v>537</v>
      </c>
      <c r="C1196" s="215" t="s">
        <v>4817</v>
      </c>
      <c r="D1196" s="215" t="s">
        <v>9157</v>
      </c>
      <c r="E1196" s="215" t="s">
        <v>9157</v>
      </c>
      <c r="F1196" s="215" t="s">
        <v>9143</v>
      </c>
      <c r="G1196" s="215" t="s">
        <v>9144</v>
      </c>
      <c r="H1196" s="215" t="s">
        <v>6497</v>
      </c>
      <c r="I1196" s="300"/>
      <c r="J1196" s="300"/>
      <c r="K1196" s="300"/>
      <c r="L1196" s="300"/>
      <c r="M1196" s="300"/>
      <c r="N1196" s="300"/>
      <c r="O1196" s="300"/>
      <c r="P1196" s="300"/>
      <c r="Q1196" s="300"/>
      <c r="R1196" s="300"/>
      <c r="S1196" s="300"/>
      <c r="T1196" s="300"/>
      <c r="U1196" s="300"/>
      <c r="V1196" s="300"/>
      <c r="W1196" s="300"/>
      <c r="X1196" s="300"/>
      <c r="Y1196" s="300"/>
      <c r="Z1196" s="300"/>
    </row>
    <row r="1197" spans="1:26">
      <c r="A1197" s="215" t="s">
        <v>3785</v>
      </c>
      <c r="B1197" s="207">
        <v>543</v>
      </c>
      <c r="C1197" s="215" t="s">
        <v>5860</v>
      </c>
      <c r="D1197" s="215" t="s">
        <v>9158</v>
      </c>
      <c r="E1197" s="215" t="s">
        <v>9158</v>
      </c>
      <c r="F1197" s="215" t="s">
        <v>9143</v>
      </c>
      <c r="G1197" s="215" t="s">
        <v>9144</v>
      </c>
      <c r="H1197" s="215" t="s">
        <v>6500</v>
      </c>
      <c r="I1197" s="300"/>
      <c r="J1197" s="300"/>
      <c r="K1197" s="300"/>
      <c r="L1197" s="300"/>
      <c r="M1197" s="300"/>
      <c r="N1197" s="300"/>
      <c r="O1197" s="300"/>
      <c r="P1197" s="300"/>
      <c r="Q1197" s="300"/>
      <c r="R1197" s="300"/>
      <c r="S1197" s="300"/>
      <c r="T1197" s="300"/>
      <c r="U1197" s="300"/>
      <c r="V1197" s="300"/>
      <c r="W1197" s="300"/>
      <c r="X1197" s="300"/>
      <c r="Y1197" s="300"/>
      <c r="Z1197" s="300"/>
    </row>
    <row r="1198" spans="1:26">
      <c r="A1198" s="215"/>
      <c r="B1198" s="207">
        <v>550</v>
      </c>
      <c r="C1198" s="215" t="s">
        <v>6004</v>
      </c>
      <c r="D1198" s="215" t="s">
        <v>9159</v>
      </c>
      <c r="E1198" s="215" t="s">
        <v>9159</v>
      </c>
      <c r="F1198" s="215" t="s">
        <v>9143</v>
      </c>
      <c r="G1198" s="215" t="s">
        <v>9144</v>
      </c>
      <c r="H1198" s="215" t="s">
        <v>6497</v>
      </c>
      <c r="I1198" s="300"/>
      <c r="J1198" s="300"/>
      <c r="K1198" s="300"/>
      <c r="L1198" s="300"/>
      <c r="M1198" s="300"/>
      <c r="N1198" s="300"/>
      <c r="O1198" s="300"/>
      <c r="P1198" s="300"/>
      <c r="Q1198" s="300"/>
      <c r="R1198" s="300"/>
      <c r="S1198" s="300"/>
      <c r="T1198" s="300"/>
      <c r="U1198" s="300"/>
      <c r="V1198" s="300"/>
      <c r="W1198" s="300"/>
      <c r="X1198" s="300"/>
      <c r="Y1198" s="300"/>
      <c r="Z1198" s="300"/>
    </row>
    <row r="1199" spans="1:26">
      <c r="A1199" s="215"/>
      <c r="B1199" s="207">
        <v>558</v>
      </c>
      <c r="C1199" s="215" t="s">
        <v>9160</v>
      </c>
      <c r="D1199" s="215" t="s">
        <v>9161</v>
      </c>
      <c r="E1199" s="215" t="s">
        <v>9161</v>
      </c>
      <c r="F1199" s="215" t="s">
        <v>9143</v>
      </c>
      <c r="G1199" s="215" t="s">
        <v>9144</v>
      </c>
      <c r="H1199" s="215" t="s">
        <v>6548</v>
      </c>
      <c r="I1199" s="300"/>
      <c r="J1199" s="300"/>
      <c r="K1199" s="300"/>
      <c r="L1199" s="300"/>
      <c r="M1199" s="300"/>
      <c r="N1199" s="300"/>
      <c r="O1199" s="300"/>
      <c r="P1199" s="300"/>
      <c r="Q1199" s="300"/>
      <c r="R1199" s="300"/>
      <c r="S1199" s="300"/>
      <c r="T1199" s="300"/>
      <c r="U1199" s="300"/>
      <c r="V1199" s="300"/>
      <c r="W1199" s="300"/>
      <c r="X1199" s="300"/>
      <c r="Y1199" s="300"/>
      <c r="Z1199" s="300"/>
    </row>
    <row r="1200" spans="1:26">
      <c r="A1200" s="215" t="s">
        <v>4308</v>
      </c>
      <c r="B1200" s="207">
        <v>562</v>
      </c>
      <c r="C1200" s="215" t="s">
        <v>6265</v>
      </c>
      <c r="D1200" s="215" t="s">
        <v>9162</v>
      </c>
      <c r="E1200" s="215" t="s">
        <v>9162</v>
      </c>
      <c r="F1200" s="215" t="s">
        <v>9143</v>
      </c>
      <c r="G1200" s="215" t="s">
        <v>9144</v>
      </c>
      <c r="H1200" s="215" t="s">
        <v>6497</v>
      </c>
      <c r="I1200" s="300"/>
      <c r="J1200" s="300"/>
      <c r="K1200" s="300"/>
      <c r="L1200" s="300"/>
      <c r="M1200" s="300"/>
      <c r="N1200" s="300"/>
      <c r="O1200" s="300"/>
      <c r="P1200" s="300"/>
      <c r="Q1200" s="300"/>
      <c r="R1200" s="300"/>
      <c r="S1200" s="300"/>
      <c r="T1200" s="300"/>
      <c r="U1200" s="300"/>
      <c r="V1200" s="300"/>
      <c r="W1200" s="300"/>
      <c r="X1200" s="300"/>
      <c r="Y1200" s="300"/>
      <c r="Z1200" s="300"/>
    </row>
    <row r="1201" spans="1:26">
      <c r="A1201" s="215" t="s">
        <v>2692</v>
      </c>
      <c r="B1201" s="207">
        <v>938</v>
      </c>
      <c r="C1201" s="215" t="s">
        <v>4860</v>
      </c>
      <c r="D1201" s="215" t="s">
        <v>9163</v>
      </c>
      <c r="E1201" s="215" t="s">
        <v>9163</v>
      </c>
      <c r="F1201" s="215" t="s">
        <v>9143</v>
      </c>
      <c r="G1201" s="215" t="s">
        <v>9144</v>
      </c>
      <c r="H1201" s="215" t="s">
        <v>6521</v>
      </c>
      <c r="I1201" s="300"/>
      <c r="J1201" s="300"/>
      <c r="K1201" s="300"/>
      <c r="L1201" s="300"/>
      <c r="M1201" s="300"/>
      <c r="N1201" s="300"/>
      <c r="O1201" s="300"/>
      <c r="P1201" s="300"/>
      <c r="Q1201" s="300"/>
      <c r="R1201" s="300"/>
      <c r="S1201" s="300"/>
      <c r="T1201" s="300"/>
      <c r="U1201" s="300"/>
      <c r="V1201" s="300"/>
      <c r="W1201" s="300"/>
      <c r="X1201" s="300"/>
      <c r="Y1201" s="300"/>
      <c r="Z1201" s="300"/>
    </row>
    <row r="1202" spans="1:26">
      <c r="A1202" s="215" t="s">
        <v>9164</v>
      </c>
      <c r="B1202" s="207">
        <v>977</v>
      </c>
      <c r="C1202" s="215" t="s">
        <v>5850</v>
      </c>
      <c r="D1202" s="215" t="s">
        <v>9165</v>
      </c>
      <c r="E1202" s="215" t="s">
        <v>9166</v>
      </c>
      <c r="F1202" s="215" t="s">
        <v>9143</v>
      </c>
      <c r="G1202" s="215" t="s">
        <v>9144</v>
      </c>
      <c r="H1202" s="215" t="s">
        <v>6521</v>
      </c>
      <c r="I1202" s="300"/>
      <c r="J1202" s="300"/>
      <c r="K1202" s="300"/>
      <c r="L1202" s="300"/>
      <c r="M1202" s="300"/>
      <c r="N1202" s="300"/>
      <c r="O1202" s="300"/>
      <c r="P1202" s="300"/>
      <c r="Q1202" s="300"/>
      <c r="R1202" s="300"/>
      <c r="S1202" s="300"/>
      <c r="T1202" s="300"/>
      <c r="U1202" s="300"/>
      <c r="V1202" s="300"/>
      <c r="W1202" s="300"/>
      <c r="X1202" s="300"/>
      <c r="Y1202" s="300"/>
      <c r="Z1202" s="300"/>
    </row>
    <row r="1203" spans="1:26">
      <c r="A1203" s="215"/>
      <c r="B1203" s="207">
        <v>978</v>
      </c>
      <c r="C1203" s="215" t="s">
        <v>5849</v>
      </c>
      <c r="D1203" s="215" t="s">
        <v>9167</v>
      </c>
      <c r="E1203" s="215" t="s">
        <v>9167</v>
      </c>
      <c r="F1203" s="215" t="s">
        <v>9143</v>
      </c>
      <c r="G1203" s="215" t="s">
        <v>9144</v>
      </c>
      <c r="H1203" s="215" t="s">
        <v>6521</v>
      </c>
      <c r="I1203" s="300"/>
      <c r="J1203" s="300"/>
      <c r="K1203" s="300"/>
      <c r="L1203" s="300"/>
      <c r="M1203" s="300"/>
      <c r="N1203" s="300"/>
      <c r="O1203" s="300"/>
      <c r="P1203" s="300"/>
      <c r="Q1203" s="300"/>
      <c r="R1203" s="300"/>
      <c r="S1203" s="300"/>
      <c r="T1203" s="300"/>
      <c r="U1203" s="300"/>
      <c r="V1203" s="300"/>
      <c r="W1203" s="300"/>
      <c r="X1203" s="300"/>
      <c r="Y1203" s="300"/>
      <c r="Z1203" s="300"/>
    </row>
    <row r="1204" spans="1:26">
      <c r="A1204" s="215"/>
      <c r="B1204" s="207">
        <v>979</v>
      </c>
      <c r="C1204" s="215" t="s">
        <v>6211</v>
      </c>
      <c r="D1204" s="215" t="s">
        <v>9168</v>
      </c>
      <c r="E1204" s="215" t="s">
        <v>9168</v>
      </c>
      <c r="F1204" s="215" t="s">
        <v>9143</v>
      </c>
      <c r="G1204" s="215" t="s">
        <v>9144</v>
      </c>
      <c r="H1204" s="215" t="s">
        <v>6521</v>
      </c>
      <c r="I1204" s="300"/>
      <c r="J1204" s="300"/>
      <c r="K1204" s="300"/>
      <c r="L1204" s="300"/>
      <c r="M1204" s="300"/>
      <c r="N1204" s="300"/>
      <c r="O1204" s="300"/>
      <c r="P1204" s="300"/>
      <c r="Q1204" s="300"/>
      <c r="R1204" s="300"/>
      <c r="S1204" s="300"/>
      <c r="T1204" s="300"/>
      <c r="U1204" s="300"/>
      <c r="V1204" s="300"/>
      <c r="W1204" s="300"/>
      <c r="X1204" s="300"/>
      <c r="Y1204" s="300"/>
      <c r="Z1204" s="300"/>
    </row>
    <row r="1205" spans="1:26">
      <c r="A1205" s="215"/>
      <c r="B1205" s="207">
        <v>985</v>
      </c>
      <c r="C1205" s="215" t="s">
        <v>4791</v>
      </c>
      <c r="D1205" s="215" t="s">
        <v>9169</v>
      </c>
      <c r="E1205" s="215" t="s">
        <v>9169</v>
      </c>
      <c r="F1205" s="215" t="s">
        <v>9143</v>
      </c>
      <c r="G1205" s="215" t="s">
        <v>9144</v>
      </c>
      <c r="H1205" s="215" t="s">
        <v>6521</v>
      </c>
      <c r="I1205" s="300"/>
      <c r="J1205" s="300"/>
      <c r="K1205" s="300"/>
      <c r="L1205" s="300"/>
      <c r="M1205" s="300"/>
      <c r="N1205" s="300"/>
      <c r="O1205" s="300"/>
      <c r="P1205" s="300"/>
      <c r="Q1205" s="300"/>
      <c r="R1205" s="300"/>
      <c r="S1205" s="300"/>
      <c r="T1205" s="300"/>
      <c r="U1205" s="300"/>
      <c r="V1205" s="300"/>
      <c r="W1205" s="300"/>
      <c r="X1205" s="300"/>
      <c r="Y1205" s="300"/>
      <c r="Z1205" s="300"/>
    </row>
    <row r="1206" spans="1:26">
      <c r="A1206" s="215" t="s">
        <v>2518</v>
      </c>
      <c r="B1206" s="207">
        <v>986</v>
      </c>
      <c r="C1206" s="215" t="s">
        <v>4790</v>
      </c>
      <c r="D1206" s="215" t="s">
        <v>9170</v>
      </c>
      <c r="E1206" s="215" t="s">
        <v>9170</v>
      </c>
      <c r="F1206" s="215" t="s">
        <v>9143</v>
      </c>
      <c r="G1206" s="215" t="s">
        <v>9144</v>
      </c>
      <c r="H1206" s="215" t="s">
        <v>6521</v>
      </c>
      <c r="I1206" s="300"/>
      <c r="J1206" s="300"/>
      <c r="K1206" s="300"/>
      <c r="L1206" s="300"/>
      <c r="M1206" s="300"/>
      <c r="N1206" s="300"/>
      <c r="O1206" s="300"/>
      <c r="P1206" s="300"/>
      <c r="Q1206" s="300"/>
      <c r="R1206" s="300"/>
      <c r="S1206" s="300"/>
      <c r="T1206" s="300"/>
      <c r="U1206" s="300"/>
      <c r="V1206" s="300"/>
      <c r="W1206" s="300"/>
      <c r="X1206" s="300"/>
      <c r="Y1206" s="300"/>
      <c r="Z1206" s="300"/>
    </row>
    <row r="1207" spans="1:26">
      <c r="A1207" s="215" t="s">
        <v>2518</v>
      </c>
      <c r="B1207" s="207">
        <v>987</v>
      </c>
      <c r="C1207" s="215" t="s">
        <v>4792</v>
      </c>
      <c r="D1207" s="215" t="s">
        <v>9171</v>
      </c>
      <c r="E1207" s="215" t="s">
        <v>9172</v>
      </c>
      <c r="F1207" s="215" t="s">
        <v>9143</v>
      </c>
      <c r="G1207" s="215" t="s">
        <v>9144</v>
      </c>
      <c r="H1207" s="215" t="s">
        <v>6500</v>
      </c>
      <c r="I1207" s="300"/>
      <c r="J1207" s="300"/>
      <c r="K1207" s="300"/>
      <c r="L1207" s="300"/>
      <c r="M1207" s="300"/>
      <c r="N1207" s="300"/>
      <c r="O1207" s="300"/>
      <c r="P1207" s="300"/>
      <c r="Q1207" s="300"/>
      <c r="R1207" s="300"/>
      <c r="S1207" s="300"/>
      <c r="T1207" s="300"/>
      <c r="U1207" s="300"/>
      <c r="V1207" s="300"/>
      <c r="W1207" s="300"/>
      <c r="X1207" s="300"/>
      <c r="Y1207" s="300"/>
      <c r="Z1207" s="300"/>
    </row>
    <row r="1208" spans="1:26">
      <c r="A1208" s="215" t="s">
        <v>2521</v>
      </c>
      <c r="B1208" s="207">
        <v>988</v>
      </c>
      <c r="C1208" s="215" t="s">
        <v>4794</v>
      </c>
      <c r="D1208" s="215" t="s">
        <v>9173</v>
      </c>
      <c r="E1208" s="215" t="s">
        <v>9174</v>
      </c>
      <c r="F1208" s="215" t="s">
        <v>9143</v>
      </c>
      <c r="G1208" s="215" t="s">
        <v>9144</v>
      </c>
      <c r="H1208" s="215" t="s">
        <v>6521</v>
      </c>
      <c r="I1208" s="300"/>
      <c r="J1208" s="300"/>
      <c r="K1208" s="300"/>
      <c r="L1208" s="300"/>
      <c r="M1208" s="300"/>
      <c r="N1208" s="300"/>
      <c r="O1208" s="300"/>
      <c r="P1208" s="300"/>
      <c r="Q1208" s="300"/>
      <c r="R1208" s="300"/>
      <c r="S1208" s="300"/>
      <c r="T1208" s="300"/>
      <c r="U1208" s="300"/>
      <c r="V1208" s="300"/>
      <c r="W1208" s="300"/>
      <c r="X1208" s="300"/>
      <c r="Y1208" s="300"/>
      <c r="Z1208" s="300"/>
    </row>
    <row r="1209" spans="1:26">
      <c r="A1209" s="215" t="s">
        <v>3677</v>
      </c>
      <c r="B1209" s="207">
        <v>1090</v>
      </c>
      <c r="C1209" s="215" t="s">
        <v>9175</v>
      </c>
      <c r="D1209" s="215" t="s">
        <v>9176</v>
      </c>
      <c r="E1209" s="215" t="s">
        <v>9177</v>
      </c>
      <c r="F1209" s="215" t="s">
        <v>9143</v>
      </c>
      <c r="G1209" s="215" t="s">
        <v>9144</v>
      </c>
      <c r="H1209" s="215" t="s">
        <v>6500</v>
      </c>
      <c r="I1209" s="300"/>
      <c r="J1209" s="300"/>
      <c r="K1209" s="300"/>
      <c r="L1209" s="300"/>
      <c r="M1209" s="300"/>
      <c r="N1209" s="300"/>
      <c r="O1209" s="300"/>
      <c r="P1209" s="300"/>
      <c r="Q1209" s="300"/>
      <c r="R1209" s="300"/>
      <c r="S1209" s="300"/>
      <c r="T1209" s="300"/>
      <c r="U1209" s="300"/>
      <c r="V1209" s="300"/>
      <c r="W1209" s="300"/>
      <c r="X1209" s="300"/>
      <c r="Y1209" s="300"/>
      <c r="Z1209" s="300"/>
    </row>
    <row r="1210" spans="1:26">
      <c r="A1210" s="215" t="s">
        <v>3677</v>
      </c>
      <c r="B1210" s="207">
        <v>1091</v>
      </c>
      <c r="C1210" s="215" t="s">
        <v>5765</v>
      </c>
      <c r="D1210" s="215" t="s">
        <v>9178</v>
      </c>
      <c r="E1210" s="215" t="s">
        <v>9178</v>
      </c>
      <c r="F1210" s="215" t="s">
        <v>9143</v>
      </c>
      <c r="G1210" s="215" t="s">
        <v>9144</v>
      </c>
      <c r="H1210" s="215" t="s">
        <v>6500</v>
      </c>
      <c r="I1210" s="300"/>
      <c r="J1210" s="300"/>
      <c r="K1210" s="300"/>
      <c r="L1210" s="300"/>
      <c r="M1210" s="300"/>
      <c r="N1210" s="300"/>
      <c r="O1210" s="300"/>
      <c r="P1210" s="300"/>
      <c r="Q1210" s="300"/>
      <c r="R1210" s="300"/>
      <c r="S1210" s="300"/>
      <c r="T1210" s="300"/>
      <c r="U1210" s="300"/>
      <c r="V1210" s="300"/>
      <c r="W1210" s="300"/>
      <c r="X1210" s="300"/>
      <c r="Y1210" s="300"/>
      <c r="Z1210" s="300"/>
    </row>
    <row r="1211" spans="1:26">
      <c r="A1211" s="215"/>
      <c r="B1211" s="207">
        <v>1094</v>
      </c>
      <c r="C1211" s="215" t="s">
        <v>5792</v>
      </c>
      <c r="D1211" s="215" t="s">
        <v>9179</v>
      </c>
      <c r="E1211" s="215" t="s">
        <v>9179</v>
      </c>
      <c r="F1211" s="215" t="s">
        <v>9143</v>
      </c>
      <c r="G1211" s="215" t="s">
        <v>9144</v>
      </c>
      <c r="H1211" s="215" t="s">
        <v>6500</v>
      </c>
      <c r="I1211" s="300"/>
      <c r="J1211" s="300"/>
      <c r="K1211" s="300"/>
      <c r="L1211" s="300"/>
      <c r="M1211" s="300"/>
      <c r="N1211" s="300"/>
      <c r="O1211" s="300"/>
      <c r="P1211" s="300"/>
      <c r="Q1211" s="300"/>
      <c r="R1211" s="300"/>
      <c r="S1211" s="300"/>
      <c r="T1211" s="300"/>
      <c r="U1211" s="300"/>
      <c r="V1211" s="300"/>
      <c r="W1211" s="300"/>
      <c r="X1211" s="300"/>
      <c r="Y1211" s="300"/>
      <c r="Z1211" s="300"/>
    </row>
    <row r="1212" spans="1:26">
      <c r="A1212" s="215" t="s">
        <v>4054</v>
      </c>
      <c r="B1212" s="207">
        <v>1096</v>
      </c>
      <c r="C1212" s="215" t="s">
        <v>6076</v>
      </c>
      <c r="D1212" s="215" t="s">
        <v>9180</v>
      </c>
      <c r="E1212" s="215" t="s">
        <v>9180</v>
      </c>
      <c r="F1212" s="215" t="s">
        <v>9143</v>
      </c>
      <c r="G1212" s="215" t="s">
        <v>9144</v>
      </c>
      <c r="H1212" s="215" t="s">
        <v>6521</v>
      </c>
      <c r="I1212" s="300"/>
      <c r="J1212" s="300"/>
      <c r="K1212" s="300"/>
      <c r="L1212" s="300"/>
      <c r="M1212" s="300"/>
      <c r="N1212" s="300"/>
      <c r="O1212" s="300"/>
      <c r="P1212" s="300"/>
      <c r="Q1212" s="300"/>
      <c r="R1212" s="300"/>
      <c r="S1212" s="300"/>
      <c r="T1212" s="300"/>
      <c r="U1212" s="300"/>
      <c r="V1212" s="300"/>
      <c r="W1212" s="300"/>
      <c r="X1212" s="300"/>
      <c r="Y1212" s="300"/>
      <c r="Z1212" s="300"/>
    </row>
    <row r="1213" spans="1:26">
      <c r="A1213" s="215" t="s">
        <v>2790</v>
      </c>
      <c r="B1213" s="207">
        <v>1098</v>
      </c>
      <c r="C1213" s="215" t="s">
        <v>4952</v>
      </c>
      <c r="D1213" s="215" t="s">
        <v>9181</v>
      </c>
      <c r="E1213" s="215" t="s">
        <v>9182</v>
      </c>
      <c r="F1213" s="215" t="s">
        <v>9143</v>
      </c>
      <c r="G1213" s="215" t="s">
        <v>9144</v>
      </c>
      <c r="H1213" s="215" t="s">
        <v>6500</v>
      </c>
      <c r="I1213" s="300"/>
      <c r="J1213" s="300"/>
      <c r="K1213" s="300"/>
      <c r="L1213" s="300"/>
      <c r="M1213" s="300"/>
      <c r="N1213" s="300"/>
      <c r="O1213" s="300"/>
      <c r="P1213" s="300"/>
      <c r="Q1213" s="300"/>
      <c r="R1213" s="300"/>
      <c r="S1213" s="300"/>
      <c r="T1213" s="300"/>
      <c r="U1213" s="300"/>
      <c r="V1213" s="300"/>
      <c r="W1213" s="300"/>
      <c r="X1213" s="300"/>
      <c r="Y1213" s="300"/>
      <c r="Z1213" s="300"/>
    </row>
    <row r="1214" spans="1:26">
      <c r="A1214" s="215" t="s">
        <v>4068</v>
      </c>
      <c r="B1214" s="207">
        <v>1103</v>
      </c>
      <c r="C1214" s="215" t="s">
        <v>6090</v>
      </c>
      <c r="D1214" s="215" t="s">
        <v>9183</v>
      </c>
      <c r="E1214" s="215" t="s">
        <v>9184</v>
      </c>
      <c r="F1214" s="215" t="s">
        <v>9143</v>
      </c>
      <c r="G1214" s="215" t="s">
        <v>9144</v>
      </c>
      <c r="H1214" s="215" t="s">
        <v>6500</v>
      </c>
      <c r="I1214" s="300"/>
      <c r="J1214" s="300"/>
      <c r="K1214" s="300"/>
      <c r="L1214" s="300"/>
      <c r="M1214" s="300"/>
      <c r="N1214" s="300"/>
      <c r="O1214" s="300"/>
      <c r="P1214" s="300"/>
      <c r="Q1214" s="300"/>
      <c r="R1214" s="300"/>
      <c r="S1214" s="300"/>
      <c r="T1214" s="300"/>
      <c r="U1214" s="300"/>
      <c r="V1214" s="300"/>
      <c r="W1214" s="300"/>
      <c r="X1214" s="300"/>
      <c r="Y1214" s="300"/>
      <c r="Z1214" s="300"/>
    </row>
    <row r="1215" spans="1:26">
      <c r="A1215" s="215" t="s">
        <v>3810</v>
      </c>
      <c r="B1215" s="207">
        <v>1104</v>
      </c>
      <c r="C1215" s="215" t="s">
        <v>5886</v>
      </c>
      <c r="D1215" s="215" t="s">
        <v>9185</v>
      </c>
      <c r="E1215" s="215" t="s">
        <v>9185</v>
      </c>
      <c r="F1215" s="215" t="s">
        <v>9143</v>
      </c>
      <c r="G1215" s="215" t="s">
        <v>9144</v>
      </c>
      <c r="H1215" s="215" t="s">
        <v>6521</v>
      </c>
      <c r="I1215" s="300"/>
      <c r="J1215" s="300"/>
      <c r="K1215" s="300"/>
      <c r="L1215" s="300"/>
      <c r="M1215" s="300"/>
      <c r="N1215" s="300"/>
      <c r="O1215" s="300"/>
      <c r="P1215" s="300"/>
      <c r="Q1215" s="300"/>
      <c r="R1215" s="300"/>
      <c r="S1215" s="300"/>
      <c r="T1215" s="300"/>
      <c r="U1215" s="300"/>
      <c r="V1215" s="300"/>
      <c r="W1215" s="300"/>
      <c r="X1215" s="300"/>
      <c r="Y1215" s="300"/>
      <c r="Z1215" s="300"/>
    </row>
    <row r="1216" spans="1:26">
      <c r="A1216" s="215" t="s">
        <v>3765</v>
      </c>
      <c r="B1216" s="207">
        <v>1106</v>
      </c>
      <c r="C1216" s="215" t="s">
        <v>5842</v>
      </c>
      <c r="D1216" s="215" t="s">
        <v>9186</v>
      </c>
      <c r="E1216" s="215" t="s">
        <v>9186</v>
      </c>
      <c r="F1216" s="215" t="s">
        <v>9143</v>
      </c>
      <c r="G1216" s="215" t="s">
        <v>9144</v>
      </c>
      <c r="H1216" s="215" t="s">
        <v>6521</v>
      </c>
      <c r="I1216" s="300"/>
      <c r="J1216" s="300"/>
      <c r="K1216" s="300"/>
      <c r="L1216" s="300"/>
      <c r="M1216" s="300"/>
      <c r="N1216" s="300"/>
      <c r="O1216" s="300"/>
      <c r="P1216" s="300"/>
      <c r="Q1216" s="300"/>
      <c r="R1216" s="300"/>
      <c r="S1216" s="300"/>
      <c r="T1216" s="300"/>
      <c r="U1216" s="300"/>
      <c r="V1216" s="300"/>
      <c r="W1216" s="300"/>
      <c r="X1216" s="300"/>
      <c r="Y1216" s="300"/>
      <c r="Z1216" s="300"/>
    </row>
    <row r="1217" spans="1:26">
      <c r="A1217" s="215" t="s">
        <v>3791</v>
      </c>
      <c r="B1217" s="207">
        <v>1108</v>
      </c>
      <c r="C1217" s="215" t="s">
        <v>2677</v>
      </c>
      <c r="D1217" s="215" t="s">
        <v>9187</v>
      </c>
      <c r="E1217" s="215" t="s">
        <v>9187</v>
      </c>
      <c r="F1217" s="215" t="s">
        <v>9143</v>
      </c>
      <c r="G1217" s="215" t="s">
        <v>9144</v>
      </c>
      <c r="H1217" s="215" t="s">
        <v>6521</v>
      </c>
      <c r="I1217" s="300"/>
      <c r="J1217" s="300"/>
      <c r="K1217" s="300"/>
      <c r="L1217" s="300"/>
      <c r="M1217" s="300"/>
      <c r="N1217" s="300"/>
      <c r="O1217" s="300"/>
      <c r="P1217" s="300"/>
      <c r="Q1217" s="300"/>
      <c r="R1217" s="300"/>
      <c r="S1217" s="300"/>
      <c r="T1217" s="300"/>
      <c r="U1217" s="300"/>
      <c r="V1217" s="300"/>
      <c r="W1217" s="300"/>
      <c r="X1217" s="300"/>
      <c r="Y1217" s="300"/>
      <c r="Z1217" s="300"/>
    </row>
    <row r="1218" spans="1:26">
      <c r="A1218" s="215" t="s">
        <v>3734</v>
      </c>
      <c r="B1218" s="207">
        <v>1119</v>
      </c>
      <c r="C1218" s="215" t="s">
        <v>5813</v>
      </c>
      <c r="D1218" s="215" t="s">
        <v>9188</v>
      </c>
      <c r="E1218" s="215" t="s">
        <v>9189</v>
      </c>
      <c r="F1218" s="215" t="s">
        <v>9143</v>
      </c>
      <c r="G1218" s="215" t="s">
        <v>9144</v>
      </c>
      <c r="H1218" s="215" t="s">
        <v>6521</v>
      </c>
      <c r="I1218" s="300"/>
      <c r="J1218" s="300"/>
      <c r="K1218" s="300"/>
      <c r="L1218" s="300"/>
      <c r="M1218" s="300"/>
      <c r="N1218" s="300"/>
      <c r="O1218" s="300"/>
      <c r="P1218" s="300"/>
      <c r="Q1218" s="300"/>
      <c r="R1218" s="300"/>
      <c r="S1218" s="300"/>
      <c r="T1218" s="300"/>
      <c r="U1218" s="300"/>
      <c r="V1218" s="300"/>
      <c r="W1218" s="300"/>
      <c r="X1218" s="300"/>
      <c r="Y1218" s="300"/>
      <c r="Z1218" s="300"/>
    </row>
    <row r="1219" spans="1:26">
      <c r="A1219" s="215" t="s">
        <v>3800</v>
      </c>
      <c r="B1219" s="207">
        <v>1129</v>
      </c>
      <c r="C1219" s="215" t="s">
        <v>5873</v>
      </c>
      <c r="D1219" s="215" t="s">
        <v>9190</v>
      </c>
      <c r="E1219" s="215" t="s">
        <v>9190</v>
      </c>
      <c r="F1219" s="215" t="s">
        <v>9143</v>
      </c>
      <c r="G1219" s="215" t="s">
        <v>9144</v>
      </c>
      <c r="H1219" s="215" t="s">
        <v>6521</v>
      </c>
      <c r="I1219" s="300"/>
      <c r="J1219" s="300"/>
      <c r="K1219" s="300"/>
      <c r="L1219" s="300"/>
      <c r="M1219" s="300"/>
      <c r="N1219" s="300"/>
      <c r="O1219" s="300"/>
      <c r="P1219" s="300"/>
      <c r="Q1219" s="300"/>
      <c r="R1219" s="300"/>
      <c r="S1219" s="300"/>
      <c r="T1219" s="300"/>
      <c r="U1219" s="300"/>
      <c r="V1219" s="300"/>
      <c r="W1219" s="300"/>
      <c r="X1219" s="300"/>
      <c r="Y1219" s="300"/>
      <c r="Z1219" s="300"/>
    </row>
    <row r="1220" spans="1:26">
      <c r="A1220" s="215" t="s">
        <v>9191</v>
      </c>
      <c r="B1220" s="207">
        <v>1130</v>
      </c>
      <c r="C1220" s="215" t="s">
        <v>5847</v>
      </c>
      <c r="D1220" s="215" t="s">
        <v>9192</v>
      </c>
      <c r="E1220" s="215" t="s">
        <v>9192</v>
      </c>
      <c r="F1220" s="215" t="s">
        <v>9143</v>
      </c>
      <c r="G1220" s="215" t="s">
        <v>9144</v>
      </c>
      <c r="H1220" s="215" t="s">
        <v>6521</v>
      </c>
      <c r="I1220" s="300"/>
      <c r="J1220" s="300"/>
      <c r="K1220" s="300"/>
      <c r="L1220" s="300"/>
      <c r="M1220" s="300"/>
      <c r="N1220" s="300"/>
      <c r="O1220" s="300"/>
      <c r="P1220" s="300"/>
      <c r="Q1220" s="300"/>
      <c r="R1220" s="300"/>
      <c r="S1220" s="300"/>
      <c r="T1220" s="300"/>
      <c r="U1220" s="300"/>
      <c r="V1220" s="300"/>
      <c r="W1220" s="300"/>
      <c r="X1220" s="300"/>
      <c r="Y1220" s="300"/>
      <c r="Z1220" s="300"/>
    </row>
    <row r="1221" spans="1:26">
      <c r="A1221" s="215" t="s">
        <v>3732</v>
      </c>
      <c r="B1221" s="207">
        <v>1131</v>
      </c>
      <c r="C1221" s="215" t="s">
        <v>5148</v>
      </c>
      <c r="D1221" s="215" t="s">
        <v>9193</v>
      </c>
      <c r="E1221" s="215" t="s">
        <v>9193</v>
      </c>
      <c r="F1221" s="215" t="s">
        <v>9143</v>
      </c>
      <c r="G1221" s="215" t="s">
        <v>9144</v>
      </c>
      <c r="H1221" s="215" t="s">
        <v>6521</v>
      </c>
      <c r="I1221" s="300"/>
      <c r="J1221" s="300"/>
      <c r="K1221" s="300"/>
      <c r="L1221" s="300"/>
      <c r="M1221" s="300"/>
      <c r="N1221" s="300"/>
      <c r="O1221" s="300"/>
      <c r="P1221" s="300"/>
      <c r="Q1221" s="300"/>
      <c r="R1221" s="300"/>
      <c r="S1221" s="300"/>
      <c r="T1221" s="300"/>
      <c r="U1221" s="300"/>
      <c r="V1221" s="300"/>
      <c r="W1221" s="300"/>
      <c r="X1221" s="300"/>
      <c r="Y1221" s="300"/>
      <c r="Z1221" s="300"/>
    </row>
    <row r="1222" spans="1:26">
      <c r="A1222" s="215" t="s">
        <v>3766</v>
      </c>
      <c r="B1222" s="207">
        <v>1132</v>
      </c>
      <c r="C1222" s="215" t="s">
        <v>5843</v>
      </c>
      <c r="D1222" s="215" t="s">
        <v>9194</v>
      </c>
      <c r="E1222" s="215" t="s">
        <v>9195</v>
      </c>
      <c r="F1222" s="215" t="s">
        <v>9143</v>
      </c>
      <c r="G1222" s="215" t="s">
        <v>9144</v>
      </c>
      <c r="H1222" s="215" t="s">
        <v>6521</v>
      </c>
      <c r="I1222" s="300"/>
      <c r="J1222" s="300"/>
      <c r="K1222" s="300"/>
      <c r="L1222" s="300"/>
      <c r="M1222" s="300"/>
      <c r="N1222" s="300"/>
      <c r="O1222" s="300"/>
      <c r="P1222" s="300"/>
      <c r="Q1222" s="300"/>
      <c r="R1222" s="300"/>
      <c r="S1222" s="300"/>
      <c r="T1222" s="300"/>
      <c r="U1222" s="300"/>
      <c r="V1222" s="300"/>
      <c r="W1222" s="300"/>
      <c r="X1222" s="300"/>
      <c r="Y1222" s="300"/>
      <c r="Z1222" s="300"/>
    </row>
    <row r="1223" spans="1:26">
      <c r="A1223" s="215" t="s">
        <v>3805</v>
      </c>
      <c r="B1223" s="207">
        <v>1133</v>
      </c>
      <c r="C1223" s="215" t="s">
        <v>5882</v>
      </c>
      <c r="D1223" s="215" t="s">
        <v>9196</v>
      </c>
      <c r="E1223" s="215" t="s">
        <v>9196</v>
      </c>
      <c r="F1223" s="215" t="s">
        <v>9143</v>
      </c>
      <c r="G1223" s="215" t="s">
        <v>9144</v>
      </c>
      <c r="H1223" s="215" t="s">
        <v>6521</v>
      </c>
      <c r="I1223" s="300"/>
      <c r="J1223" s="300"/>
      <c r="K1223" s="300"/>
      <c r="L1223" s="300"/>
      <c r="M1223" s="300"/>
      <c r="N1223" s="300"/>
      <c r="O1223" s="300"/>
      <c r="P1223" s="300"/>
      <c r="Q1223" s="300"/>
      <c r="R1223" s="300"/>
      <c r="S1223" s="300"/>
      <c r="T1223" s="300"/>
      <c r="U1223" s="300"/>
      <c r="V1223" s="300"/>
      <c r="W1223" s="300"/>
      <c r="X1223" s="300"/>
      <c r="Y1223" s="300"/>
      <c r="Z1223" s="300"/>
    </row>
    <row r="1224" spans="1:26">
      <c r="A1224" s="215" t="s">
        <v>9197</v>
      </c>
      <c r="B1224" s="207">
        <v>1134</v>
      </c>
      <c r="C1224" s="215" t="s">
        <v>5514</v>
      </c>
      <c r="D1224" s="215" t="s">
        <v>9198</v>
      </c>
      <c r="E1224" s="215" t="s">
        <v>9198</v>
      </c>
      <c r="F1224" s="215" t="s">
        <v>9143</v>
      </c>
      <c r="G1224" s="215" t="s">
        <v>9144</v>
      </c>
      <c r="H1224" s="215" t="s">
        <v>6521</v>
      </c>
      <c r="I1224" s="300"/>
      <c r="J1224" s="300"/>
      <c r="K1224" s="300"/>
      <c r="L1224" s="300"/>
      <c r="M1224" s="300"/>
      <c r="N1224" s="300"/>
      <c r="O1224" s="300"/>
      <c r="P1224" s="300"/>
      <c r="Q1224" s="300"/>
      <c r="R1224" s="300"/>
      <c r="S1224" s="300"/>
      <c r="T1224" s="300"/>
      <c r="U1224" s="300"/>
      <c r="V1224" s="300"/>
      <c r="W1224" s="300"/>
      <c r="X1224" s="300"/>
      <c r="Y1224" s="300"/>
      <c r="Z1224" s="300"/>
    </row>
    <row r="1225" spans="1:26">
      <c r="A1225" s="215" t="s">
        <v>4521</v>
      </c>
      <c r="B1225" s="207">
        <v>1135</v>
      </c>
      <c r="C1225" s="215" t="s">
        <v>6435</v>
      </c>
      <c r="D1225" s="215" t="s">
        <v>9199</v>
      </c>
      <c r="E1225" s="215" t="s">
        <v>9199</v>
      </c>
      <c r="F1225" s="215" t="s">
        <v>9143</v>
      </c>
      <c r="G1225" s="215" t="s">
        <v>9144</v>
      </c>
      <c r="H1225" s="215" t="s">
        <v>6521</v>
      </c>
      <c r="I1225" s="300"/>
      <c r="J1225" s="300"/>
      <c r="K1225" s="300"/>
      <c r="L1225" s="300"/>
      <c r="M1225" s="300"/>
      <c r="N1225" s="300"/>
      <c r="O1225" s="300"/>
      <c r="P1225" s="300"/>
      <c r="Q1225" s="300"/>
      <c r="R1225" s="300"/>
      <c r="S1225" s="300"/>
      <c r="T1225" s="300"/>
      <c r="U1225" s="300"/>
      <c r="V1225" s="300"/>
      <c r="W1225" s="300"/>
      <c r="X1225" s="300"/>
      <c r="Y1225" s="300"/>
      <c r="Z1225" s="300"/>
    </row>
    <row r="1226" spans="1:26">
      <c r="A1226" s="215" t="s">
        <v>3808</v>
      </c>
      <c r="B1226" s="207">
        <v>1136</v>
      </c>
      <c r="C1226" s="215" t="s">
        <v>5885</v>
      </c>
      <c r="D1226" s="215" t="s">
        <v>9200</v>
      </c>
      <c r="E1226" s="215" t="s">
        <v>9201</v>
      </c>
      <c r="F1226" s="215" t="s">
        <v>9143</v>
      </c>
      <c r="G1226" s="215" t="s">
        <v>9144</v>
      </c>
      <c r="H1226" s="215" t="s">
        <v>6521</v>
      </c>
      <c r="I1226" s="300"/>
      <c r="J1226" s="300"/>
      <c r="K1226" s="300"/>
      <c r="L1226" s="300"/>
      <c r="M1226" s="300"/>
      <c r="N1226" s="300"/>
      <c r="O1226" s="300"/>
      <c r="P1226" s="300"/>
      <c r="Q1226" s="300"/>
      <c r="R1226" s="300"/>
      <c r="S1226" s="300"/>
      <c r="T1226" s="300"/>
      <c r="U1226" s="300"/>
      <c r="V1226" s="300"/>
      <c r="W1226" s="300"/>
      <c r="X1226" s="300"/>
      <c r="Y1226" s="300"/>
      <c r="Z1226" s="300"/>
    </row>
    <row r="1227" spans="1:26">
      <c r="A1227" s="215" t="s">
        <v>9202</v>
      </c>
      <c r="B1227" s="207">
        <v>1139</v>
      </c>
      <c r="C1227" s="215" t="s">
        <v>5876</v>
      </c>
      <c r="D1227" s="215" t="s">
        <v>5876</v>
      </c>
      <c r="E1227" s="215" t="s">
        <v>9203</v>
      </c>
      <c r="F1227" s="215" t="s">
        <v>9143</v>
      </c>
      <c r="G1227" s="215" t="s">
        <v>9144</v>
      </c>
      <c r="H1227" s="215" t="s">
        <v>6521</v>
      </c>
      <c r="I1227" s="300"/>
      <c r="J1227" s="300"/>
      <c r="K1227" s="300"/>
      <c r="L1227" s="300"/>
      <c r="M1227" s="300"/>
      <c r="N1227" s="300"/>
      <c r="O1227" s="300"/>
      <c r="P1227" s="300"/>
      <c r="Q1227" s="300"/>
      <c r="R1227" s="300"/>
      <c r="S1227" s="300"/>
      <c r="T1227" s="300"/>
      <c r="U1227" s="300"/>
      <c r="V1227" s="300"/>
      <c r="W1227" s="300"/>
      <c r="X1227" s="300"/>
      <c r="Y1227" s="300"/>
      <c r="Z1227" s="300"/>
    </row>
    <row r="1228" spans="1:26">
      <c r="A1228" s="215" t="s">
        <v>3768</v>
      </c>
      <c r="B1228" s="207">
        <v>1140</v>
      </c>
      <c r="C1228" s="215" t="s">
        <v>5845</v>
      </c>
      <c r="D1228" s="215" t="s">
        <v>9204</v>
      </c>
      <c r="E1228" s="215" t="s">
        <v>9204</v>
      </c>
      <c r="F1228" s="215" t="s">
        <v>9143</v>
      </c>
      <c r="G1228" s="215" t="s">
        <v>9144</v>
      </c>
      <c r="H1228" s="215" t="s">
        <v>6521</v>
      </c>
      <c r="I1228" s="300"/>
      <c r="J1228" s="300"/>
      <c r="K1228" s="300"/>
      <c r="L1228" s="300"/>
      <c r="M1228" s="300"/>
      <c r="N1228" s="300"/>
      <c r="O1228" s="300"/>
      <c r="P1228" s="300"/>
      <c r="Q1228" s="300"/>
      <c r="R1228" s="300"/>
      <c r="S1228" s="300"/>
      <c r="T1228" s="300"/>
      <c r="U1228" s="300"/>
      <c r="V1228" s="300"/>
      <c r="W1228" s="300"/>
      <c r="X1228" s="300"/>
      <c r="Y1228" s="300"/>
      <c r="Z1228" s="300"/>
    </row>
    <row r="1229" spans="1:26">
      <c r="A1229" s="215" t="s">
        <v>3803</v>
      </c>
      <c r="B1229" s="207">
        <v>1141</v>
      </c>
      <c r="C1229" s="215" t="s">
        <v>5879</v>
      </c>
      <c r="D1229" s="215" t="s">
        <v>9205</v>
      </c>
      <c r="E1229" s="215" t="s">
        <v>9206</v>
      </c>
      <c r="F1229" s="215" t="s">
        <v>9143</v>
      </c>
      <c r="G1229" s="215" t="s">
        <v>9144</v>
      </c>
      <c r="H1229" s="215" t="s">
        <v>6521</v>
      </c>
      <c r="I1229" s="300"/>
      <c r="J1229" s="300"/>
      <c r="K1229" s="300"/>
      <c r="L1229" s="300"/>
      <c r="M1229" s="300"/>
      <c r="N1229" s="300"/>
      <c r="O1229" s="300"/>
      <c r="P1229" s="300"/>
      <c r="Q1229" s="300"/>
      <c r="R1229" s="300"/>
      <c r="S1229" s="300"/>
      <c r="T1229" s="300"/>
      <c r="U1229" s="300"/>
      <c r="V1229" s="300"/>
      <c r="W1229" s="300"/>
      <c r="X1229" s="300"/>
      <c r="Y1229" s="300"/>
      <c r="Z1229" s="300"/>
    </row>
    <row r="1230" spans="1:26">
      <c r="A1230" s="215" t="s">
        <v>3801</v>
      </c>
      <c r="B1230" s="207">
        <v>1142</v>
      </c>
      <c r="C1230" s="215" t="s">
        <v>5874</v>
      </c>
      <c r="D1230" s="215" t="s">
        <v>9207</v>
      </c>
      <c r="E1230" s="215" t="s">
        <v>9207</v>
      </c>
      <c r="F1230" s="215" t="s">
        <v>9143</v>
      </c>
      <c r="G1230" s="215" t="s">
        <v>9144</v>
      </c>
      <c r="H1230" s="215" t="s">
        <v>6521</v>
      </c>
      <c r="I1230" s="300"/>
      <c r="J1230" s="300"/>
      <c r="K1230" s="300"/>
      <c r="L1230" s="300"/>
      <c r="M1230" s="300"/>
      <c r="N1230" s="300"/>
      <c r="O1230" s="300"/>
      <c r="P1230" s="300"/>
      <c r="Q1230" s="300"/>
      <c r="R1230" s="300"/>
      <c r="S1230" s="300"/>
      <c r="T1230" s="300"/>
      <c r="U1230" s="300"/>
      <c r="V1230" s="300"/>
      <c r="W1230" s="300"/>
      <c r="X1230" s="300"/>
      <c r="Y1230" s="300"/>
      <c r="Z1230" s="300"/>
    </row>
    <row r="1231" spans="1:26">
      <c r="A1231" s="215" t="s">
        <v>3772</v>
      </c>
      <c r="B1231" s="207">
        <v>1143</v>
      </c>
      <c r="C1231" s="215" t="s">
        <v>9208</v>
      </c>
      <c r="D1231" s="215" t="s">
        <v>9209</v>
      </c>
      <c r="E1231" s="215" t="s">
        <v>9210</v>
      </c>
      <c r="F1231" s="215" t="s">
        <v>9143</v>
      </c>
      <c r="G1231" s="215" t="s">
        <v>9144</v>
      </c>
      <c r="H1231" s="215" t="s">
        <v>6521</v>
      </c>
      <c r="I1231" s="300"/>
      <c r="J1231" s="300"/>
      <c r="K1231" s="300"/>
      <c r="L1231" s="300"/>
      <c r="M1231" s="300"/>
      <c r="N1231" s="300"/>
      <c r="O1231" s="300"/>
      <c r="P1231" s="300"/>
      <c r="Q1231" s="300"/>
      <c r="R1231" s="300"/>
      <c r="S1231" s="300"/>
      <c r="T1231" s="300"/>
      <c r="U1231" s="300"/>
      <c r="V1231" s="300"/>
      <c r="W1231" s="300"/>
      <c r="X1231" s="300"/>
      <c r="Y1231" s="300"/>
      <c r="Z1231" s="300"/>
    </row>
    <row r="1232" spans="1:26">
      <c r="A1232" s="215" t="s">
        <v>3735</v>
      </c>
      <c r="B1232" s="207">
        <v>1144</v>
      </c>
      <c r="C1232" s="215" t="s">
        <v>4984</v>
      </c>
      <c r="D1232" s="215" t="s">
        <v>9211</v>
      </c>
      <c r="E1232" s="215" t="s">
        <v>9211</v>
      </c>
      <c r="F1232" s="215" t="s">
        <v>9143</v>
      </c>
      <c r="G1232" s="215" t="s">
        <v>9144</v>
      </c>
      <c r="H1232" s="215" t="s">
        <v>6521</v>
      </c>
      <c r="I1232" s="300"/>
      <c r="J1232" s="300"/>
      <c r="K1232" s="300"/>
      <c r="L1232" s="300"/>
      <c r="M1232" s="300"/>
      <c r="N1232" s="300"/>
      <c r="O1232" s="300"/>
      <c r="P1232" s="300"/>
      <c r="Q1232" s="300"/>
      <c r="R1232" s="300"/>
      <c r="S1232" s="300"/>
      <c r="T1232" s="300"/>
      <c r="U1232" s="300"/>
      <c r="V1232" s="300"/>
      <c r="W1232" s="300"/>
      <c r="X1232" s="300"/>
      <c r="Y1232" s="300"/>
      <c r="Z1232" s="300"/>
    </row>
    <row r="1233" spans="1:26">
      <c r="A1233" s="215" t="s">
        <v>3780</v>
      </c>
      <c r="B1233" s="207">
        <v>1146</v>
      </c>
      <c r="C1233" s="215" t="s">
        <v>5857</v>
      </c>
      <c r="D1233" s="215" t="s">
        <v>9212</v>
      </c>
      <c r="E1233" s="215" t="s">
        <v>9212</v>
      </c>
      <c r="F1233" s="215" t="s">
        <v>9143</v>
      </c>
      <c r="G1233" s="215" t="s">
        <v>9144</v>
      </c>
      <c r="H1233" s="215" t="s">
        <v>6521</v>
      </c>
      <c r="I1233" s="300"/>
      <c r="J1233" s="300"/>
      <c r="K1233" s="300"/>
      <c r="L1233" s="300"/>
      <c r="M1233" s="300"/>
      <c r="N1233" s="300"/>
      <c r="O1233" s="300"/>
      <c r="P1233" s="300"/>
      <c r="Q1233" s="300"/>
      <c r="R1233" s="300"/>
      <c r="S1233" s="300"/>
      <c r="T1233" s="300"/>
      <c r="U1233" s="300"/>
      <c r="V1233" s="300"/>
      <c r="W1233" s="300"/>
      <c r="X1233" s="300"/>
      <c r="Y1233" s="300"/>
      <c r="Z1233" s="300"/>
    </row>
    <row r="1234" spans="1:26">
      <c r="A1234" s="215" t="s">
        <v>3769</v>
      </c>
      <c r="B1234" s="207">
        <v>1147</v>
      </c>
      <c r="C1234" s="215" t="s">
        <v>5846</v>
      </c>
      <c r="D1234" s="215" t="s">
        <v>5846</v>
      </c>
      <c r="E1234" s="215" t="s">
        <v>9154</v>
      </c>
      <c r="F1234" s="215" t="s">
        <v>9143</v>
      </c>
      <c r="G1234" s="215" t="s">
        <v>9144</v>
      </c>
      <c r="H1234" s="215" t="s">
        <v>6521</v>
      </c>
      <c r="I1234" s="300"/>
      <c r="J1234" s="300"/>
      <c r="K1234" s="300"/>
      <c r="L1234" s="300"/>
      <c r="M1234" s="300"/>
      <c r="N1234" s="300"/>
      <c r="O1234" s="300"/>
      <c r="P1234" s="300"/>
      <c r="Q1234" s="300"/>
      <c r="R1234" s="300"/>
      <c r="S1234" s="300"/>
      <c r="T1234" s="300"/>
      <c r="U1234" s="300"/>
      <c r="V1234" s="300"/>
      <c r="W1234" s="300"/>
      <c r="X1234" s="300"/>
      <c r="Y1234" s="300"/>
      <c r="Z1234" s="300"/>
    </row>
    <row r="1235" spans="1:26">
      <c r="A1235" s="215" t="s">
        <v>3825</v>
      </c>
      <c r="B1235" s="207">
        <v>1150</v>
      </c>
      <c r="C1235" s="215" t="s">
        <v>5899</v>
      </c>
      <c r="D1235" s="215" t="s">
        <v>9213</v>
      </c>
      <c r="E1235" s="215" t="s">
        <v>9214</v>
      </c>
      <c r="F1235" s="215" t="s">
        <v>9143</v>
      </c>
      <c r="G1235" s="215" t="s">
        <v>9144</v>
      </c>
      <c r="H1235" s="215" t="s">
        <v>6521</v>
      </c>
      <c r="I1235" s="300"/>
      <c r="J1235" s="300"/>
      <c r="K1235" s="300"/>
      <c r="L1235" s="300"/>
      <c r="M1235" s="300"/>
      <c r="N1235" s="300"/>
      <c r="O1235" s="300"/>
      <c r="P1235" s="300"/>
      <c r="Q1235" s="300"/>
      <c r="R1235" s="300"/>
      <c r="S1235" s="300"/>
      <c r="T1235" s="300"/>
      <c r="U1235" s="300"/>
      <c r="V1235" s="300"/>
      <c r="W1235" s="300"/>
      <c r="X1235" s="300"/>
      <c r="Y1235" s="300"/>
      <c r="Z1235" s="300"/>
    </row>
    <row r="1236" spans="1:26">
      <c r="A1236" s="215" t="s">
        <v>3779</v>
      </c>
      <c r="B1236" s="207">
        <v>1151</v>
      </c>
      <c r="C1236" s="215" t="s">
        <v>5766</v>
      </c>
      <c r="D1236" s="215" t="s">
        <v>9215</v>
      </c>
      <c r="E1236" s="215" t="s">
        <v>9215</v>
      </c>
      <c r="F1236" s="215" t="s">
        <v>9143</v>
      </c>
      <c r="G1236" s="215" t="s">
        <v>9144</v>
      </c>
      <c r="H1236" s="215" t="s">
        <v>6521</v>
      </c>
      <c r="I1236" s="300"/>
      <c r="J1236" s="300"/>
      <c r="K1236" s="300"/>
      <c r="L1236" s="300"/>
      <c r="M1236" s="300"/>
      <c r="N1236" s="300"/>
      <c r="O1236" s="300"/>
      <c r="P1236" s="300"/>
      <c r="Q1236" s="300"/>
      <c r="R1236" s="300"/>
      <c r="S1236" s="300"/>
      <c r="T1236" s="300"/>
      <c r="U1236" s="300"/>
      <c r="V1236" s="300"/>
      <c r="W1236" s="300"/>
      <c r="X1236" s="300"/>
      <c r="Y1236" s="300"/>
      <c r="Z1236" s="300"/>
    </row>
    <row r="1237" spans="1:26">
      <c r="A1237" s="215" t="s">
        <v>3773</v>
      </c>
      <c r="B1237" s="207">
        <v>1152</v>
      </c>
      <c r="C1237" s="215" t="s">
        <v>5852</v>
      </c>
      <c r="D1237" s="215" t="s">
        <v>9216</v>
      </c>
      <c r="E1237" s="215" t="s">
        <v>9216</v>
      </c>
      <c r="F1237" s="215" t="s">
        <v>9143</v>
      </c>
      <c r="G1237" s="215" t="s">
        <v>9144</v>
      </c>
      <c r="H1237" s="215" t="s">
        <v>6521</v>
      </c>
      <c r="I1237" s="300"/>
      <c r="J1237" s="300"/>
      <c r="K1237" s="300"/>
      <c r="L1237" s="300"/>
      <c r="M1237" s="300"/>
      <c r="N1237" s="300"/>
      <c r="O1237" s="300"/>
      <c r="P1237" s="300"/>
      <c r="Q1237" s="300"/>
      <c r="R1237" s="300"/>
      <c r="S1237" s="300"/>
      <c r="T1237" s="300"/>
      <c r="U1237" s="300"/>
      <c r="V1237" s="300"/>
      <c r="W1237" s="300"/>
      <c r="X1237" s="300"/>
      <c r="Y1237" s="300"/>
      <c r="Z1237" s="300"/>
    </row>
    <row r="1238" spans="1:26">
      <c r="A1238" s="215" t="s">
        <v>3781</v>
      </c>
      <c r="B1238" s="207">
        <v>1154</v>
      </c>
      <c r="C1238" s="215" t="s">
        <v>5858</v>
      </c>
      <c r="D1238" s="215" t="s">
        <v>9217</v>
      </c>
      <c r="E1238" s="215" t="s">
        <v>9217</v>
      </c>
      <c r="F1238" s="215" t="s">
        <v>9143</v>
      </c>
      <c r="G1238" s="215" t="s">
        <v>9144</v>
      </c>
      <c r="H1238" s="215" t="s">
        <v>6521</v>
      </c>
      <c r="I1238" s="300"/>
      <c r="J1238" s="300"/>
      <c r="K1238" s="300"/>
      <c r="L1238" s="300"/>
      <c r="M1238" s="300"/>
      <c r="N1238" s="300"/>
      <c r="O1238" s="300"/>
      <c r="P1238" s="300"/>
      <c r="Q1238" s="300"/>
      <c r="R1238" s="300"/>
      <c r="S1238" s="300"/>
      <c r="T1238" s="300"/>
      <c r="U1238" s="300"/>
      <c r="V1238" s="300"/>
      <c r="W1238" s="300"/>
      <c r="X1238" s="300"/>
      <c r="Y1238" s="300"/>
      <c r="Z1238" s="300"/>
    </row>
    <row r="1239" spans="1:26">
      <c r="A1239" s="215" t="s">
        <v>3737</v>
      </c>
      <c r="B1239" s="207">
        <v>1155</v>
      </c>
      <c r="C1239" s="215" t="s">
        <v>5817</v>
      </c>
      <c r="D1239" s="215" t="s">
        <v>9218</v>
      </c>
      <c r="E1239" s="215" t="s">
        <v>9218</v>
      </c>
      <c r="F1239" s="215" t="s">
        <v>9143</v>
      </c>
      <c r="G1239" s="215" t="s">
        <v>9144</v>
      </c>
      <c r="H1239" s="215" t="s">
        <v>6521</v>
      </c>
      <c r="I1239" s="300"/>
      <c r="J1239" s="300"/>
      <c r="K1239" s="300"/>
      <c r="L1239" s="300"/>
      <c r="M1239" s="300"/>
      <c r="N1239" s="300"/>
      <c r="O1239" s="300"/>
      <c r="P1239" s="300"/>
      <c r="Q1239" s="300"/>
      <c r="R1239" s="300"/>
      <c r="S1239" s="300"/>
      <c r="T1239" s="300"/>
      <c r="U1239" s="300"/>
      <c r="V1239" s="300"/>
      <c r="W1239" s="300"/>
      <c r="X1239" s="300"/>
      <c r="Y1239" s="300"/>
      <c r="Z1239" s="300"/>
    </row>
    <row r="1240" spans="1:26">
      <c r="A1240" s="215" t="s">
        <v>3790</v>
      </c>
      <c r="B1240" s="207">
        <v>1157</v>
      </c>
      <c r="C1240" s="215" t="s">
        <v>5691</v>
      </c>
      <c r="D1240" s="215" t="s">
        <v>9219</v>
      </c>
      <c r="E1240" s="215" t="s">
        <v>9220</v>
      </c>
      <c r="F1240" s="215" t="s">
        <v>9143</v>
      </c>
      <c r="G1240" s="215" t="s">
        <v>9144</v>
      </c>
      <c r="H1240" s="215" t="s">
        <v>6521</v>
      </c>
      <c r="I1240" s="300"/>
      <c r="J1240" s="300"/>
      <c r="K1240" s="300"/>
      <c r="L1240" s="300"/>
      <c r="M1240" s="300"/>
      <c r="N1240" s="300"/>
      <c r="O1240" s="300"/>
      <c r="P1240" s="300"/>
      <c r="Q1240" s="300"/>
      <c r="R1240" s="300"/>
      <c r="S1240" s="300"/>
      <c r="T1240" s="300"/>
      <c r="U1240" s="300"/>
      <c r="V1240" s="300"/>
      <c r="W1240" s="300"/>
      <c r="X1240" s="300"/>
      <c r="Y1240" s="300"/>
      <c r="Z1240" s="300"/>
    </row>
    <row r="1241" spans="1:26">
      <c r="A1241" s="215" t="s">
        <v>9221</v>
      </c>
      <c r="B1241" s="207">
        <v>1159</v>
      </c>
      <c r="C1241" s="215" t="s">
        <v>5955</v>
      </c>
      <c r="D1241" s="215" t="s">
        <v>9222</v>
      </c>
      <c r="E1241" s="215" t="s">
        <v>9223</v>
      </c>
      <c r="F1241" s="215" t="s">
        <v>9143</v>
      </c>
      <c r="G1241" s="215" t="s">
        <v>9144</v>
      </c>
      <c r="H1241" s="215" t="s">
        <v>6521</v>
      </c>
      <c r="I1241" s="300"/>
      <c r="J1241" s="300"/>
      <c r="K1241" s="300"/>
      <c r="L1241" s="300"/>
      <c r="M1241" s="300"/>
      <c r="N1241" s="300"/>
      <c r="O1241" s="300"/>
      <c r="P1241" s="300"/>
      <c r="Q1241" s="300"/>
      <c r="R1241" s="300"/>
      <c r="S1241" s="300"/>
      <c r="T1241" s="300"/>
      <c r="U1241" s="300"/>
      <c r="V1241" s="300"/>
      <c r="W1241" s="300"/>
      <c r="X1241" s="300"/>
      <c r="Y1241" s="300"/>
      <c r="Z1241" s="300"/>
    </row>
    <row r="1242" spans="1:26">
      <c r="A1242" s="215" t="s">
        <v>4215</v>
      </c>
      <c r="B1242" s="207">
        <v>1161</v>
      </c>
      <c r="C1242" s="215" t="s">
        <v>6194</v>
      </c>
      <c r="D1242" s="215" t="s">
        <v>9224</v>
      </c>
      <c r="E1242" s="215" t="s">
        <v>9225</v>
      </c>
      <c r="F1242" s="215" t="s">
        <v>9143</v>
      </c>
      <c r="G1242" s="215" t="s">
        <v>9144</v>
      </c>
      <c r="H1242" s="215" t="s">
        <v>6521</v>
      </c>
      <c r="I1242" s="300"/>
      <c r="J1242" s="300"/>
      <c r="K1242" s="300"/>
      <c r="L1242" s="300"/>
      <c r="M1242" s="300"/>
      <c r="N1242" s="300"/>
      <c r="O1242" s="300"/>
      <c r="P1242" s="300"/>
      <c r="Q1242" s="300"/>
      <c r="R1242" s="300"/>
      <c r="S1242" s="300"/>
      <c r="T1242" s="300"/>
      <c r="U1242" s="300"/>
      <c r="V1242" s="300"/>
      <c r="W1242" s="300"/>
      <c r="X1242" s="300"/>
      <c r="Y1242" s="300"/>
      <c r="Z1242" s="300"/>
    </row>
    <row r="1243" spans="1:26">
      <c r="A1243" s="215" t="s">
        <v>3771</v>
      </c>
      <c r="B1243" s="207">
        <v>1162</v>
      </c>
      <c r="C1243" s="215" t="s">
        <v>5816</v>
      </c>
      <c r="D1243" s="215" t="s">
        <v>9226</v>
      </c>
      <c r="E1243" s="215" t="s">
        <v>9226</v>
      </c>
      <c r="F1243" s="215" t="s">
        <v>9143</v>
      </c>
      <c r="G1243" s="215" t="s">
        <v>9144</v>
      </c>
      <c r="H1243" s="215" t="s">
        <v>6521</v>
      </c>
      <c r="I1243" s="300"/>
      <c r="J1243" s="300"/>
      <c r="K1243" s="300"/>
      <c r="L1243" s="300"/>
      <c r="M1243" s="300"/>
      <c r="N1243" s="300"/>
      <c r="O1243" s="300"/>
      <c r="P1243" s="300"/>
      <c r="Q1243" s="300"/>
      <c r="R1243" s="300"/>
      <c r="S1243" s="300"/>
      <c r="T1243" s="300"/>
      <c r="U1243" s="300"/>
      <c r="V1243" s="300"/>
      <c r="W1243" s="300"/>
      <c r="X1243" s="300"/>
      <c r="Y1243" s="300"/>
      <c r="Z1243" s="300"/>
    </row>
    <row r="1244" spans="1:26">
      <c r="A1244" s="215" t="s">
        <v>2672</v>
      </c>
      <c r="B1244" s="207">
        <v>1164</v>
      </c>
      <c r="C1244" s="215" t="s">
        <v>4846</v>
      </c>
      <c r="D1244" s="215" t="s">
        <v>9227</v>
      </c>
      <c r="E1244" s="215" t="s">
        <v>9227</v>
      </c>
      <c r="F1244" s="215" t="s">
        <v>9143</v>
      </c>
      <c r="G1244" s="215" t="s">
        <v>9144</v>
      </c>
      <c r="H1244" s="215" t="s">
        <v>6521</v>
      </c>
      <c r="I1244" s="300"/>
      <c r="J1244" s="300"/>
      <c r="K1244" s="300"/>
      <c r="L1244" s="300"/>
      <c r="M1244" s="300"/>
      <c r="N1244" s="300"/>
      <c r="O1244" s="300"/>
      <c r="P1244" s="300"/>
      <c r="Q1244" s="300"/>
      <c r="R1244" s="300"/>
      <c r="S1244" s="300"/>
      <c r="T1244" s="300"/>
      <c r="U1244" s="300"/>
      <c r="V1244" s="300"/>
      <c r="W1244" s="300"/>
      <c r="X1244" s="300"/>
      <c r="Y1244" s="300"/>
      <c r="Z1244" s="300"/>
    </row>
    <row r="1245" spans="1:26">
      <c r="A1245" s="215" t="s">
        <v>3628</v>
      </c>
      <c r="B1245" s="207">
        <v>1165</v>
      </c>
      <c r="C1245" s="215" t="s">
        <v>5273</v>
      </c>
      <c r="D1245" s="215" t="s">
        <v>9228</v>
      </c>
      <c r="E1245" s="215" t="s">
        <v>9229</v>
      </c>
      <c r="F1245" s="215" t="s">
        <v>9143</v>
      </c>
      <c r="G1245" s="215" t="s">
        <v>9144</v>
      </c>
      <c r="H1245" s="215" t="s">
        <v>6521</v>
      </c>
      <c r="I1245" s="300"/>
      <c r="J1245" s="300"/>
      <c r="K1245" s="300"/>
      <c r="L1245" s="300"/>
      <c r="M1245" s="300"/>
      <c r="N1245" s="300"/>
      <c r="O1245" s="300"/>
      <c r="P1245" s="300"/>
      <c r="Q1245" s="300"/>
      <c r="R1245" s="300"/>
      <c r="S1245" s="300"/>
      <c r="T1245" s="300"/>
      <c r="U1245" s="300"/>
      <c r="V1245" s="300"/>
      <c r="W1245" s="300"/>
      <c r="X1245" s="300"/>
      <c r="Y1245" s="300"/>
      <c r="Z1245" s="300"/>
    </row>
    <row r="1246" spans="1:26">
      <c r="A1246" s="215" t="s">
        <v>3048</v>
      </c>
      <c r="B1246" s="207">
        <v>1167</v>
      </c>
      <c r="C1246" s="215" t="s">
        <v>5182</v>
      </c>
      <c r="D1246" s="215" t="s">
        <v>9230</v>
      </c>
      <c r="E1246" s="215" t="s">
        <v>9230</v>
      </c>
      <c r="F1246" s="215" t="s">
        <v>9143</v>
      </c>
      <c r="G1246" s="215" t="s">
        <v>9144</v>
      </c>
      <c r="H1246" s="215" t="s">
        <v>6521</v>
      </c>
      <c r="I1246" s="300"/>
      <c r="J1246" s="300"/>
      <c r="K1246" s="300"/>
      <c r="L1246" s="300"/>
      <c r="M1246" s="300"/>
      <c r="N1246" s="300"/>
      <c r="O1246" s="300"/>
      <c r="P1246" s="300"/>
      <c r="Q1246" s="300"/>
      <c r="R1246" s="300"/>
      <c r="S1246" s="300"/>
      <c r="T1246" s="300"/>
      <c r="U1246" s="300"/>
      <c r="V1246" s="300"/>
      <c r="W1246" s="300"/>
      <c r="X1246" s="300"/>
      <c r="Y1246" s="300"/>
      <c r="Z1246" s="300"/>
    </row>
    <row r="1247" spans="1:26">
      <c r="A1247" s="215"/>
      <c r="B1247" s="207">
        <v>1168</v>
      </c>
      <c r="C1247" s="215" t="s">
        <v>5506</v>
      </c>
      <c r="D1247" s="215" t="s">
        <v>9231</v>
      </c>
      <c r="E1247" s="215" t="s">
        <v>9232</v>
      </c>
      <c r="F1247" s="215" t="s">
        <v>9143</v>
      </c>
      <c r="G1247" s="215" t="s">
        <v>9144</v>
      </c>
      <c r="H1247" s="215" t="s">
        <v>6521</v>
      </c>
      <c r="I1247" s="300"/>
      <c r="J1247" s="300"/>
      <c r="K1247" s="300"/>
      <c r="L1247" s="300"/>
      <c r="M1247" s="300"/>
      <c r="N1247" s="300"/>
      <c r="O1247" s="300"/>
      <c r="P1247" s="300"/>
      <c r="Q1247" s="300"/>
      <c r="R1247" s="300"/>
      <c r="S1247" s="300"/>
      <c r="T1247" s="300"/>
      <c r="U1247" s="300"/>
      <c r="V1247" s="300"/>
      <c r="W1247" s="300"/>
      <c r="X1247" s="300"/>
      <c r="Y1247" s="300"/>
      <c r="Z1247" s="300"/>
    </row>
    <row r="1248" spans="1:26">
      <c r="A1248" s="215" t="s">
        <v>3035</v>
      </c>
      <c r="B1248" s="207">
        <v>1170</v>
      </c>
      <c r="C1248" s="215" t="s">
        <v>5171</v>
      </c>
      <c r="D1248" s="215" t="s">
        <v>9233</v>
      </c>
      <c r="E1248" s="215" t="s">
        <v>9233</v>
      </c>
      <c r="F1248" s="215" t="s">
        <v>9143</v>
      </c>
      <c r="G1248" s="215" t="s">
        <v>9144</v>
      </c>
      <c r="H1248" s="215" t="s">
        <v>6500</v>
      </c>
      <c r="I1248" s="300"/>
      <c r="J1248" s="300"/>
      <c r="K1248" s="300"/>
      <c r="L1248" s="300"/>
      <c r="M1248" s="300"/>
      <c r="N1248" s="300"/>
      <c r="O1248" s="300"/>
      <c r="P1248" s="300"/>
      <c r="Q1248" s="300"/>
      <c r="R1248" s="300"/>
      <c r="S1248" s="300"/>
      <c r="T1248" s="300"/>
      <c r="U1248" s="300"/>
      <c r="V1248" s="300"/>
      <c r="W1248" s="300"/>
      <c r="X1248" s="300"/>
      <c r="Y1248" s="300"/>
      <c r="Z1248" s="300"/>
    </row>
    <row r="1249" spans="1:26">
      <c r="A1249" s="215" t="s">
        <v>3355</v>
      </c>
      <c r="B1249" s="207">
        <v>1171</v>
      </c>
      <c r="C1249" s="215" t="s">
        <v>5476</v>
      </c>
      <c r="D1249" s="215" t="s">
        <v>9234</v>
      </c>
      <c r="E1249" s="215" t="s">
        <v>9234</v>
      </c>
      <c r="F1249" s="215" t="s">
        <v>9143</v>
      </c>
      <c r="G1249" s="215" t="s">
        <v>9144</v>
      </c>
      <c r="H1249" s="215" t="s">
        <v>6500</v>
      </c>
      <c r="I1249" s="300"/>
      <c r="J1249" s="300"/>
      <c r="K1249" s="300"/>
      <c r="L1249" s="300"/>
      <c r="M1249" s="300"/>
      <c r="N1249" s="300"/>
      <c r="O1249" s="300"/>
      <c r="P1249" s="300"/>
      <c r="Q1249" s="300"/>
      <c r="R1249" s="300"/>
      <c r="S1249" s="300"/>
      <c r="T1249" s="300"/>
      <c r="U1249" s="300"/>
      <c r="V1249" s="300"/>
      <c r="W1249" s="300"/>
      <c r="X1249" s="300"/>
      <c r="Y1249" s="300"/>
      <c r="Z1249" s="300"/>
    </row>
    <row r="1250" spans="1:26">
      <c r="A1250" s="215" t="s">
        <v>3510</v>
      </c>
      <c r="B1250" s="207">
        <v>1173</v>
      </c>
      <c r="C1250" s="215" t="s">
        <v>5616</v>
      </c>
      <c r="D1250" s="215" t="s">
        <v>9235</v>
      </c>
      <c r="E1250" s="215" t="s">
        <v>9236</v>
      </c>
      <c r="F1250" s="215" t="s">
        <v>9143</v>
      </c>
      <c r="G1250" s="215" t="s">
        <v>9144</v>
      </c>
      <c r="H1250" s="215" t="s">
        <v>6500</v>
      </c>
      <c r="I1250" s="300"/>
      <c r="J1250" s="300"/>
      <c r="K1250" s="300"/>
      <c r="L1250" s="300"/>
      <c r="M1250" s="300"/>
      <c r="N1250" s="300"/>
      <c r="O1250" s="300"/>
      <c r="P1250" s="300"/>
      <c r="Q1250" s="300"/>
      <c r="R1250" s="300"/>
      <c r="S1250" s="300"/>
      <c r="T1250" s="300"/>
      <c r="U1250" s="300"/>
      <c r="V1250" s="300"/>
      <c r="W1250" s="300"/>
      <c r="X1250" s="300"/>
      <c r="Y1250" s="300"/>
      <c r="Z1250" s="300"/>
    </row>
    <row r="1251" spans="1:26">
      <c r="A1251" s="215" t="s">
        <v>3997</v>
      </c>
      <c r="B1251" s="207">
        <v>1174</v>
      </c>
      <c r="C1251" s="215" t="s">
        <v>6024</v>
      </c>
      <c r="D1251" s="215" t="s">
        <v>9237</v>
      </c>
      <c r="E1251" s="215" t="s">
        <v>9237</v>
      </c>
      <c r="F1251" s="215" t="s">
        <v>9143</v>
      </c>
      <c r="G1251" s="215" t="s">
        <v>9144</v>
      </c>
      <c r="H1251" s="215" t="s">
        <v>6521</v>
      </c>
      <c r="I1251" s="300"/>
      <c r="J1251" s="300"/>
      <c r="K1251" s="300"/>
      <c r="L1251" s="300"/>
      <c r="M1251" s="300"/>
      <c r="N1251" s="300"/>
      <c r="O1251" s="300"/>
      <c r="P1251" s="300"/>
      <c r="Q1251" s="300"/>
      <c r="R1251" s="300"/>
      <c r="S1251" s="300"/>
      <c r="T1251" s="300"/>
      <c r="U1251" s="300"/>
      <c r="V1251" s="300"/>
      <c r="W1251" s="300"/>
      <c r="X1251" s="300"/>
      <c r="Y1251" s="300"/>
      <c r="Z1251" s="300"/>
    </row>
    <row r="1252" spans="1:26">
      <c r="A1252" s="215" t="s">
        <v>4029</v>
      </c>
      <c r="B1252" s="207">
        <v>1176</v>
      </c>
      <c r="C1252" s="215" t="s">
        <v>6054</v>
      </c>
      <c r="D1252" s="215" t="s">
        <v>9238</v>
      </c>
      <c r="E1252" s="215" t="s">
        <v>9238</v>
      </c>
      <c r="F1252" s="215" t="s">
        <v>9143</v>
      </c>
      <c r="G1252" s="215" t="s">
        <v>9144</v>
      </c>
      <c r="H1252" s="215" t="s">
        <v>6497</v>
      </c>
      <c r="I1252" s="300"/>
      <c r="J1252" s="300"/>
      <c r="K1252" s="300"/>
      <c r="L1252" s="300"/>
      <c r="M1252" s="300"/>
      <c r="N1252" s="300"/>
      <c r="O1252" s="300"/>
      <c r="P1252" s="300"/>
      <c r="Q1252" s="300"/>
      <c r="R1252" s="300"/>
      <c r="S1252" s="300"/>
      <c r="T1252" s="300"/>
      <c r="U1252" s="300"/>
      <c r="V1252" s="300"/>
      <c r="W1252" s="300"/>
      <c r="X1252" s="300"/>
      <c r="Y1252" s="300"/>
      <c r="Z1252" s="300"/>
    </row>
    <row r="1253" spans="1:26">
      <c r="A1253" s="215" t="s">
        <v>2683</v>
      </c>
      <c r="B1253" s="207">
        <v>1177</v>
      </c>
      <c r="C1253" s="215" t="s">
        <v>9239</v>
      </c>
      <c r="D1253" s="215" t="s">
        <v>9240</v>
      </c>
      <c r="E1253" s="215" t="s">
        <v>9241</v>
      </c>
      <c r="F1253" s="215" t="s">
        <v>9143</v>
      </c>
      <c r="G1253" s="215" t="s">
        <v>9144</v>
      </c>
      <c r="H1253" s="215" t="s">
        <v>6504</v>
      </c>
      <c r="I1253" s="300"/>
      <c r="J1253" s="300"/>
      <c r="K1253" s="300"/>
      <c r="L1253" s="300"/>
      <c r="M1253" s="300"/>
      <c r="N1253" s="300"/>
      <c r="O1253" s="300"/>
      <c r="P1253" s="300"/>
      <c r="Q1253" s="300"/>
      <c r="R1253" s="300"/>
      <c r="S1253" s="300"/>
      <c r="T1253" s="300"/>
      <c r="U1253" s="300"/>
      <c r="V1253" s="300"/>
      <c r="W1253" s="300"/>
      <c r="X1253" s="300"/>
      <c r="Y1253" s="300"/>
      <c r="Z1253" s="300"/>
    </row>
    <row r="1254" spans="1:26">
      <c r="A1254" s="215" t="s">
        <v>3678</v>
      </c>
      <c r="B1254" s="207">
        <v>1178</v>
      </c>
      <c r="C1254" s="215" t="s">
        <v>5443</v>
      </c>
      <c r="D1254" s="215" t="s">
        <v>9242</v>
      </c>
      <c r="E1254" s="215" t="s">
        <v>9243</v>
      </c>
      <c r="F1254" s="215" t="s">
        <v>9143</v>
      </c>
      <c r="G1254" s="215" t="s">
        <v>9144</v>
      </c>
      <c r="H1254" s="215" t="s">
        <v>6500</v>
      </c>
      <c r="I1254" s="300"/>
      <c r="J1254" s="300"/>
      <c r="K1254" s="300"/>
      <c r="L1254" s="300"/>
      <c r="M1254" s="300"/>
      <c r="N1254" s="300"/>
      <c r="O1254" s="300"/>
      <c r="P1254" s="300"/>
      <c r="Q1254" s="300"/>
      <c r="R1254" s="300"/>
      <c r="S1254" s="300"/>
      <c r="T1254" s="300"/>
      <c r="U1254" s="300"/>
      <c r="V1254" s="300"/>
      <c r="W1254" s="300"/>
      <c r="X1254" s="300"/>
      <c r="Y1254" s="300"/>
      <c r="Z1254" s="300"/>
    </row>
    <row r="1255" spans="1:26">
      <c r="A1255" s="215" t="s">
        <v>3163</v>
      </c>
      <c r="B1255" s="207">
        <v>1180</v>
      </c>
      <c r="C1255" s="215" t="s">
        <v>5297</v>
      </c>
      <c r="D1255" s="215" t="s">
        <v>9244</v>
      </c>
      <c r="E1255" s="215" t="s">
        <v>9244</v>
      </c>
      <c r="F1255" s="215" t="s">
        <v>9143</v>
      </c>
      <c r="G1255" s="215" t="s">
        <v>9144</v>
      </c>
      <c r="H1255" s="215" t="s">
        <v>6500</v>
      </c>
      <c r="I1255" s="300"/>
      <c r="J1255" s="300"/>
      <c r="K1255" s="300"/>
      <c r="L1255" s="300"/>
      <c r="M1255" s="300"/>
      <c r="N1255" s="300"/>
      <c r="O1255" s="300"/>
      <c r="P1255" s="300"/>
      <c r="Q1255" s="300"/>
      <c r="R1255" s="300"/>
      <c r="S1255" s="300"/>
      <c r="T1255" s="300"/>
      <c r="U1255" s="300"/>
      <c r="V1255" s="300"/>
      <c r="W1255" s="300"/>
      <c r="X1255" s="300"/>
      <c r="Y1255" s="300"/>
      <c r="Z1255" s="300"/>
    </row>
    <row r="1256" spans="1:26">
      <c r="A1256" s="215" t="s">
        <v>2786</v>
      </c>
      <c r="B1256" s="207">
        <v>1181</v>
      </c>
      <c r="C1256" s="215" t="s">
        <v>4948</v>
      </c>
      <c r="D1256" s="215" t="s">
        <v>9245</v>
      </c>
      <c r="E1256" s="215" t="s">
        <v>9246</v>
      </c>
      <c r="F1256" s="215" t="s">
        <v>9143</v>
      </c>
      <c r="G1256" s="215" t="s">
        <v>9144</v>
      </c>
      <c r="H1256" s="215" t="s">
        <v>6500</v>
      </c>
      <c r="I1256" s="300"/>
      <c r="J1256" s="300"/>
      <c r="K1256" s="300"/>
      <c r="L1256" s="300"/>
      <c r="M1256" s="300"/>
      <c r="N1256" s="300"/>
      <c r="O1256" s="300"/>
      <c r="P1256" s="300"/>
      <c r="Q1256" s="300"/>
      <c r="R1256" s="300"/>
      <c r="S1256" s="300"/>
      <c r="T1256" s="300"/>
      <c r="U1256" s="300"/>
      <c r="V1256" s="300"/>
      <c r="W1256" s="300"/>
      <c r="X1256" s="300"/>
      <c r="Y1256" s="300"/>
      <c r="Z1256" s="300"/>
    </row>
    <row r="1257" spans="1:26">
      <c r="A1257" s="215" t="s">
        <v>4021</v>
      </c>
      <c r="B1257" s="207">
        <v>1182</v>
      </c>
      <c r="C1257" s="215" t="s">
        <v>6047</v>
      </c>
      <c r="D1257" s="215" t="s">
        <v>9247</v>
      </c>
      <c r="E1257" s="215" t="s">
        <v>9248</v>
      </c>
      <c r="F1257" s="215" t="s">
        <v>9143</v>
      </c>
      <c r="G1257" s="215" t="s">
        <v>9144</v>
      </c>
      <c r="H1257" s="215" t="s">
        <v>6521</v>
      </c>
      <c r="I1257" s="300"/>
      <c r="J1257" s="300"/>
      <c r="K1257" s="300"/>
      <c r="L1257" s="300"/>
      <c r="M1257" s="300"/>
      <c r="N1257" s="300"/>
      <c r="O1257" s="300"/>
      <c r="P1257" s="300"/>
      <c r="Q1257" s="300"/>
      <c r="R1257" s="300"/>
      <c r="S1257" s="300"/>
      <c r="T1257" s="300"/>
      <c r="U1257" s="300"/>
      <c r="V1257" s="300"/>
      <c r="W1257" s="300"/>
      <c r="X1257" s="300"/>
      <c r="Y1257" s="300"/>
      <c r="Z1257" s="300"/>
    </row>
    <row r="1258" spans="1:26">
      <c r="A1258" s="215" t="s">
        <v>9249</v>
      </c>
      <c r="B1258" s="207">
        <v>1183</v>
      </c>
      <c r="C1258" s="215" t="s">
        <v>5444</v>
      </c>
      <c r="D1258" s="215" t="s">
        <v>9250</v>
      </c>
      <c r="E1258" s="215" t="s">
        <v>9251</v>
      </c>
      <c r="F1258" s="215" t="s">
        <v>9143</v>
      </c>
      <c r="G1258" s="215" t="s">
        <v>9144</v>
      </c>
      <c r="H1258" s="215" t="s">
        <v>6500</v>
      </c>
      <c r="I1258" s="300"/>
      <c r="J1258" s="300"/>
      <c r="K1258" s="300"/>
      <c r="L1258" s="300"/>
      <c r="M1258" s="300"/>
      <c r="N1258" s="300"/>
      <c r="O1258" s="300"/>
      <c r="P1258" s="300"/>
      <c r="Q1258" s="300"/>
      <c r="R1258" s="300"/>
      <c r="S1258" s="300"/>
      <c r="T1258" s="300"/>
      <c r="U1258" s="300"/>
      <c r="V1258" s="300"/>
      <c r="W1258" s="300"/>
      <c r="X1258" s="300"/>
      <c r="Y1258" s="300"/>
      <c r="Z1258" s="300"/>
    </row>
    <row r="1259" spans="1:26">
      <c r="A1259" s="215" t="s">
        <v>4483</v>
      </c>
      <c r="B1259" s="207">
        <v>1184</v>
      </c>
      <c r="C1259" s="215" t="s">
        <v>6408</v>
      </c>
      <c r="D1259" s="215" t="s">
        <v>9252</v>
      </c>
      <c r="E1259" s="215" t="s">
        <v>9252</v>
      </c>
      <c r="F1259" s="215" t="s">
        <v>9143</v>
      </c>
      <c r="G1259" s="215" t="s">
        <v>9144</v>
      </c>
      <c r="H1259" s="215" t="s">
        <v>6500</v>
      </c>
      <c r="I1259" s="300"/>
      <c r="J1259" s="300"/>
      <c r="K1259" s="300"/>
      <c r="L1259" s="300"/>
      <c r="M1259" s="300"/>
      <c r="N1259" s="300"/>
      <c r="O1259" s="300"/>
      <c r="P1259" s="300"/>
      <c r="Q1259" s="300"/>
      <c r="R1259" s="300"/>
      <c r="S1259" s="300"/>
      <c r="T1259" s="300"/>
      <c r="U1259" s="300"/>
      <c r="V1259" s="300"/>
      <c r="W1259" s="300"/>
      <c r="X1259" s="300"/>
      <c r="Y1259" s="300"/>
      <c r="Z1259" s="300"/>
    </row>
    <row r="1260" spans="1:26">
      <c r="A1260" s="215" t="s">
        <v>3505</v>
      </c>
      <c r="B1260" s="207">
        <v>1185</v>
      </c>
      <c r="C1260" s="215" t="s">
        <v>5611</v>
      </c>
      <c r="D1260" s="215" t="s">
        <v>9253</v>
      </c>
      <c r="E1260" s="215" t="s">
        <v>9254</v>
      </c>
      <c r="F1260" s="215" t="s">
        <v>9143</v>
      </c>
      <c r="G1260" s="215" t="s">
        <v>9144</v>
      </c>
      <c r="H1260" s="215" t="s">
        <v>6521</v>
      </c>
      <c r="I1260" s="300"/>
      <c r="J1260" s="300"/>
      <c r="K1260" s="300"/>
      <c r="L1260" s="300"/>
      <c r="M1260" s="300"/>
      <c r="N1260" s="300"/>
      <c r="O1260" s="300"/>
      <c r="P1260" s="300"/>
      <c r="Q1260" s="300"/>
      <c r="R1260" s="300"/>
      <c r="S1260" s="300"/>
      <c r="T1260" s="300"/>
      <c r="U1260" s="300"/>
      <c r="V1260" s="300"/>
      <c r="W1260" s="300"/>
      <c r="X1260" s="300"/>
      <c r="Y1260" s="300"/>
      <c r="Z1260" s="300"/>
    </row>
    <row r="1261" spans="1:26">
      <c r="A1261" s="215" t="s">
        <v>4459</v>
      </c>
      <c r="B1261" s="207">
        <v>1186</v>
      </c>
      <c r="C1261" s="215" t="s">
        <v>5024</v>
      </c>
      <c r="D1261" s="215" t="s">
        <v>9255</v>
      </c>
      <c r="E1261" s="215" t="s">
        <v>9255</v>
      </c>
      <c r="F1261" s="215" t="s">
        <v>9143</v>
      </c>
      <c r="G1261" s="215" t="s">
        <v>9144</v>
      </c>
      <c r="H1261" s="215" t="s">
        <v>6500</v>
      </c>
      <c r="I1261" s="300"/>
      <c r="J1261" s="300"/>
      <c r="K1261" s="300"/>
      <c r="L1261" s="300"/>
      <c r="M1261" s="300"/>
      <c r="N1261" s="300"/>
      <c r="O1261" s="300"/>
      <c r="P1261" s="300"/>
      <c r="Q1261" s="300"/>
      <c r="R1261" s="300"/>
      <c r="S1261" s="300"/>
      <c r="T1261" s="300"/>
      <c r="U1261" s="300"/>
      <c r="V1261" s="300"/>
      <c r="W1261" s="300"/>
      <c r="X1261" s="300"/>
      <c r="Y1261" s="300"/>
      <c r="Z1261" s="300"/>
    </row>
    <row r="1262" spans="1:26">
      <c r="A1262" s="215" t="s">
        <v>2802</v>
      </c>
      <c r="B1262" s="207">
        <v>1187</v>
      </c>
      <c r="C1262" s="215" t="s">
        <v>4968</v>
      </c>
      <c r="D1262" s="215" t="s">
        <v>9256</v>
      </c>
      <c r="E1262" s="215" t="s">
        <v>9256</v>
      </c>
      <c r="F1262" s="215" t="s">
        <v>9143</v>
      </c>
      <c r="G1262" s="215" t="s">
        <v>9144</v>
      </c>
      <c r="H1262" s="215" t="s">
        <v>6500</v>
      </c>
      <c r="I1262" s="300"/>
      <c r="J1262" s="300"/>
      <c r="K1262" s="300"/>
      <c r="L1262" s="300"/>
      <c r="M1262" s="300"/>
      <c r="N1262" s="300"/>
      <c r="O1262" s="300"/>
      <c r="P1262" s="300"/>
      <c r="Q1262" s="300"/>
      <c r="R1262" s="300"/>
      <c r="S1262" s="300"/>
      <c r="T1262" s="300"/>
      <c r="U1262" s="300"/>
      <c r="V1262" s="300"/>
      <c r="W1262" s="300"/>
      <c r="X1262" s="300"/>
      <c r="Y1262" s="300"/>
      <c r="Z1262" s="300"/>
    </row>
    <row r="1263" spans="1:26">
      <c r="A1263" s="215" t="s">
        <v>3420</v>
      </c>
      <c r="B1263" s="207">
        <v>1188</v>
      </c>
      <c r="C1263" s="215" t="s">
        <v>4974</v>
      </c>
      <c r="D1263" s="215" t="s">
        <v>9257</v>
      </c>
      <c r="E1263" s="215" t="s">
        <v>9257</v>
      </c>
      <c r="F1263" s="215" t="s">
        <v>9143</v>
      </c>
      <c r="G1263" s="215" t="s">
        <v>9144</v>
      </c>
      <c r="H1263" s="215" t="s">
        <v>6500</v>
      </c>
      <c r="I1263" s="300"/>
      <c r="J1263" s="300"/>
      <c r="K1263" s="300"/>
      <c r="L1263" s="300"/>
      <c r="M1263" s="300"/>
      <c r="N1263" s="300"/>
      <c r="O1263" s="300"/>
      <c r="P1263" s="300"/>
      <c r="Q1263" s="300"/>
      <c r="R1263" s="300"/>
      <c r="S1263" s="300"/>
      <c r="T1263" s="300"/>
      <c r="U1263" s="300"/>
      <c r="V1263" s="300"/>
      <c r="W1263" s="300"/>
      <c r="X1263" s="300"/>
      <c r="Y1263" s="300"/>
      <c r="Z1263" s="300"/>
    </row>
    <row r="1264" spans="1:26">
      <c r="A1264" s="215" t="s">
        <v>3238</v>
      </c>
      <c r="B1264" s="207">
        <v>1189</v>
      </c>
      <c r="C1264" s="215" t="s">
        <v>5370</v>
      </c>
      <c r="D1264" s="215" t="s">
        <v>9258</v>
      </c>
      <c r="E1264" s="215" t="s">
        <v>9259</v>
      </c>
      <c r="F1264" s="215" t="s">
        <v>9143</v>
      </c>
      <c r="G1264" s="215" t="s">
        <v>9144</v>
      </c>
      <c r="H1264" s="215" t="s">
        <v>6521</v>
      </c>
      <c r="I1264" s="300"/>
      <c r="J1264" s="300"/>
      <c r="K1264" s="300"/>
      <c r="L1264" s="300"/>
      <c r="M1264" s="300"/>
      <c r="N1264" s="300"/>
      <c r="O1264" s="300"/>
      <c r="P1264" s="300"/>
      <c r="Q1264" s="300"/>
      <c r="R1264" s="300"/>
      <c r="S1264" s="300"/>
      <c r="T1264" s="300"/>
      <c r="U1264" s="300"/>
      <c r="V1264" s="300"/>
      <c r="W1264" s="300"/>
      <c r="X1264" s="300"/>
      <c r="Y1264" s="300"/>
      <c r="Z1264" s="300"/>
    </row>
    <row r="1265" spans="1:26">
      <c r="A1265" s="215" t="s">
        <v>2518</v>
      </c>
      <c r="B1265" s="207">
        <v>1192</v>
      </c>
      <c r="C1265" s="215" t="s">
        <v>4789</v>
      </c>
      <c r="D1265" s="215" t="s">
        <v>9260</v>
      </c>
      <c r="E1265" s="215" t="s">
        <v>9260</v>
      </c>
      <c r="F1265" s="215" t="s">
        <v>9143</v>
      </c>
      <c r="G1265" s="215" t="s">
        <v>9144</v>
      </c>
      <c r="H1265" s="215" t="s">
        <v>6500</v>
      </c>
      <c r="I1265" s="300"/>
      <c r="J1265" s="300"/>
      <c r="K1265" s="300"/>
      <c r="L1265" s="300"/>
      <c r="M1265" s="300"/>
      <c r="N1265" s="300"/>
      <c r="O1265" s="300"/>
      <c r="P1265" s="300"/>
      <c r="Q1265" s="300"/>
      <c r="R1265" s="300"/>
      <c r="S1265" s="300"/>
      <c r="T1265" s="300"/>
      <c r="U1265" s="300"/>
      <c r="V1265" s="300"/>
      <c r="W1265" s="300"/>
      <c r="X1265" s="300"/>
      <c r="Y1265" s="300"/>
      <c r="Z1265" s="300"/>
    </row>
    <row r="1266" spans="1:26">
      <c r="A1266" s="215" t="s">
        <v>2908</v>
      </c>
      <c r="B1266" s="207">
        <v>1193</v>
      </c>
      <c r="C1266" s="215" t="s">
        <v>9261</v>
      </c>
      <c r="D1266" s="215" t="s">
        <v>9262</v>
      </c>
      <c r="E1266" s="215" t="s">
        <v>3972</v>
      </c>
      <c r="F1266" s="215" t="s">
        <v>9143</v>
      </c>
      <c r="G1266" s="215" t="s">
        <v>9144</v>
      </c>
      <c r="H1266" s="215" t="s">
        <v>6497</v>
      </c>
      <c r="I1266" s="300"/>
      <c r="J1266" s="300"/>
      <c r="K1266" s="300"/>
      <c r="L1266" s="300"/>
      <c r="M1266" s="300"/>
      <c r="N1266" s="300"/>
      <c r="O1266" s="300"/>
      <c r="P1266" s="300"/>
      <c r="Q1266" s="300"/>
      <c r="R1266" s="300"/>
      <c r="S1266" s="300"/>
      <c r="T1266" s="300"/>
      <c r="U1266" s="300"/>
      <c r="V1266" s="300"/>
      <c r="W1266" s="300"/>
      <c r="X1266" s="300"/>
      <c r="Y1266" s="300"/>
      <c r="Z1266" s="300"/>
    </row>
    <row r="1267" spans="1:26">
      <c r="A1267" s="215" t="s">
        <v>2859</v>
      </c>
      <c r="B1267" s="207">
        <v>1195</v>
      </c>
      <c r="C1267" s="215" t="s">
        <v>5025</v>
      </c>
      <c r="D1267" s="215" t="s">
        <v>9263</v>
      </c>
      <c r="E1267" s="215" t="s">
        <v>9264</v>
      </c>
      <c r="F1267" s="215" t="s">
        <v>9143</v>
      </c>
      <c r="G1267" s="215" t="s">
        <v>9144</v>
      </c>
      <c r="H1267" s="215" t="s">
        <v>6504</v>
      </c>
      <c r="I1267" s="300"/>
      <c r="J1267" s="300"/>
      <c r="K1267" s="300"/>
      <c r="L1267" s="300"/>
      <c r="M1267" s="300"/>
      <c r="N1267" s="300"/>
      <c r="O1267" s="300"/>
      <c r="P1267" s="300"/>
      <c r="Q1267" s="300"/>
      <c r="R1267" s="300"/>
      <c r="S1267" s="300"/>
      <c r="T1267" s="300"/>
      <c r="U1267" s="300"/>
      <c r="V1267" s="300"/>
      <c r="W1267" s="300"/>
      <c r="X1267" s="300"/>
      <c r="Y1267" s="300"/>
      <c r="Z1267" s="300"/>
    </row>
    <row r="1268" spans="1:26">
      <c r="A1268" s="215" t="s">
        <v>3003</v>
      </c>
      <c r="B1268" s="207">
        <v>1196</v>
      </c>
      <c r="C1268" s="215" t="s">
        <v>9265</v>
      </c>
      <c r="D1268" s="215" t="s">
        <v>9266</v>
      </c>
      <c r="E1268" s="215" t="s">
        <v>9267</v>
      </c>
      <c r="F1268" s="215" t="s">
        <v>9143</v>
      </c>
      <c r="G1268" s="215" t="s">
        <v>9144</v>
      </c>
      <c r="H1268" s="215" t="s">
        <v>6497</v>
      </c>
      <c r="I1268" s="300"/>
      <c r="J1268" s="300"/>
      <c r="K1268" s="300"/>
      <c r="L1268" s="300"/>
      <c r="M1268" s="300"/>
      <c r="N1268" s="300"/>
      <c r="O1268" s="300"/>
      <c r="P1268" s="300"/>
      <c r="Q1268" s="300"/>
      <c r="R1268" s="300"/>
      <c r="S1268" s="300"/>
      <c r="T1268" s="300"/>
      <c r="U1268" s="300"/>
      <c r="V1268" s="300"/>
      <c r="W1268" s="300"/>
      <c r="X1268" s="300"/>
      <c r="Y1268" s="300"/>
      <c r="Z1268" s="300"/>
    </row>
    <row r="1269" spans="1:26">
      <c r="A1269" s="215" t="s">
        <v>4224</v>
      </c>
      <c r="B1269" s="207">
        <v>1197</v>
      </c>
      <c r="C1269" s="215" t="s">
        <v>9268</v>
      </c>
      <c r="D1269" s="215" t="s">
        <v>9269</v>
      </c>
      <c r="E1269" s="215" t="s">
        <v>9270</v>
      </c>
      <c r="F1269" s="215" t="s">
        <v>9143</v>
      </c>
      <c r="G1269" s="215" t="s">
        <v>9144</v>
      </c>
      <c r="H1269" s="215" t="s">
        <v>6497</v>
      </c>
      <c r="I1269" s="300"/>
      <c r="J1269" s="300"/>
      <c r="K1269" s="300"/>
      <c r="L1269" s="300"/>
      <c r="M1269" s="300"/>
      <c r="N1269" s="300"/>
      <c r="O1269" s="300"/>
      <c r="P1269" s="300"/>
      <c r="Q1269" s="300"/>
      <c r="R1269" s="300"/>
      <c r="S1269" s="300"/>
      <c r="T1269" s="300"/>
      <c r="U1269" s="300"/>
      <c r="V1269" s="300"/>
      <c r="W1269" s="300"/>
      <c r="X1269" s="300"/>
      <c r="Y1269" s="300"/>
      <c r="Z1269" s="300"/>
    </row>
    <row r="1270" spans="1:26">
      <c r="A1270" s="215" t="s">
        <v>3738</v>
      </c>
      <c r="B1270" s="207">
        <v>1198</v>
      </c>
      <c r="C1270" s="215" t="s">
        <v>9271</v>
      </c>
      <c r="D1270" s="215" t="s">
        <v>9272</v>
      </c>
      <c r="E1270" s="215" t="s">
        <v>9273</v>
      </c>
      <c r="F1270" s="215" t="s">
        <v>9143</v>
      </c>
      <c r="G1270" s="215" t="s">
        <v>9144</v>
      </c>
      <c r="H1270" s="215" t="s">
        <v>6497</v>
      </c>
      <c r="I1270" s="300"/>
      <c r="J1270" s="300"/>
      <c r="K1270" s="300"/>
      <c r="L1270" s="300"/>
      <c r="M1270" s="300"/>
      <c r="N1270" s="300"/>
      <c r="O1270" s="300"/>
      <c r="P1270" s="300"/>
      <c r="Q1270" s="300"/>
      <c r="R1270" s="300"/>
      <c r="S1270" s="300"/>
      <c r="T1270" s="300"/>
      <c r="U1270" s="300"/>
      <c r="V1270" s="300"/>
      <c r="W1270" s="300"/>
      <c r="X1270" s="300"/>
      <c r="Y1270" s="300"/>
      <c r="Z1270" s="300"/>
    </row>
    <row r="1271" spans="1:26">
      <c r="A1271" s="215" t="s">
        <v>4086</v>
      </c>
      <c r="B1271" s="207">
        <v>1199</v>
      </c>
      <c r="C1271" s="215" t="s">
        <v>6100</v>
      </c>
      <c r="D1271" s="215" t="s">
        <v>9274</v>
      </c>
      <c r="E1271" s="215" t="s">
        <v>9275</v>
      </c>
      <c r="F1271" s="215" t="s">
        <v>9143</v>
      </c>
      <c r="G1271" s="215" t="s">
        <v>9144</v>
      </c>
      <c r="H1271" s="215" t="s">
        <v>6497</v>
      </c>
      <c r="I1271" s="300"/>
      <c r="J1271" s="300"/>
      <c r="K1271" s="300"/>
      <c r="L1271" s="300"/>
      <c r="M1271" s="300"/>
      <c r="N1271" s="300"/>
      <c r="O1271" s="300"/>
      <c r="P1271" s="300"/>
      <c r="Q1271" s="300"/>
      <c r="R1271" s="300"/>
      <c r="S1271" s="300"/>
      <c r="T1271" s="300"/>
      <c r="U1271" s="300"/>
      <c r="V1271" s="300"/>
      <c r="W1271" s="300"/>
      <c r="X1271" s="300"/>
      <c r="Y1271" s="300"/>
      <c r="Z1271" s="300"/>
    </row>
    <row r="1272" spans="1:26">
      <c r="A1272" s="215" t="s">
        <v>3759</v>
      </c>
      <c r="B1272" s="207">
        <v>1200</v>
      </c>
      <c r="C1272" s="215" t="s">
        <v>9276</v>
      </c>
      <c r="D1272" s="215" t="s">
        <v>9277</v>
      </c>
      <c r="E1272" s="215" t="s">
        <v>9278</v>
      </c>
      <c r="F1272" s="215" t="s">
        <v>9143</v>
      </c>
      <c r="G1272" s="215" t="s">
        <v>9144</v>
      </c>
      <c r="H1272" s="215" t="s">
        <v>6497</v>
      </c>
      <c r="I1272" s="300"/>
      <c r="J1272" s="300"/>
      <c r="K1272" s="300"/>
      <c r="L1272" s="300"/>
      <c r="M1272" s="300"/>
      <c r="N1272" s="300"/>
      <c r="O1272" s="300"/>
      <c r="P1272" s="300"/>
      <c r="Q1272" s="300"/>
      <c r="R1272" s="300"/>
      <c r="S1272" s="300"/>
      <c r="T1272" s="300"/>
      <c r="U1272" s="300"/>
      <c r="V1272" s="300"/>
      <c r="W1272" s="300"/>
      <c r="X1272" s="300"/>
      <c r="Y1272" s="300"/>
      <c r="Z1272" s="300"/>
    </row>
    <row r="1273" spans="1:26">
      <c r="A1273" s="215" t="s">
        <v>3759</v>
      </c>
      <c r="B1273" s="207">
        <v>1201</v>
      </c>
      <c r="C1273" s="215" t="s">
        <v>9279</v>
      </c>
      <c r="D1273" s="215" t="s">
        <v>9280</v>
      </c>
      <c r="E1273" s="215" t="s">
        <v>9280</v>
      </c>
      <c r="F1273" s="215" t="s">
        <v>9143</v>
      </c>
      <c r="G1273" s="215" t="s">
        <v>9144</v>
      </c>
      <c r="H1273" s="215" t="s">
        <v>6497</v>
      </c>
      <c r="I1273" s="300"/>
      <c r="J1273" s="300"/>
      <c r="K1273" s="300"/>
      <c r="L1273" s="300"/>
      <c r="M1273" s="300"/>
      <c r="N1273" s="300"/>
      <c r="O1273" s="300"/>
      <c r="P1273" s="300"/>
      <c r="Q1273" s="300"/>
      <c r="R1273" s="300"/>
      <c r="S1273" s="300"/>
      <c r="T1273" s="300"/>
      <c r="U1273" s="300"/>
      <c r="V1273" s="300"/>
      <c r="W1273" s="300"/>
      <c r="X1273" s="300"/>
      <c r="Y1273" s="300"/>
      <c r="Z1273" s="300"/>
    </row>
    <row r="1274" spans="1:26">
      <c r="A1274" s="215" t="s">
        <v>3324</v>
      </c>
      <c r="B1274" s="207">
        <v>1203</v>
      </c>
      <c r="C1274" s="215" t="s">
        <v>5453</v>
      </c>
      <c r="D1274" s="215" t="s">
        <v>9281</v>
      </c>
      <c r="E1274" s="215" t="s">
        <v>9282</v>
      </c>
      <c r="F1274" s="215" t="s">
        <v>9143</v>
      </c>
      <c r="G1274" s="215" t="s">
        <v>9144</v>
      </c>
      <c r="H1274" s="215" t="s">
        <v>6500</v>
      </c>
      <c r="I1274" s="300"/>
      <c r="J1274" s="300"/>
      <c r="K1274" s="300"/>
      <c r="L1274" s="300"/>
      <c r="M1274" s="300"/>
      <c r="N1274" s="300"/>
      <c r="O1274" s="300"/>
      <c r="P1274" s="300"/>
      <c r="Q1274" s="300"/>
      <c r="R1274" s="300"/>
      <c r="S1274" s="300"/>
      <c r="T1274" s="300"/>
      <c r="U1274" s="300"/>
      <c r="V1274" s="300"/>
      <c r="W1274" s="300"/>
      <c r="X1274" s="300"/>
      <c r="Y1274" s="300"/>
      <c r="Z1274" s="300"/>
    </row>
    <row r="1275" spans="1:26">
      <c r="A1275" s="215" t="s">
        <v>3384</v>
      </c>
      <c r="B1275" s="207">
        <v>1204</v>
      </c>
      <c r="C1275" s="215" t="s">
        <v>5505</v>
      </c>
      <c r="D1275" s="215" t="s">
        <v>9283</v>
      </c>
      <c r="E1275" s="215" t="s">
        <v>9284</v>
      </c>
      <c r="F1275" s="215" t="s">
        <v>9143</v>
      </c>
      <c r="G1275" s="215" t="s">
        <v>9144</v>
      </c>
      <c r="H1275" s="215" t="s">
        <v>6521</v>
      </c>
      <c r="I1275" s="300"/>
      <c r="J1275" s="300"/>
      <c r="K1275" s="300"/>
      <c r="L1275" s="300"/>
      <c r="M1275" s="300"/>
      <c r="N1275" s="300"/>
      <c r="O1275" s="300"/>
      <c r="P1275" s="300"/>
      <c r="Q1275" s="300"/>
      <c r="R1275" s="300"/>
      <c r="S1275" s="300"/>
      <c r="T1275" s="300"/>
      <c r="U1275" s="300"/>
      <c r="V1275" s="300"/>
      <c r="W1275" s="300"/>
      <c r="X1275" s="300"/>
      <c r="Y1275" s="300"/>
      <c r="Z1275" s="300"/>
    </row>
    <row r="1276" spans="1:26">
      <c r="A1276" s="215" t="s">
        <v>4135</v>
      </c>
      <c r="B1276" s="207">
        <v>1205</v>
      </c>
      <c r="C1276" s="215" t="s">
        <v>6127</v>
      </c>
      <c r="D1276" s="215" t="s">
        <v>9285</v>
      </c>
      <c r="E1276" s="215" t="s">
        <v>9285</v>
      </c>
      <c r="F1276" s="215" t="s">
        <v>9143</v>
      </c>
      <c r="G1276" s="215" t="s">
        <v>9144</v>
      </c>
      <c r="H1276" s="215" t="s">
        <v>6521</v>
      </c>
      <c r="I1276" s="300"/>
      <c r="J1276" s="300"/>
      <c r="K1276" s="300"/>
      <c r="L1276" s="300"/>
      <c r="M1276" s="300"/>
      <c r="N1276" s="300"/>
      <c r="O1276" s="300"/>
      <c r="P1276" s="300"/>
      <c r="Q1276" s="300"/>
      <c r="R1276" s="300"/>
      <c r="S1276" s="300"/>
      <c r="T1276" s="300"/>
      <c r="U1276" s="300"/>
      <c r="V1276" s="300"/>
      <c r="W1276" s="300"/>
      <c r="X1276" s="300"/>
      <c r="Y1276" s="300"/>
      <c r="Z1276" s="300"/>
    </row>
    <row r="1277" spans="1:26">
      <c r="A1277" s="215" t="s">
        <v>3895</v>
      </c>
      <c r="B1277" s="207">
        <v>1206</v>
      </c>
      <c r="C1277" s="215" t="s">
        <v>5954</v>
      </c>
      <c r="D1277" s="215" t="s">
        <v>9286</v>
      </c>
      <c r="E1277" s="215" t="s">
        <v>9287</v>
      </c>
      <c r="F1277" s="215" t="s">
        <v>9143</v>
      </c>
      <c r="G1277" s="215" t="s">
        <v>9144</v>
      </c>
      <c r="H1277" s="215" t="s">
        <v>6500</v>
      </c>
      <c r="I1277" s="300"/>
      <c r="J1277" s="300"/>
      <c r="K1277" s="300"/>
      <c r="L1277" s="300"/>
      <c r="M1277" s="300"/>
      <c r="N1277" s="300"/>
      <c r="O1277" s="300"/>
      <c r="P1277" s="300"/>
      <c r="Q1277" s="300"/>
      <c r="R1277" s="300"/>
      <c r="S1277" s="300"/>
      <c r="T1277" s="300"/>
      <c r="U1277" s="300"/>
      <c r="V1277" s="300"/>
      <c r="W1277" s="300"/>
      <c r="X1277" s="300"/>
      <c r="Y1277" s="300"/>
      <c r="Z1277" s="300"/>
    </row>
    <row r="1278" spans="1:26">
      <c r="A1278" s="215" t="s">
        <v>2787</v>
      </c>
      <c r="B1278" s="207">
        <v>1207</v>
      </c>
      <c r="C1278" s="215" t="s">
        <v>4949</v>
      </c>
      <c r="D1278" s="215" t="s">
        <v>9288</v>
      </c>
      <c r="E1278" s="215" t="s">
        <v>9288</v>
      </c>
      <c r="F1278" s="215" t="s">
        <v>9143</v>
      </c>
      <c r="G1278" s="215" t="s">
        <v>9144</v>
      </c>
      <c r="H1278" s="215" t="s">
        <v>6504</v>
      </c>
      <c r="I1278" s="300"/>
      <c r="J1278" s="300"/>
      <c r="K1278" s="300"/>
      <c r="L1278" s="300"/>
      <c r="M1278" s="300"/>
      <c r="N1278" s="300"/>
      <c r="O1278" s="300"/>
      <c r="P1278" s="300"/>
      <c r="Q1278" s="300"/>
      <c r="R1278" s="300"/>
      <c r="S1278" s="300"/>
      <c r="T1278" s="300"/>
      <c r="U1278" s="300"/>
      <c r="V1278" s="300"/>
      <c r="W1278" s="300"/>
      <c r="X1278" s="300"/>
      <c r="Y1278" s="300"/>
      <c r="Z1278" s="300"/>
    </row>
    <row r="1279" spans="1:26">
      <c r="A1279" s="215" t="s">
        <v>3129</v>
      </c>
      <c r="B1279" s="207">
        <v>1208</v>
      </c>
      <c r="C1279" s="215" t="s">
        <v>5268</v>
      </c>
      <c r="D1279" s="215" t="s">
        <v>9289</v>
      </c>
      <c r="E1279" s="215" t="s">
        <v>9290</v>
      </c>
      <c r="F1279" s="215" t="s">
        <v>9143</v>
      </c>
      <c r="G1279" s="215" t="s">
        <v>9144</v>
      </c>
      <c r="H1279" s="215" t="s">
        <v>6521</v>
      </c>
      <c r="I1279" s="300"/>
      <c r="J1279" s="300"/>
      <c r="K1279" s="300"/>
      <c r="L1279" s="300"/>
      <c r="M1279" s="300"/>
      <c r="N1279" s="300"/>
      <c r="O1279" s="300"/>
      <c r="P1279" s="300"/>
      <c r="Q1279" s="300"/>
      <c r="R1279" s="300"/>
      <c r="S1279" s="300"/>
      <c r="T1279" s="300"/>
      <c r="U1279" s="300"/>
      <c r="V1279" s="300"/>
      <c r="W1279" s="300"/>
      <c r="X1279" s="300"/>
      <c r="Y1279" s="300"/>
      <c r="Z1279" s="300"/>
    </row>
    <row r="1280" spans="1:26">
      <c r="A1280" s="215" t="s">
        <v>3127</v>
      </c>
      <c r="B1280" s="207">
        <v>1209</v>
      </c>
      <c r="C1280" s="215" t="s">
        <v>9291</v>
      </c>
      <c r="D1280" s="215" t="s">
        <v>9292</v>
      </c>
      <c r="E1280" s="215" t="s">
        <v>9293</v>
      </c>
      <c r="F1280" s="215" t="s">
        <v>9143</v>
      </c>
      <c r="G1280" s="215" t="s">
        <v>9144</v>
      </c>
      <c r="H1280" s="215" t="s">
        <v>6504</v>
      </c>
      <c r="I1280" s="300"/>
      <c r="J1280" s="300"/>
      <c r="K1280" s="300"/>
      <c r="L1280" s="300"/>
      <c r="M1280" s="300"/>
      <c r="N1280" s="300"/>
      <c r="O1280" s="300"/>
      <c r="P1280" s="300"/>
      <c r="Q1280" s="300"/>
      <c r="R1280" s="300"/>
      <c r="S1280" s="300"/>
      <c r="T1280" s="300"/>
      <c r="U1280" s="300"/>
      <c r="V1280" s="300"/>
      <c r="W1280" s="300"/>
      <c r="X1280" s="300"/>
      <c r="Y1280" s="300"/>
      <c r="Z1280" s="300"/>
    </row>
    <row r="1281" spans="1:26">
      <c r="A1281" s="215" t="s">
        <v>3374</v>
      </c>
      <c r="B1281" s="207">
        <v>1210</v>
      </c>
      <c r="C1281" s="215" t="s">
        <v>5495</v>
      </c>
      <c r="D1281" s="215" t="s">
        <v>9294</v>
      </c>
      <c r="E1281" s="215" t="s">
        <v>9295</v>
      </c>
      <c r="F1281" s="215" t="s">
        <v>9143</v>
      </c>
      <c r="G1281" s="215" t="s">
        <v>9144</v>
      </c>
      <c r="H1281" s="215" t="s">
        <v>6521</v>
      </c>
      <c r="I1281" s="300"/>
      <c r="J1281" s="300"/>
      <c r="K1281" s="300"/>
      <c r="L1281" s="300"/>
      <c r="M1281" s="300"/>
      <c r="N1281" s="300"/>
      <c r="O1281" s="300"/>
      <c r="P1281" s="300"/>
      <c r="Q1281" s="300"/>
      <c r="R1281" s="300"/>
      <c r="S1281" s="300"/>
      <c r="T1281" s="300"/>
      <c r="U1281" s="300"/>
      <c r="V1281" s="300"/>
      <c r="W1281" s="300"/>
      <c r="X1281" s="300"/>
      <c r="Y1281" s="300"/>
      <c r="Z1281" s="300"/>
    </row>
    <row r="1282" spans="1:26">
      <c r="A1282" s="215" t="s">
        <v>9296</v>
      </c>
      <c r="B1282" s="207">
        <v>1211</v>
      </c>
      <c r="C1282" s="215" t="s">
        <v>5761</v>
      </c>
      <c r="D1282" s="215" t="s">
        <v>9297</v>
      </c>
      <c r="E1282" s="215" t="s">
        <v>9298</v>
      </c>
      <c r="F1282" s="215" t="s">
        <v>9143</v>
      </c>
      <c r="G1282" s="215" t="s">
        <v>9144</v>
      </c>
      <c r="H1282" s="215" t="s">
        <v>6521</v>
      </c>
      <c r="I1282" s="300"/>
      <c r="J1282" s="300"/>
      <c r="K1282" s="300"/>
      <c r="L1282" s="300"/>
      <c r="M1282" s="300"/>
      <c r="N1282" s="300"/>
      <c r="O1282" s="300"/>
      <c r="P1282" s="300"/>
      <c r="Q1282" s="300"/>
      <c r="R1282" s="300"/>
      <c r="S1282" s="300"/>
      <c r="T1282" s="300"/>
      <c r="U1282" s="300"/>
      <c r="V1282" s="300"/>
      <c r="W1282" s="300"/>
      <c r="X1282" s="300"/>
      <c r="Y1282" s="300"/>
      <c r="Z1282" s="300"/>
    </row>
    <row r="1283" spans="1:26">
      <c r="A1283" s="215" t="s">
        <v>3230</v>
      </c>
      <c r="B1283" s="207">
        <v>1212</v>
      </c>
      <c r="C1283" s="215" t="s">
        <v>5122</v>
      </c>
      <c r="D1283" s="215" t="s">
        <v>9299</v>
      </c>
      <c r="E1283" s="215" t="s">
        <v>9299</v>
      </c>
      <c r="F1283" s="215" t="s">
        <v>9143</v>
      </c>
      <c r="G1283" s="215" t="s">
        <v>9144</v>
      </c>
      <c r="H1283" s="215" t="s">
        <v>6521</v>
      </c>
      <c r="I1283" s="300"/>
      <c r="J1283" s="300"/>
      <c r="K1283" s="300"/>
      <c r="L1283" s="300"/>
      <c r="M1283" s="300"/>
      <c r="N1283" s="300"/>
      <c r="O1283" s="300"/>
      <c r="P1283" s="300"/>
      <c r="Q1283" s="300"/>
      <c r="R1283" s="300"/>
      <c r="S1283" s="300"/>
      <c r="T1283" s="300"/>
      <c r="U1283" s="300"/>
      <c r="V1283" s="300"/>
      <c r="W1283" s="300"/>
      <c r="X1283" s="300"/>
      <c r="Y1283" s="300"/>
      <c r="Z1283" s="300"/>
    </row>
    <row r="1284" spans="1:26">
      <c r="A1284" s="215" t="s">
        <v>9300</v>
      </c>
      <c r="B1284" s="207">
        <v>1213</v>
      </c>
      <c r="C1284" s="215" t="s">
        <v>6320</v>
      </c>
      <c r="D1284" s="215" t="s">
        <v>9301</v>
      </c>
      <c r="E1284" s="215" t="s">
        <v>9301</v>
      </c>
      <c r="F1284" s="215" t="s">
        <v>9143</v>
      </c>
      <c r="G1284" s="215" t="s">
        <v>9144</v>
      </c>
      <c r="H1284" s="215" t="s">
        <v>6521</v>
      </c>
      <c r="I1284" s="300"/>
      <c r="J1284" s="300"/>
      <c r="K1284" s="300"/>
      <c r="L1284" s="300"/>
      <c r="M1284" s="300"/>
      <c r="N1284" s="300"/>
      <c r="O1284" s="300"/>
      <c r="P1284" s="300"/>
      <c r="Q1284" s="300"/>
      <c r="R1284" s="300"/>
      <c r="S1284" s="300"/>
      <c r="T1284" s="300"/>
      <c r="U1284" s="300"/>
      <c r="V1284" s="300"/>
      <c r="W1284" s="300"/>
      <c r="X1284" s="300"/>
      <c r="Y1284" s="300"/>
      <c r="Z1284" s="300"/>
    </row>
    <row r="1285" spans="1:26">
      <c r="A1285" s="215" t="s">
        <v>2803</v>
      </c>
      <c r="B1285" s="207">
        <v>1214</v>
      </c>
      <c r="C1285" s="215" t="s">
        <v>4969</v>
      </c>
      <c r="D1285" s="215" t="s">
        <v>9302</v>
      </c>
      <c r="E1285" s="215" t="s">
        <v>9302</v>
      </c>
      <c r="F1285" s="215" t="s">
        <v>9143</v>
      </c>
      <c r="G1285" s="215" t="s">
        <v>9144</v>
      </c>
      <c r="H1285" s="215" t="s">
        <v>6497</v>
      </c>
      <c r="I1285" s="300"/>
      <c r="J1285" s="300"/>
      <c r="K1285" s="300"/>
      <c r="L1285" s="300"/>
      <c r="M1285" s="300"/>
      <c r="N1285" s="300"/>
      <c r="O1285" s="300"/>
      <c r="P1285" s="300"/>
      <c r="Q1285" s="300"/>
      <c r="R1285" s="300"/>
      <c r="S1285" s="300"/>
      <c r="T1285" s="300"/>
      <c r="U1285" s="300"/>
      <c r="V1285" s="300"/>
      <c r="W1285" s="300"/>
      <c r="X1285" s="300"/>
      <c r="Y1285" s="300"/>
      <c r="Z1285" s="300"/>
    </row>
    <row r="1286" spans="1:26">
      <c r="A1286" s="215" t="s">
        <v>2935</v>
      </c>
      <c r="B1286" s="207">
        <v>1215</v>
      </c>
      <c r="C1286" s="215" t="s">
        <v>5094</v>
      </c>
      <c r="D1286" s="215" t="s">
        <v>9303</v>
      </c>
      <c r="E1286" s="215" t="s">
        <v>9303</v>
      </c>
      <c r="F1286" s="215" t="s">
        <v>9143</v>
      </c>
      <c r="G1286" s="215" t="s">
        <v>9144</v>
      </c>
      <c r="H1286" s="215" t="s">
        <v>6521</v>
      </c>
      <c r="I1286" s="300"/>
      <c r="J1286" s="300"/>
      <c r="K1286" s="300"/>
      <c r="L1286" s="300"/>
      <c r="M1286" s="300"/>
      <c r="N1286" s="300"/>
      <c r="O1286" s="300"/>
      <c r="P1286" s="300"/>
      <c r="Q1286" s="300"/>
      <c r="R1286" s="300"/>
      <c r="S1286" s="300"/>
      <c r="T1286" s="300"/>
      <c r="U1286" s="300"/>
      <c r="V1286" s="300"/>
      <c r="W1286" s="300"/>
      <c r="X1286" s="300"/>
      <c r="Y1286" s="300"/>
      <c r="Z1286" s="300"/>
    </row>
    <row r="1287" spans="1:26">
      <c r="A1287" s="215" t="s">
        <v>4302</v>
      </c>
      <c r="B1287" s="207">
        <v>1216</v>
      </c>
      <c r="C1287" s="215" t="s">
        <v>6262</v>
      </c>
      <c r="D1287" s="215" t="s">
        <v>9304</v>
      </c>
      <c r="E1287" s="215" t="s">
        <v>9304</v>
      </c>
      <c r="F1287" s="215" t="s">
        <v>9143</v>
      </c>
      <c r="G1287" s="215" t="s">
        <v>9144</v>
      </c>
      <c r="H1287" s="215" t="s">
        <v>6500</v>
      </c>
      <c r="I1287" s="300"/>
      <c r="J1287" s="300"/>
      <c r="K1287" s="300"/>
      <c r="L1287" s="300"/>
      <c r="M1287" s="300"/>
      <c r="N1287" s="300"/>
      <c r="O1287" s="300"/>
      <c r="P1287" s="300"/>
      <c r="Q1287" s="300"/>
      <c r="R1287" s="300"/>
      <c r="S1287" s="300"/>
      <c r="T1287" s="300"/>
      <c r="U1287" s="300"/>
      <c r="V1287" s="300"/>
      <c r="W1287" s="300"/>
      <c r="X1287" s="300"/>
      <c r="Y1287" s="300"/>
      <c r="Z1287" s="300"/>
    </row>
    <row r="1288" spans="1:26">
      <c r="A1288" s="215" t="s">
        <v>2717</v>
      </c>
      <c r="B1288" s="207">
        <v>1217</v>
      </c>
      <c r="C1288" s="215" t="s">
        <v>9305</v>
      </c>
      <c r="D1288" s="215" t="s">
        <v>9306</v>
      </c>
      <c r="E1288" s="215" t="s">
        <v>9306</v>
      </c>
      <c r="F1288" s="215" t="s">
        <v>9143</v>
      </c>
      <c r="G1288" s="215" t="s">
        <v>9144</v>
      </c>
      <c r="H1288" s="215" t="s">
        <v>6500</v>
      </c>
      <c r="I1288" s="300"/>
      <c r="J1288" s="300"/>
      <c r="K1288" s="300"/>
      <c r="L1288" s="300"/>
      <c r="M1288" s="300"/>
      <c r="N1288" s="300"/>
      <c r="O1288" s="300"/>
      <c r="P1288" s="300"/>
      <c r="Q1288" s="300"/>
      <c r="R1288" s="300"/>
      <c r="S1288" s="300"/>
      <c r="T1288" s="300"/>
      <c r="U1288" s="300"/>
      <c r="V1288" s="300"/>
      <c r="W1288" s="300"/>
      <c r="X1288" s="300"/>
      <c r="Y1288" s="300"/>
      <c r="Z1288" s="300"/>
    </row>
    <row r="1289" spans="1:26">
      <c r="A1289" s="215" t="s">
        <v>3373</v>
      </c>
      <c r="B1289" s="207">
        <v>1218</v>
      </c>
      <c r="C1289" s="215" t="s">
        <v>5494</v>
      </c>
      <c r="D1289" s="215" t="s">
        <v>9307</v>
      </c>
      <c r="E1289" s="215" t="s">
        <v>9307</v>
      </c>
      <c r="F1289" s="215" t="s">
        <v>9143</v>
      </c>
      <c r="G1289" s="215" t="s">
        <v>9144</v>
      </c>
      <c r="H1289" s="215" t="s">
        <v>6521</v>
      </c>
      <c r="I1289" s="300"/>
      <c r="J1289" s="300"/>
      <c r="K1289" s="300"/>
      <c r="L1289" s="300"/>
      <c r="M1289" s="300"/>
      <c r="N1289" s="300"/>
      <c r="O1289" s="300"/>
      <c r="P1289" s="300"/>
      <c r="Q1289" s="300"/>
      <c r="R1289" s="300"/>
      <c r="S1289" s="300"/>
      <c r="T1289" s="300"/>
      <c r="U1289" s="300"/>
      <c r="V1289" s="300"/>
      <c r="W1289" s="300"/>
      <c r="X1289" s="300"/>
      <c r="Y1289" s="300"/>
      <c r="Z1289" s="300"/>
    </row>
    <row r="1290" spans="1:26">
      <c r="A1290" s="215" t="s">
        <v>2518</v>
      </c>
      <c r="B1290" s="207">
        <v>1220</v>
      </c>
      <c r="C1290" s="215" t="s">
        <v>4793</v>
      </c>
      <c r="D1290" s="215" t="s">
        <v>9308</v>
      </c>
      <c r="E1290" s="215" t="s">
        <v>9308</v>
      </c>
      <c r="F1290" s="215" t="s">
        <v>9143</v>
      </c>
      <c r="G1290" s="215" t="s">
        <v>9144</v>
      </c>
      <c r="H1290" s="215" t="s">
        <v>6497</v>
      </c>
      <c r="I1290" s="300"/>
      <c r="J1290" s="300"/>
      <c r="K1290" s="300"/>
      <c r="L1290" s="300"/>
      <c r="M1290" s="300"/>
      <c r="N1290" s="300"/>
      <c r="O1290" s="300"/>
      <c r="P1290" s="300"/>
      <c r="Q1290" s="300"/>
      <c r="R1290" s="300"/>
      <c r="S1290" s="300"/>
      <c r="T1290" s="300"/>
      <c r="U1290" s="300"/>
      <c r="V1290" s="300"/>
      <c r="W1290" s="300"/>
      <c r="X1290" s="300"/>
      <c r="Y1290" s="300"/>
      <c r="Z1290" s="300"/>
    </row>
    <row r="1291" spans="1:26">
      <c r="A1291" s="215" t="s">
        <v>3913</v>
      </c>
      <c r="B1291" s="207">
        <v>1222</v>
      </c>
      <c r="C1291" s="215" t="s">
        <v>5963</v>
      </c>
      <c r="D1291" s="215" t="s">
        <v>9309</v>
      </c>
      <c r="E1291" s="215" t="s">
        <v>9310</v>
      </c>
      <c r="F1291" s="215" t="s">
        <v>9143</v>
      </c>
      <c r="G1291" s="215" t="s">
        <v>9144</v>
      </c>
      <c r="H1291" s="215" t="s">
        <v>6504</v>
      </c>
      <c r="I1291" s="300"/>
      <c r="J1291" s="300"/>
      <c r="K1291" s="300"/>
      <c r="L1291" s="300"/>
      <c r="M1291" s="300"/>
      <c r="N1291" s="300"/>
      <c r="O1291" s="300"/>
      <c r="P1291" s="300"/>
      <c r="Q1291" s="300"/>
      <c r="R1291" s="300"/>
      <c r="S1291" s="300"/>
      <c r="T1291" s="300"/>
      <c r="U1291" s="300"/>
      <c r="V1291" s="300"/>
      <c r="W1291" s="300"/>
      <c r="X1291" s="300"/>
      <c r="Y1291" s="300"/>
      <c r="Z1291" s="300"/>
    </row>
    <row r="1292" spans="1:26">
      <c r="A1292" s="215"/>
      <c r="B1292" s="207">
        <v>1223</v>
      </c>
      <c r="C1292" s="215" t="s">
        <v>5577</v>
      </c>
      <c r="D1292" s="215" t="s">
        <v>9311</v>
      </c>
      <c r="E1292" s="215" t="s">
        <v>9312</v>
      </c>
      <c r="F1292" s="215" t="s">
        <v>9143</v>
      </c>
      <c r="G1292" s="215" t="s">
        <v>9144</v>
      </c>
      <c r="H1292" s="215" t="s">
        <v>6497</v>
      </c>
      <c r="I1292" s="300"/>
      <c r="J1292" s="300"/>
      <c r="K1292" s="300"/>
      <c r="L1292" s="300"/>
      <c r="M1292" s="300"/>
      <c r="N1292" s="300"/>
      <c r="O1292" s="300"/>
      <c r="P1292" s="300"/>
      <c r="Q1292" s="300"/>
      <c r="R1292" s="300"/>
      <c r="S1292" s="300"/>
      <c r="T1292" s="300"/>
      <c r="U1292" s="300"/>
      <c r="V1292" s="300"/>
      <c r="W1292" s="300"/>
      <c r="X1292" s="300"/>
      <c r="Y1292" s="300"/>
      <c r="Z1292" s="300"/>
    </row>
    <row r="1293" spans="1:26">
      <c r="A1293" s="215"/>
      <c r="B1293" s="207">
        <v>1224</v>
      </c>
      <c r="C1293" s="215" t="s">
        <v>9313</v>
      </c>
      <c r="D1293" s="215" t="s">
        <v>9314</v>
      </c>
      <c r="E1293" s="215" t="s">
        <v>9315</v>
      </c>
      <c r="F1293" s="215" t="s">
        <v>9143</v>
      </c>
      <c r="G1293" s="215" t="s">
        <v>9144</v>
      </c>
      <c r="H1293" s="215" t="s">
        <v>6497</v>
      </c>
      <c r="I1293" s="300"/>
      <c r="J1293" s="300"/>
      <c r="K1293" s="300"/>
      <c r="L1293" s="300"/>
      <c r="M1293" s="300"/>
      <c r="N1293" s="300"/>
      <c r="O1293" s="300"/>
      <c r="P1293" s="300"/>
      <c r="Q1293" s="300"/>
      <c r="R1293" s="300"/>
      <c r="S1293" s="300"/>
      <c r="T1293" s="300"/>
      <c r="U1293" s="300"/>
      <c r="V1293" s="300"/>
      <c r="W1293" s="300"/>
      <c r="X1293" s="300"/>
      <c r="Y1293" s="300"/>
      <c r="Z1293" s="300"/>
    </row>
    <row r="1294" spans="1:26">
      <c r="A1294" s="215" t="s">
        <v>2638</v>
      </c>
      <c r="B1294" s="207">
        <v>1225</v>
      </c>
      <c r="C1294" s="215" t="s">
        <v>4818</v>
      </c>
      <c r="D1294" s="215" t="s">
        <v>9316</v>
      </c>
      <c r="E1294" s="215" t="s">
        <v>9317</v>
      </c>
      <c r="F1294" s="215" t="s">
        <v>9143</v>
      </c>
      <c r="G1294" s="215" t="s">
        <v>9144</v>
      </c>
      <c r="H1294" s="215" t="s">
        <v>6504</v>
      </c>
      <c r="I1294" s="300"/>
      <c r="J1294" s="300"/>
      <c r="K1294" s="300"/>
      <c r="L1294" s="300"/>
      <c r="M1294" s="300"/>
      <c r="N1294" s="300"/>
      <c r="O1294" s="300"/>
      <c r="P1294" s="300"/>
      <c r="Q1294" s="300"/>
      <c r="R1294" s="300"/>
      <c r="S1294" s="300"/>
      <c r="T1294" s="300"/>
      <c r="U1294" s="300"/>
      <c r="V1294" s="300"/>
      <c r="W1294" s="300"/>
      <c r="X1294" s="300"/>
      <c r="Y1294" s="300"/>
      <c r="Z1294" s="300"/>
    </row>
    <row r="1295" spans="1:26">
      <c r="A1295" s="215"/>
      <c r="B1295" s="207">
        <v>1226</v>
      </c>
      <c r="C1295" s="215" t="s">
        <v>5670</v>
      </c>
      <c r="D1295" s="215" t="s">
        <v>7446</v>
      </c>
      <c r="E1295" s="215" t="s">
        <v>9318</v>
      </c>
      <c r="F1295" s="215" t="s">
        <v>9143</v>
      </c>
      <c r="G1295" s="215" t="s">
        <v>9144</v>
      </c>
      <c r="H1295" s="215" t="s">
        <v>6500</v>
      </c>
      <c r="I1295" s="300"/>
      <c r="J1295" s="300"/>
      <c r="K1295" s="300"/>
      <c r="L1295" s="300"/>
      <c r="M1295" s="300"/>
      <c r="N1295" s="300"/>
      <c r="O1295" s="300"/>
      <c r="P1295" s="300"/>
      <c r="Q1295" s="300"/>
      <c r="R1295" s="300"/>
      <c r="S1295" s="300"/>
      <c r="T1295" s="300"/>
      <c r="U1295" s="300"/>
      <c r="V1295" s="300"/>
      <c r="W1295" s="300"/>
      <c r="X1295" s="300"/>
      <c r="Y1295" s="300"/>
      <c r="Z1295" s="300"/>
    </row>
    <row r="1296" spans="1:26">
      <c r="A1296" s="215" t="s">
        <v>3643</v>
      </c>
      <c r="B1296" s="207">
        <v>1227</v>
      </c>
      <c r="C1296" s="215" t="s">
        <v>5740</v>
      </c>
      <c r="D1296" s="215" t="s">
        <v>9319</v>
      </c>
      <c r="E1296" s="215" t="s">
        <v>9320</v>
      </c>
      <c r="F1296" s="215" t="s">
        <v>9143</v>
      </c>
      <c r="G1296" s="215" t="s">
        <v>9144</v>
      </c>
      <c r="H1296" s="215" t="s">
        <v>6521</v>
      </c>
      <c r="I1296" s="300"/>
      <c r="J1296" s="300"/>
      <c r="K1296" s="300"/>
      <c r="L1296" s="300"/>
      <c r="M1296" s="300"/>
      <c r="N1296" s="300"/>
      <c r="O1296" s="300"/>
      <c r="P1296" s="300"/>
      <c r="Q1296" s="300"/>
      <c r="R1296" s="300"/>
      <c r="S1296" s="300"/>
      <c r="T1296" s="300"/>
      <c r="U1296" s="300"/>
      <c r="V1296" s="300"/>
      <c r="W1296" s="300"/>
      <c r="X1296" s="300"/>
      <c r="Y1296" s="300"/>
      <c r="Z1296" s="300"/>
    </row>
    <row r="1297" spans="1:26">
      <c r="A1297" s="215" t="s">
        <v>2859</v>
      </c>
      <c r="B1297" s="207">
        <v>1229</v>
      </c>
      <c r="C1297" s="215" t="s">
        <v>4998</v>
      </c>
      <c r="D1297" s="215" t="s">
        <v>9264</v>
      </c>
      <c r="E1297" s="215" t="s">
        <v>9264</v>
      </c>
      <c r="F1297" s="215" t="s">
        <v>9143</v>
      </c>
      <c r="G1297" s="215" t="s">
        <v>9144</v>
      </c>
      <c r="H1297" s="215" t="s">
        <v>6521</v>
      </c>
      <c r="I1297" s="300"/>
      <c r="J1297" s="300"/>
      <c r="K1297" s="300"/>
      <c r="L1297" s="300"/>
      <c r="M1297" s="300"/>
      <c r="N1297" s="300"/>
      <c r="O1297" s="300"/>
      <c r="P1297" s="300"/>
      <c r="Q1297" s="300"/>
      <c r="R1297" s="300"/>
      <c r="S1297" s="300"/>
      <c r="T1297" s="300"/>
      <c r="U1297" s="300"/>
      <c r="V1297" s="300"/>
      <c r="W1297" s="300"/>
      <c r="X1297" s="300"/>
      <c r="Y1297" s="300"/>
      <c r="Z1297" s="300"/>
    </row>
    <row r="1298" spans="1:26">
      <c r="A1298" s="215" t="s">
        <v>3568</v>
      </c>
      <c r="B1298" s="207">
        <v>1230</v>
      </c>
      <c r="C1298" s="215" t="s">
        <v>5676</v>
      </c>
      <c r="D1298" s="215" t="s">
        <v>9321</v>
      </c>
      <c r="E1298" s="215" t="s">
        <v>9322</v>
      </c>
      <c r="F1298" s="215" t="s">
        <v>9143</v>
      </c>
      <c r="G1298" s="215" t="s">
        <v>9144</v>
      </c>
      <c r="H1298" s="215" t="s">
        <v>6521</v>
      </c>
      <c r="I1298" s="300"/>
      <c r="J1298" s="300"/>
      <c r="K1298" s="300"/>
      <c r="L1298" s="300"/>
      <c r="M1298" s="300"/>
      <c r="N1298" s="300"/>
      <c r="O1298" s="300"/>
      <c r="P1298" s="300"/>
      <c r="Q1298" s="300"/>
      <c r="R1298" s="300"/>
      <c r="S1298" s="300"/>
      <c r="T1298" s="300"/>
      <c r="U1298" s="300"/>
      <c r="V1298" s="300"/>
      <c r="W1298" s="300"/>
      <c r="X1298" s="300"/>
      <c r="Y1298" s="300"/>
      <c r="Z1298" s="300"/>
    </row>
    <row r="1299" spans="1:26">
      <c r="A1299" s="215" t="s">
        <v>3382</v>
      </c>
      <c r="B1299" s="207">
        <v>1231</v>
      </c>
      <c r="C1299" s="215" t="s">
        <v>4839</v>
      </c>
      <c r="D1299" s="215" t="s">
        <v>9323</v>
      </c>
      <c r="E1299" s="215" t="s">
        <v>9324</v>
      </c>
      <c r="F1299" s="215" t="s">
        <v>9143</v>
      </c>
      <c r="G1299" s="215" t="s">
        <v>9144</v>
      </c>
      <c r="H1299" s="215" t="s">
        <v>6521</v>
      </c>
      <c r="I1299" s="300"/>
      <c r="J1299" s="300"/>
      <c r="K1299" s="300"/>
      <c r="L1299" s="300"/>
      <c r="M1299" s="300"/>
      <c r="N1299" s="300"/>
      <c r="O1299" s="300"/>
      <c r="P1299" s="300"/>
      <c r="Q1299" s="300"/>
      <c r="R1299" s="300"/>
      <c r="S1299" s="300"/>
      <c r="T1299" s="300"/>
      <c r="U1299" s="300"/>
      <c r="V1299" s="300"/>
      <c r="W1299" s="300"/>
      <c r="X1299" s="300"/>
      <c r="Y1299" s="300"/>
      <c r="Z1299" s="300"/>
    </row>
    <row r="1300" spans="1:26">
      <c r="A1300" s="215" t="s">
        <v>3226</v>
      </c>
      <c r="B1300" s="207">
        <v>1232</v>
      </c>
      <c r="C1300" s="215" t="s">
        <v>5356</v>
      </c>
      <c r="D1300" s="215" t="s">
        <v>9325</v>
      </c>
      <c r="E1300" s="215" t="s">
        <v>9325</v>
      </c>
      <c r="F1300" s="215" t="s">
        <v>9143</v>
      </c>
      <c r="G1300" s="215" t="s">
        <v>9144</v>
      </c>
      <c r="H1300" s="215" t="s">
        <v>6521</v>
      </c>
      <c r="I1300" s="300"/>
      <c r="J1300" s="300"/>
      <c r="K1300" s="300"/>
      <c r="L1300" s="300"/>
      <c r="M1300" s="300"/>
      <c r="N1300" s="300"/>
      <c r="O1300" s="300"/>
      <c r="P1300" s="300"/>
      <c r="Q1300" s="300"/>
      <c r="R1300" s="300"/>
      <c r="S1300" s="300"/>
      <c r="T1300" s="300"/>
      <c r="U1300" s="300"/>
      <c r="V1300" s="300"/>
      <c r="W1300" s="300"/>
      <c r="X1300" s="300"/>
      <c r="Y1300" s="300"/>
      <c r="Z1300" s="300"/>
    </row>
    <row r="1301" spans="1:26">
      <c r="A1301" s="215" t="s">
        <v>3777</v>
      </c>
      <c r="B1301" s="207">
        <v>1361</v>
      </c>
      <c r="C1301" s="215" t="s">
        <v>5835</v>
      </c>
      <c r="D1301" s="215" t="s">
        <v>9326</v>
      </c>
      <c r="E1301" s="215" t="s">
        <v>9327</v>
      </c>
      <c r="F1301" s="215" t="s">
        <v>9143</v>
      </c>
      <c r="G1301" s="215" t="s">
        <v>9144</v>
      </c>
      <c r="H1301" s="215" t="s">
        <v>6500</v>
      </c>
      <c r="I1301" s="300"/>
      <c r="J1301" s="300"/>
      <c r="K1301" s="300"/>
      <c r="L1301" s="300"/>
      <c r="M1301" s="300"/>
      <c r="N1301" s="300"/>
      <c r="O1301" s="300"/>
      <c r="P1301" s="300"/>
      <c r="Q1301" s="300"/>
      <c r="R1301" s="300"/>
      <c r="S1301" s="300"/>
      <c r="T1301" s="300"/>
      <c r="U1301" s="300"/>
      <c r="V1301" s="300"/>
      <c r="W1301" s="300"/>
      <c r="X1301" s="300"/>
      <c r="Y1301" s="300"/>
      <c r="Z1301" s="300"/>
    </row>
    <row r="1302" spans="1:26">
      <c r="A1302" s="215" t="s">
        <v>3776</v>
      </c>
      <c r="B1302" s="207">
        <v>1362</v>
      </c>
      <c r="C1302" s="215" t="s">
        <v>5855</v>
      </c>
      <c r="D1302" s="215" t="s">
        <v>9328</v>
      </c>
      <c r="E1302" s="215" t="s">
        <v>9328</v>
      </c>
      <c r="F1302" s="215" t="s">
        <v>9143</v>
      </c>
      <c r="G1302" s="215" t="s">
        <v>9144</v>
      </c>
      <c r="H1302" s="215" t="s">
        <v>6497</v>
      </c>
      <c r="I1302" s="300"/>
      <c r="J1302" s="300"/>
      <c r="K1302" s="300"/>
      <c r="L1302" s="300"/>
      <c r="M1302" s="300"/>
      <c r="N1302" s="300"/>
      <c r="O1302" s="300"/>
      <c r="P1302" s="300"/>
      <c r="Q1302" s="300"/>
      <c r="R1302" s="300"/>
      <c r="S1302" s="300"/>
      <c r="T1302" s="300"/>
      <c r="U1302" s="300"/>
      <c r="V1302" s="300"/>
      <c r="W1302" s="300"/>
      <c r="X1302" s="300"/>
      <c r="Y1302" s="300"/>
      <c r="Z1302" s="300"/>
    </row>
    <row r="1303" spans="1:26">
      <c r="A1303" s="215" t="s">
        <v>4153</v>
      </c>
      <c r="B1303" s="207">
        <v>1363</v>
      </c>
      <c r="C1303" s="215" t="s">
        <v>9329</v>
      </c>
      <c r="D1303" s="215" t="s">
        <v>9330</v>
      </c>
      <c r="E1303" s="215" t="s">
        <v>9331</v>
      </c>
      <c r="F1303" s="215" t="s">
        <v>9143</v>
      </c>
      <c r="G1303" s="215" t="s">
        <v>9144</v>
      </c>
      <c r="H1303" s="215" t="s">
        <v>6497</v>
      </c>
      <c r="I1303" s="300"/>
      <c r="J1303" s="300"/>
      <c r="K1303" s="300"/>
      <c r="L1303" s="300"/>
      <c r="M1303" s="300"/>
      <c r="N1303" s="300"/>
      <c r="O1303" s="300"/>
      <c r="P1303" s="300"/>
      <c r="Q1303" s="300"/>
      <c r="R1303" s="300"/>
      <c r="S1303" s="300"/>
      <c r="T1303" s="300"/>
      <c r="U1303" s="300"/>
      <c r="V1303" s="300"/>
      <c r="W1303" s="300"/>
      <c r="X1303" s="300"/>
      <c r="Y1303" s="300"/>
      <c r="Z1303" s="300"/>
    </row>
    <row r="1304" spans="1:26">
      <c r="A1304" s="215" t="s">
        <v>9332</v>
      </c>
      <c r="B1304" s="207">
        <v>1364</v>
      </c>
      <c r="C1304" s="215" t="s">
        <v>4849</v>
      </c>
      <c r="D1304" s="215" t="s">
        <v>9333</v>
      </c>
      <c r="E1304" s="215" t="s">
        <v>9333</v>
      </c>
      <c r="F1304" s="215" t="s">
        <v>9143</v>
      </c>
      <c r="G1304" s="215" t="s">
        <v>9144</v>
      </c>
      <c r="H1304" s="215" t="s">
        <v>6497</v>
      </c>
      <c r="I1304" s="300"/>
      <c r="J1304" s="300"/>
      <c r="K1304" s="300"/>
      <c r="L1304" s="300"/>
      <c r="M1304" s="300"/>
      <c r="N1304" s="300"/>
      <c r="O1304" s="300"/>
      <c r="P1304" s="300"/>
      <c r="Q1304" s="300"/>
      <c r="R1304" s="300"/>
      <c r="S1304" s="300"/>
      <c r="T1304" s="300"/>
      <c r="U1304" s="300"/>
      <c r="V1304" s="300"/>
      <c r="W1304" s="300"/>
      <c r="X1304" s="300"/>
      <c r="Y1304" s="300"/>
      <c r="Z1304" s="300"/>
    </row>
    <row r="1305" spans="1:26">
      <c r="A1305" s="215" t="s">
        <v>2788</v>
      </c>
      <c r="B1305" s="207">
        <v>1551</v>
      </c>
      <c r="C1305" s="215" t="s">
        <v>4950</v>
      </c>
      <c r="D1305" s="215" t="s">
        <v>9334</v>
      </c>
      <c r="E1305" s="215" t="s">
        <v>9334</v>
      </c>
      <c r="F1305" s="215" t="s">
        <v>9143</v>
      </c>
      <c r="G1305" s="215" t="s">
        <v>9144</v>
      </c>
      <c r="H1305" s="215" t="s">
        <v>6497</v>
      </c>
      <c r="I1305" s="300"/>
      <c r="J1305" s="300"/>
      <c r="K1305" s="300"/>
      <c r="L1305" s="300"/>
      <c r="M1305" s="300"/>
      <c r="N1305" s="300"/>
      <c r="O1305" s="300"/>
      <c r="P1305" s="300"/>
      <c r="Q1305" s="300"/>
      <c r="R1305" s="300"/>
      <c r="S1305" s="300"/>
      <c r="T1305" s="300"/>
      <c r="U1305" s="300"/>
      <c r="V1305" s="300"/>
      <c r="W1305" s="300"/>
      <c r="X1305" s="300"/>
      <c r="Y1305" s="300"/>
      <c r="Z1305" s="300"/>
    </row>
    <row r="1306" spans="1:26">
      <c r="A1306" s="215" t="s">
        <v>3130</v>
      </c>
      <c r="B1306" s="207">
        <v>1552</v>
      </c>
      <c r="C1306" s="215" t="s">
        <v>5269</v>
      </c>
      <c r="D1306" s="215" t="s">
        <v>9335</v>
      </c>
      <c r="E1306" s="215" t="s">
        <v>9336</v>
      </c>
      <c r="F1306" s="215" t="s">
        <v>9143</v>
      </c>
      <c r="G1306" s="215" t="s">
        <v>9144</v>
      </c>
      <c r="H1306" s="215" t="s">
        <v>6500</v>
      </c>
      <c r="I1306" s="300"/>
      <c r="J1306" s="300"/>
      <c r="K1306" s="300"/>
      <c r="L1306" s="300"/>
      <c r="M1306" s="300"/>
      <c r="N1306" s="300"/>
      <c r="O1306" s="300"/>
      <c r="P1306" s="300"/>
      <c r="Q1306" s="300"/>
      <c r="R1306" s="300"/>
      <c r="S1306" s="300"/>
      <c r="T1306" s="300"/>
      <c r="U1306" s="300"/>
      <c r="V1306" s="300"/>
      <c r="W1306" s="300"/>
      <c r="X1306" s="300"/>
      <c r="Y1306" s="300"/>
      <c r="Z1306" s="300"/>
    </row>
    <row r="1307" spans="1:26">
      <c r="A1307" s="215" t="s">
        <v>2933</v>
      </c>
      <c r="B1307" s="207">
        <v>1553</v>
      </c>
      <c r="C1307" s="215" t="s">
        <v>5091</v>
      </c>
      <c r="D1307" s="215" t="s">
        <v>9337</v>
      </c>
      <c r="E1307" s="215" t="s">
        <v>9338</v>
      </c>
      <c r="F1307" s="215" t="s">
        <v>9143</v>
      </c>
      <c r="G1307" s="215" t="s">
        <v>9144</v>
      </c>
      <c r="H1307" s="215" t="s">
        <v>6500</v>
      </c>
      <c r="I1307" s="300"/>
      <c r="J1307" s="300"/>
      <c r="K1307" s="300"/>
      <c r="L1307" s="300"/>
      <c r="M1307" s="300"/>
      <c r="N1307" s="300"/>
      <c r="O1307" s="300"/>
      <c r="P1307" s="300"/>
      <c r="Q1307" s="300"/>
      <c r="R1307" s="300"/>
      <c r="S1307" s="300"/>
      <c r="T1307" s="300"/>
      <c r="U1307" s="300"/>
      <c r="V1307" s="300"/>
      <c r="W1307" s="300"/>
      <c r="X1307" s="300"/>
      <c r="Y1307" s="300"/>
      <c r="Z1307" s="300"/>
    </row>
    <row r="1308" spans="1:26">
      <c r="A1308" s="215" t="s">
        <v>2934</v>
      </c>
      <c r="B1308" s="207">
        <v>1554</v>
      </c>
      <c r="C1308" s="215" t="s">
        <v>5092</v>
      </c>
      <c r="D1308" s="215" t="s">
        <v>9339</v>
      </c>
      <c r="E1308" s="215" t="s">
        <v>9339</v>
      </c>
      <c r="F1308" s="215" t="s">
        <v>9143</v>
      </c>
      <c r="G1308" s="215" t="s">
        <v>9144</v>
      </c>
      <c r="H1308" s="215" t="s">
        <v>6500</v>
      </c>
      <c r="I1308" s="300"/>
      <c r="J1308" s="300"/>
      <c r="K1308" s="300"/>
      <c r="L1308" s="300"/>
      <c r="M1308" s="300"/>
      <c r="N1308" s="300"/>
      <c r="O1308" s="300"/>
      <c r="P1308" s="300"/>
      <c r="Q1308" s="300"/>
      <c r="R1308" s="300"/>
      <c r="S1308" s="300"/>
      <c r="T1308" s="300"/>
      <c r="U1308" s="300"/>
      <c r="V1308" s="300"/>
      <c r="W1308" s="300"/>
      <c r="X1308" s="300"/>
      <c r="Y1308" s="300"/>
      <c r="Z1308" s="300"/>
    </row>
    <row r="1309" spans="1:26">
      <c r="A1309" s="215" t="s">
        <v>3221</v>
      </c>
      <c r="B1309" s="207">
        <v>1555</v>
      </c>
      <c r="C1309" s="215" t="s">
        <v>5348</v>
      </c>
      <c r="D1309" s="215" t="s">
        <v>9340</v>
      </c>
      <c r="E1309" s="215" t="s">
        <v>9340</v>
      </c>
      <c r="F1309" s="215" t="s">
        <v>9143</v>
      </c>
      <c r="G1309" s="215" t="s">
        <v>9144</v>
      </c>
      <c r="H1309" s="215" t="s">
        <v>6497</v>
      </c>
      <c r="I1309" s="300"/>
      <c r="J1309" s="300"/>
      <c r="K1309" s="300"/>
      <c r="L1309" s="300"/>
      <c r="M1309" s="300"/>
      <c r="N1309" s="300"/>
      <c r="O1309" s="300"/>
      <c r="P1309" s="300"/>
      <c r="Q1309" s="300"/>
      <c r="R1309" s="300"/>
      <c r="S1309" s="300"/>
      <c r="T1309" s="300"/>
      <c r="U1309" s="300"/>
      <c r="V1309" s="300"/>
      <c r="W1309" s="300"/>
      <c r="X1309" s="300"/>
      <c r="Y1309" s="300"/>
      <c r="Z1309" s="300"/>
    </row>
    <row r="1310" spans="1:26">
      <c r="A1310" s="215" t="s">
        <v>4482</v>
      </c>
      <c r="B1310" s="207">
        <v>1556</v>
      </c>
      <c r="C1310" s="215" t="s">
        <v>9341</v>
      </c>
      <c r="D1310" s="215" t="s">
        <v>9341</v>
      </c>
      <c r="E1310" s="215" t="s">
        <v>9342</v>
      </c>
      <c r="F1310" s="215" t="s">
        <v>9143</v>
      </c>
      <c r="G1310" s="215" t="s">
        <v>9144</v>
      </c>
      <c r="H1310" s="215" t="s">
        <v>6500</v>
      </c>
      <c r="I1310" s="300"/>
      <c r="J1310" s="300"/>
      <c r="K1310" s="300"/>
      <c r="L1310" s="300"/>
      <c r="M1310" s="300"/>
      <c r="N1310" s="300"/>
      <c r="O1310" s="300"/>
      <c r="P1310" s="300"/>
      <c r="Q1310" s="300"/>
      <c r="R1310" s="300"/>
      <c r="S1310" s="300"/>
      <c r="T1310" s="300"/>
      <c r="U1310" s="300"/>
      <c r="V1310" s="300"/>
      <c r="W1310" s="300"/>
      <c r="X1310" s="300"/>
      <c r="Y1310" s="300"/>
      <c r="Z1310" s="300"/>
    </row>
    <row r="1311" spans="1:26">
      <c r="A1311" s="215" t="s">
        <v>3375</v>
      </c>
      <c r="B1311" s="207">
        <v>1557</v>
      </c>
      <c r="C1311" s="215" t="s">
        <v>5496</v>
      </c>
      <c r="D1311" s="215" t="s">
        <v>9343</v>
      </c>
      <c r="E1311" s="215" t="s">
        <v>9344</v>
      </c>
      <c r="F1311" s="215" t="s">
        <v>9143</v>
      </c>
      <c r="G1311" s="215" t="s">
        <v>9144</v>
      </c>
      <c r="H1311" s="215" t="s">
        <v>6500</v>
      </c>
      <c r="I1311" s="300"/>
      <c r="J1311" s="300"/>
      <c r="K1311" s="300"/>
      <c r="L1311" s="300"/>
      <c r="M1311" s="300"/>
      <c r="N1311" s="300"/>
      <c r="O1311" s="300"/>
      <c r="P1311" s="300"/>
      <c r="Q1311" s="300"/>
      <c r="R1311" s="300"/>
      <c r="S1311" s="300"/>
      <c r="T1311" s="300"/>
      <c r="U1311" s="300"/>
      <c r="V1311" s="300"/>
      <c r="W1311" s="300"/>
      <c r="X1311" s="300"/>
      <c r="Y1311" s="300"/>
      <c r="Z1311" s="300"/>
    </row>
    <row r="1312" spans="1:26">
      <c r="A1312" s="215" t="s">
        <v>2788</v>
      </c>
      <c r="B1312" s="207">
        <v>1558</v>
      </c>
      <c r="C1312" s="215" t="s">
        <v>4951</v>
      </c>
      <c r="D1312" s="215" t="s">
        <v>9345</v>
      </c>
      <c r="E1312" s="215" t="s">
        <v>9346</v>
      </c>
      <c r="F1312" s="215" t="s">
        <v>9143</v>
      </c>
      <c r="G1312" s="215" t="s">
        <v>9144</v>
      </c>
      <c r="H1312" s="215" t="s">
        <v>6500</v>
      </c>
      <c r="I1312" s="300"/>
      <c r="J1312" s="300"/>
      <c r="K1312" s="300"/>
      <c r="L1312" s="300"/>
      <c r="M1312" s="300"/>
      <c r="N1312" s="300"/>
      <c r="O1312" s="300"/>
      <c r="P1312" s="300"/>
      <c r="Q1312" s="300"/>
      <c r="R1312" s="300"/>
      <c r="S1312" s="300"/>
      <c r="T1312" s="300"/>
      <c r="U1312" s="300"/>
      <c r="V1312" s="300"/>
      <c r="W1312" s="300"/>
      <c r="X1312" s="300"/>
      <c r="Y1312" s="300"/>
      <c r="Z1312" s="300"/>
    </row>
    <row r="1313" spans="1:26">
      <c r="A1313" s="215" t="s">
        <v>3627</v>
      </c>
      <c r="B1313" s="207">
        <v>1559</v>
      </c>
      <c r="C1313" s="215" t="s">
        <v>5723</v>
      </c>
      <c r="D1313" s="215" t="s">
        <v>9347</v>
      </c>
      <c r="E1313" s="215" t="s">
        <v>9347</v>
      </c>
      <c r="F1313" s="215" t="s">
        <v>9143</v>
      </c>
      <c r="G1313" s="215" t="s">
        <v>9144</v>
      </c>
      <c r="H1313" s="215" t="s">
        <v>6500</v>
      </c>
      <c r="I1313" s="300"/>
      <c r="J1313" s="300"/>
      <c r="K1313" s="300"/>
      <c r="L1313" s="300"/>
      <c r="M1313" s="300"/>
      <c r="N1313" s="300"/>
      <c r="O1313" s="300"/>
      <c r="P1313" s="300"/>
      <c r="Q1313" s="300"/>
      <c r="R1313" s="300"/>
      <c r="S1313" s="300"/>
      <c r="T1313" s="300"/>
      <c r="U1313" s="300"/>
      <c r="V1313" s="300"/>
      <c r="W1313" s="300"/>
      <c r="X1313" s="300"/>
      <c r="Y1313" s="300"/>
      <c r="Z1313" s="300"/>
    </row>
    <row r="1314" spans="1:26">
      <c r="A1314" s="215" t="s">
        <v>3911</v>
      </c>
      <c r="B1314" s="207">
        <v>1560</v>
      </c>
      <c r="C1314" s="215" t="s">
        <v>9348</v>
      </c>
      <c r="D1314" s="215" t="s">
        <v>9349</v>
      </c>
      <c r="E1314" s="215" t="s">
        <v>9350</v>
      </c>
      <c r="F1314" s="215" t="s">
        <v>9143</v>
      </c>
      <c r="G1314" s="215" t="s">
        <v>9144</v>
      </c>
      <c r="H1314" s="215" t="s">
        <v>6497</v>
      </c>
      <c r="I1314" s="300"/>
      <c r="J1314" s="300"/>
      <c r="K1314" s="300"/>
      <c r="L1314" s="300"/>
      <c r="M1314" s="300"/>
      <c r="N1314" s="300"/>
      <c r="O1314" s="300"/>
      <c r="P1314" s="300"/>
      <c r="Q1314" s="300"/>
      <c r="R1314" s="300"/>
      <c r="S1314" s="300"/>
      <c r="T1314" s="300"/>
      <c r="U1314" s="300"/>
      <c r="V1314" s="300"/>
      <c r="W1314" s="300"/>
      <c r="X1314" s="300"/>
      <c r="Y1314" s="300"/>
      <c r="Z1314" s="300"/>
    </row>
    <row r="1315" spans="1:26">
      <c r="A1315" s="215" t="s">
        <v>4145</v>
      </c>
      <c r="B1315" s="207">
        <v>1561</v>
      </c>
      <c r="C1315" s="215" t="s">
        <v>9351</v>
      </c>
      <c r="D1315" s="215" t="s">
        <v>9352</v>
      </c>
      <c r="E1315" s="215" t="s">
        <v>9352</v>
      </c>
      <c r="F1315" s="215" t="s">
        <v>9143</v>
      </c>
      <c r="G1315" s="215" t="s">
        <v>9144</v>
      </c>
      <c r="H1315" s="215" t="s">
        <v>6497</v>
      </c>
      <c r="I1315" s="300"/>
      <c r="J1315" s="300"/>
      <c r="K1315" s="300"/>
      <c r="L1315" s="300"/>
      <c r="M1315" s="300"/>
      <c r="N1315" s="300"/>
      <c r="O1315" s="300"/>
      <c r="P1315" s="300"/>
      <c r="Q1315" s="300"/>
      <c r="R1315" s="300"/>
      <c r="S1315" s="300"/>
      <c r="T1315" s="300"/>
      <c r="U1315" s="300"/>
      <c r="V1315" s="300"/>
      <c r="W1315" s="300"/>
      <c r="X1315" s="300"/>
      <c r="Y1315" s="300"/>
      <c r="Z1315" s="300"/>
    </row>
    <row r="1316" spans="1:26">
      <c r="A1316" s="215" t="s">
        <v>9353</v>
      </c>
      <c r="B1316" s="207">
        <v>1562</v>
      </c>
      <c r="C1316" s="215" t="s">
        <v>5107</v>
      </c>
      <c r="D1316" s="215" t="s">
        <v>9354</v>
      </c>
      <c r="E1316" s="215" t="s">
        <v>9355</v>
      </c>
      <c r="F1316" s="215" t="s">
        <v>9143</v>
      </c>
      <c r="G1316" s="215" t="s">
        <v>9144</v>
      </c>
      <c r="H1316" s="215" t="s">
        <v>6500</v>
      </c>
      <c r="I1316" s="300"/>
      <c r="J1316" s="300"/>
      <c r="K1316" s="300"/>
      <c r="L1316" s="300"/>
      <c r="M1316" s="300"/>
      <c r="N1316" s="300"/>
      <c r="O1316" s="300"/>
      <c r="P1316" s="300"/>
      <c r="Q1316" s="300"/>
      <c r="R1316" s="300"/>
      <c r="S1316" s="300"/>
      <c r="T1316" s="300"/>
      <c r="U1316" s="300"/>
      <c r="V1316" s="300"/>
      <c r="W1316" s="300"/>
      <c r="X1316" s="300"/>
      <c r="Y1316" s="300"/>
      <c r="Z1316" s="300"/>
    </row>
    <row r="1317" spans="1:26">
      <c r="A1317" s="215" t="s">
        <v>3131</v>
      </c>
      <c r="B1317" s="207">
        <v>1563</v>
      </c>
      <c r="C1317" s="215" t="s">
        <v>5270</v>
      </c>
      <c r="D1317" s="215" t="s">
        <v>9356</v>
      </c>
      <c r="E1317" s="215" t="s">
        <v>9356</v>
      </c>
      <c r="F1317" s="215" t="s">
        <v>9143</v>
      </c>
      <c r="G1317" s="215" t="s">
        <v>9144</v>
      </c>
      <c r="H1317" s="215" t="s">
        <v>6521</v>
      </c>
      <c r="I1317" s="300"/>
      <c r="J1317" s="300"/>
      <c r="K1317" s="300"/>
      <c r="L1317" s="300"/>
      <c r="M1317" s="300"/>
      <c r="N1317" s="300"/>
      <c r="O1317" s="300"/>
      <c r="P1317" s="300"/>
      <c r="Q1317" s="300"/>
      <c r="R1317" s="300"/>
      <c r="S1317" s="300"/>
      <c r="T1317" s="300"/>
      <c r="U1317" s="300"/>
      <c r="V1317" s="300"/>
      <c r="W1317" s="300"/>
      <c r="X1317" s="300"/>
      <c r="Y1317" s="300"/>
      <c r="Z1317" s="300"/>
    </row>
    <row r="1318" spans="1:26">
      <c r="A1318" s="215" t="s">
        <v>3317</v>
      </c>
      <c r="B1318" s="207">
        <v>1564</v>
      </c>
      <c r="C1318" s="215" t="s">
        <v>5448</v>
      </c>
      <c r="D1318" s="215" t="s">
        <v>9357</v>
      </c>
      <c r="E1318" s="215" t="s">
        <v>9357</v>
      </c>
      <c r="F1318" s="215" t="s">
        <v>9143</v>
      </c>
      <c r="G1318" s="215" t="s">
        <v>9144</v>
      </c>
      <c r="H1318" s="215" t="s">
        <v>6500</v>
      </c>
      <c r="I1318" s="300"/>
      <c r="J1318" s="300"/>
      <c r="K1318" s="300"/>
      <c r="L1318" s="300"/>
      <c r="M1318" s="300"/>
      <c r="N1318" s="300"/>
      <c r="O1318" s="300"/>
      <c r="P1318" s="300"/>
      <c r="Q1318" s="300"/>
      <c r="R1318" s="300"/>
      <c r="S1318" s="300"/>
      <c r="T1318" s="300"/>
      <c r="U1318" s="300"/>
      <c r="V1318" s="300"/>
      <c r="W1318" s="300"/>
      <c r="X1318" s="300"/>
      <c r="Y1318" s="300"/>
      <c r="Z1318" s="300"/>
    </row>
    <row r="1319" spans="1:26">
      <c r="A1319" s="215" t="s">
        <v>2794</v>
      </c>
      <c r="B1319" s="207">
        <v>1566</v>
      </c>
      <c r="C1319" s="215" t="s">
        <v>9358</v>
      </c>
      <c r="D1319" s="215" t="s">
        <v>9359</v>
      </c>
      <c r="E1319" s="215" t="s">
        <v>9360</v>
      </c>
      <c r="F1319" s="215" t="s">
        <v>9143</v>
      </c>
      <c r="G1319" s="215" t="s">
        <v>9144</v>
      </c>
      <c r="H1319" s="215" t="s">
        <v>6521</v>
      </c>
      <c r="I1319" s="300"/>
      <c r="J1319" s="300"/>
      <c r="K1319" s="300"/>
      <c r="L1319" s="300"/>
      <c r="M1319" s="300"/>
      <c r="N1319" s="300"/>
      <c r="O1319" s="300"/>
      <c r="P1319" s="300"/>
      <c r="Q1319" s="300"/>
      <c r="R1319" s="300"/>
      <c r="S1319" s="300"/>
      <c r="T1319" s="300"/>
      <c r="U1319" s="300"/>
      <c r="V1319" s="300"/>
      <c r="W1319" s="300"/>
      <c r="X1319" s="300"/>
      <c r="Y1319" s="300"/>
      <c r="Z1319" s="300"/>
    </row>
    <row r="1320" spans="1:26">
      <c r="A1320" s="215" t="s">
        <v>2784</v>
      </c>
      <c r="B1320" s="207">
        <v>1569</v>
      </c>
      <c r="C1320" s="215" t="s">
        <v>4946</v>
      </c>
      <c r="D1320" s="215" t="s">
        <v>9361</v>
      </c>
      <c r="E1320" s="215" t="s">
        <v>9361</v>
      </c>
      <c r="F1320" s="215" t="s">
        <v>9143</v>
      </c>
      <c r="G1320" s="215" t="s">
        <v>9144</v>
      </c>
      <c r="H1320" s="215" t="s">
        <v>6500</v>
      </c>
      <c r="I1320" s="300"/>
      <c r="J1320" s="300"/>
      <c r="K1320" s="300"/>
      <c r="L1320" s="300"/>
      <c r="M1320" s="300"/>
      <c r="N1320" s="300"/>
      <c r="O1320" s="300"/>
      <c r="P1320" s="300"/>
      <c r="Q1320" s="300"/>
      <c r="R1320" s="300"/>
      <c r="S1320" s="300"/>
      <c r="T1320" s="300"/>
      <c r="U1320" s="300"/>
      <c r="V1320" s="300"/>
      <c r="W1320" s="300"/>
      <c r="X1320" s="300"/>
      <c r="Y1320" s="300"/>
      <c r="Z1320" s="300"/>
    </row>
    <row r="1321" spans="1:26">
      <c r="A1321" s="215" t="s">
        <v>3280</v>
      </c>
      <c r="B1321" s="207">
        <v>1570</v>
      </c>
      <c r="C1321" s="215" t="s">
        <v>5409</v>
      </c>
      <c r="D1321" s="215" t="s">
        <v>9362</v>
      </c>
      <c r="E1321" s="215" t="s">
        <v>9362</v>
      </c>
      <c r="F1321" s="215" t="s">
        <v>9143</v>
      </c>
      <c r="G1321" s="215" t="s">
        <v>9144</v>
      </c>
      <c r="H1321" s="215" t="s">
        <v>6521</v>
      </c>
      <c r="I1321" s="300"/>
      <c r="J1321" s="300"/>
      <c r="K1321" s="300"/>
      <c r="L1321" s="300"/>
      <c r="M1321" s="300"/>
      <c r="N1321" s="300"/>
      <c r="O1321" s="300"/>
      <c r="P1321" s="300"/>
      <c r="Q1321" s="300"/>
      <c r="R1321" s="300"/>
      <c r="S1321" s="300"/>
      <c r="T1321" s="300"/>
      <c r="U1321" s="300"/>
      <c r="V1321" s="300"/>
      <c r="W1321" s="300"/>
      <c r="X1321" s="300"/>
      <c r="Y1321" s="300"/>
      <c r="Z1321" s="300"/>
    </row>
    <row r="1322" spans="1:26">
      <c r="A1322" s="215" t="s">
        <v>3369</v>
      </c>
      <c r="B1322" s="207">
        <v>1573</v>
      </c>
      <c r="C1322" s="215" t="s">
        <v>5489</v>
      </c>
      <c r="D1322" s="215" t="s">
        <v>5489</v>
      </c>
      <c r="E1322" s="215" t="s">
        <v>9363</v>
      </c>
      <c r="F1322" s="215" t="s">
        <v>9143</v>
      </c>
      <c r="G1322" s="215" t="s">
        <v>9144</v>
      </c>
      <c r="H1322" s="215" t="s">
        <v>6497</v>
      </c>
      <c r="I1322" s="300"/>
      <c r="J1322" s="300"/>
      <c r="K1322" s="300"/>
      <c r="L1322" s="300"/>
      <c r="M1322" s="300"/>
      <c r="N1322" s="300"/>
      <c r="O1322" s="300"/>
      <c r="P1322" s="300"/>
      <c r="Q1322" s="300"/>
      <c r="R1322" s="300"/>
      <c r="S1322" s="300"/>
      <c r="T1322" s="300"/>
      <c r="U1322" s="300"/>
      <c r="V1322" s="300"/>
      <c r="W1322" s="300"/>
      <c r="X1322" s="300"/>
      <c r="Y1322" s="300"/>
      <c r="Z1322" s="300"/>
    </row>
    <row r="1323" spans="1:26">
      <c r="A1323" s="215" t="s">
        <v>4518</v>
      </c>
      <c r="B1323" s="207">
        <v>1574</v>
      </c>
      <c r="C1323" s="215" t="s">
        <v>9364</v>
      </c>
      <c r="D1323" s="215" t="s">
        <v>9365</v>
      </c>
      <c r="E1323" s="215" t="s">
        <v>9366</v>
      </c>
      <c r="F1323" s="215" t="s">
        <v>9143</v>
      </c>
      <c r="G1323" s="215" t="s">
        <v>9144</v>
      </c>
      <c r="H1323" s="215" t="s">
        <v>6500</v>
      </c>
      <c r="I1323" s="300"/>
      <c r="J1323" s="300"/>
      <c r="K1323" s="300"/>
      <c r="L1323" s="300"/>
      <c r="M1323" s="300"/>
      <c r="N1323" s="300"/>
      <c r="O1323" s="300"/>
      <c r="P1323" s="300"/>
      <c r="Q1323" s="300"/>
      <c r="R1323" s="300"/>
      <c r="S1323" s="300"/>
      <c r="T1323" s="300"/>
      <c r="U1323" s="300"/>
      <c r="V1323" s="300"/>
      <c r="W1323" s="300"/>
      <c r="X1323" s="300"/>
      <c r="Y1323" s="300"/>
      <c r="Z1323" s="300"/>
    </row>
    <row r="1324" spans="1:26">
      <c r="A1324" s="215" t="s">
        <v>4213</v>
      </c>
      <c r="B1324" s="207">
        <v>1575</v>
      </c>
      <c r="C1324" s="215" t="s">
        <v>6193</v>
      </c>
      <c r="D1324" s="215" t="s">
        <v>9367</v>
      </c>
      <c r="E1324" s="215" t="s">
        <v>9367</v>
      </c>
      <c r="F1324" s="215" t="s">
        <v>9143</v>
      </c>
      <c r="G1324" s="215" t="s">
        <v>9144</v>
      </c>
      <c r="H1324" s="215" t="s">
        <v>6497</v>
      </c>
      <c r="I1324" s="300"/>
      <c r="J1324" s="300"/>
      <c r="K1324" s="300"/>
      <c r="L1324" s="300"/>
      <c r="M1324" s="300"/>
      <c r="N1324" s="300"/>
      <c r="O1324" s="300"/>
      <c r="P1324" s="300"/>
      <c r="Q1324" s="300"/>
      <c r="R1324" s="300"/>
      <c r="S1324" s="300"/>
      <c r="T1324" s="300"/>
      <c r="U1324" s="300"/>
      <c r="V1324" s="300"/>
      <c r="W1324" s="300"/>
      <c r="X1324" s="300"/>
      <c r="Y1324" s="300"/>
      <c r="Z1324" s="300"/>
    </row>
    <row r="1325" spans="1:26">
      <c r="A1325" s="215" t="s">
        <v>9368</v>
      </c>
      <c r="B1325" s="207">
        <v>1576</v>
      </c>
      <c r="C1325" s="215" t="s">
        <v>5265</v>
      </c>
      <c r="D1325" s="215" t="s">
        <v>9369</v>
      </c>
      <c r="E1325" s="215" t="s">
        <v>9369</v>
      </c>
      <c r="F1325" s="215" t="s">
        <v>9143</v>
      </c>
      <c r="G1325" s="215" t="s">
        <v>9144</v>
      </c>
      <c r="H1325" s="215" t="s">
        <v>6497</v>
      </c>
      <c r="I1325" s="300"/>
      <c r="J1325" s="300"/>
      <c r="K1325" s="300"/>
      <c r="L1325" s="300"/>
      <c r="M1325" s="300"/>
      <c r="N1325" s="300"/>
      <c r="O1325" s="300"/>
      <c r="P1325" s="300"/>
      <c r="Q1325" s="300"/>
      <c r="R1325" s="300"/>
      <c r="S1325" s="300"/>
      <c r="T1325" s="300"/>
      <c r="U1325" s="300"/>
      <c r="V1325" s="300"/>
      <c r="W1325" s="300"/>
      <c r="X1325" s="300"/>
      <c r="Y1325" s="300"/>
      <c r="Z1325" s="300"/>
    </row>
    <row r="1326" spans="1:26">
      <c r="A1326" s="215" t="s">
        <v>9370</v>
      </c>
      <c r="B1326" s="207">
        <v>1577</v>
      </c>
      <c r="C1326" s="215" t="s">
        <v>5478</v>
      </c>
      <c r="D1326" s="215" t="s">
        <v>3470</v>
      </c>
      <c r="E1326" s="215" t="s">
        <v>3470</v>
      </c>
      <c r="F1326" s="215" t="s">
        <v>9143</v>
      </c>
      <c r="G1326" s="215" t="s">
        <v>9144</v>
      </c>
      <c r="H1326" s="215" t="s">
        <v>6521</v>
      </c>
      <c r="I1326" s="300"/>
      <c r="J1326" s="300"/>
      <c r="K1326" s="300"/>
      <c r="L1326" s="300"/>
      <c r="M1326" s="300"/>
      <c r="N1326" s="300"/>
      <c r="O1326" s="300"/>
      <c r="P1326" s="300"/>
      <c r="Q1326" s="300"/>
      <c r="R1326" s="300"/>
      <c r="S1326" s="300"/>
      <c r="T1326" s="300"/>
      <c r="U1326" s="300"/>
      <c r="V1326" s="300"/>
      <c r="W1326" s="300"/>
      <c r="X1326" s="300"/>
      <c r="Y1326" s="300"/>
      <c r="Z1326" s="300"/>
    </row>
    <row r="1327" spans="1:26">
      <c r="A1327" s="215" t="s">
        <v>3491</v>
      </c>
      <c r="B1327" s="207">
        <v>1578</v>
      </c>
      <c r="C1327" s="215" t="s">
        <v>5600</v>
      </c>
      <c r="D1327" s="215" t="s">
        <v>9371</v>
      </c>
      <c r="E1327" s="215" t="s">
        <v>9372</v>
      </c>
      <c r="F1327" s="215" t="s">
        <v>9143</v>
      </c>
      <c r="G1327" s="215" t="s">
        <v>9144</v>
      </c>
      <c r="H1327" s="215" t="s">
        <v>6500</v>
      </c>
      <c r="I1327" s="300"/>
      <c r="J1327" s="300"/>
      <c r="K1327" s="300"/>
      <c r="L1327" s="300"/>
      <c r="M1327" s="300"/>
      <c r="N1327" s="300"/>
      <c r="O1327" s="300"/>
      <c r="P1327" s="300"/>
      <c r="Q1327" s="300"/>
      <c r="R1327" s="300"/>
      <c r="S1327" s="300"/>
      <c r="T1327" s="300"/>
      <c r="U1327" s="300"/>
      <c r="V1327" s="300"/>
      <c r="W1327" s="300"/>
      <c r="X1327" s="300"/>
      <c r="Y1327" s="300"/>
      <c r="Z1327" s="300"/>
    </row>
    <row r="1328" spans="1:26">
      <c r="A1328" s="215" t="s">
        <v>3610</v>
      </c>
      <c r="B1328" s="207">
        <v>1579</v>
      </c>
      <c r="C1328" s="215" t="s">
        <v>4901</v>
      </c>
      <c r="D1328" s="215" t="s">
        <v>9373</v>
      </c>
      <c r="E1328" s="215" t="s">
        <v>9373</v>
      </c>
      <c r="F1328" s="215" t="s">
        <v>9143</v>
      </c>
      <c r="G1328" s="215" t="s">
        <v>9144</v>
      </c>
      <c r="H1328" s="215" t="s">
        <v>6497</v>
      </c>
      <c r="I1328" s="300"/>
      <c r="J1328" s="300"/>
      <c r="K1328" s="300"/>
      <c r="L1328" s="300"/>
      <c r="M1328" s="300"/>
      <c r="N1328" s="300"/>
      <c r="O1328" s="300"/>
      <c r="P1328" s="300"/>
      <c r="Q1328" s="300"/>
      <c r="R1328" s="300"/>
      <c r="S1328" s="300"/>
      <c r="T1328" s="300"/>
      <c r="U1328" s="300"/>
      <c r="V1328" s="300"/>
      <c r="W1328" s="300"/>
      <c r="X1328" s="300"/>
      <c r="Y1328" s="300"/>
      <c r="Z1328" s="300"/>
    </row>
    <row r="1329" spans="1:26">
      <c r="A1329" s="215" t="s">
        <v>3902</v>
      </c>
      <c r="B1329" s="207">
        <v>1580</v>
      </c>
      <c r="C1329" s="215" t="s">
        <v>4914</v>
      </c>
      <c r="D1329" s="215" t="s">
        <v>9374</v>
      </c>
      <c r="E1329" s="215" t="s">
        <v>9374</v>
      </c>
      <c r="F1329" s="215" t="s">
        <v>9143</v>
      </c>
      <c r="G1329" s="215" t="s">
        <v>9144</v>
      </c>
      <c r="H1329" s="215" t="s">
        <v>6497</v>
      </c>
      <c r="I1329" s="300"/>
      <c r="J1329" s="300"/>
      <c r="K1329" s="300"/>
      <c r="L1329" s="300"/>
      <c r="M1329" s="300"/>
      <c r="N1329" s="300"/>
      <c r="O1329" s="300"/>
      <c r="P1329" s="300"/>
      <c r="Q1329" s="300"/>
      <c r="R1329" s="300"/>
      <c r="S1329" s="300"/>
      <c r="T1329" s="300"/>
      <c r="U1329" s="300"/>
      <c r="V1329" s="300"/>
      <c r="W1329" s="300"/>
      <c r="X1329" s="300"/>
      <c r="Y1329" s="300"/>
      <c r="Z1329" s="300"/>
    </row>
    <row r="1330" spans="1:26">
      <c r="A1330" s="215" t="s">
        <v>2858</v>
      </c>
      <c r="B1330" s="207">
        <v>1581</v>
      </c>
      <c r="C1330" s="215" t="s">
        <v>5023</v>
      </c>
      <c r="D1330" s="215" t="s">
        <v>9375</v>
      </c>
      <c r="E1330" s="215" t="s">
        <v>9376</v>
      </c>
      <c r="F1330" s="215" t="s">
        <v>9143</v>
      </c>
      <c r="G1330" s="215" t="s">
        <v>9144</v>
      </c>
      <c r="H1330" s="215" t="s">
        <v>6497</v>
      </c>
      <c r="I1330" s="300"/>
      <c r="J1330" s="300"/>
      <c r="K1330" s="300"/>
      <c r="L1330" s="300"/>
      <c r="M1330" s="300"/>
      <c r="N1330" s="300"/>
      <c r="O1330" s="300"/>
      <c r="P1330" s="300"/>
      <c r="Q1330" s="300"/>
      <c r="R1330" s="300"/>
      <c r="S1330" s="300"/>
      <c r="T1330" s="300"/>
      <c r="U1330" s="300"/>
      <c r="V1330" s="300"/>
      <c r="W1330" s="300"/>
      <c r="X1330" s="300"/>
      <c r="Y1330" s="300"/>
      <c r="Z1330" s="300"/>
    </row>
    <row r="1331" spans="1:26">
      <c r="A1331" s="215" t="s">
        <v>3365</v>
      </c>
      <c r="B1331" s="207">
        <v>1582</v>
      </c>
      <c r="C1331" s="215" t="s">
        <v>5486</v>
      </c>
      <c r="D1331" s="215" t="s">
        <v>9377</v>
      </c>
      <c r="E1331" s="215" t="s">
        <v>9378</v>
      </c>
      <c r="F1331" s="215" t="s">
        <v>9143</v>
      </c>
      <c r="G1331" s="215" t="s">
        <v>9144</v>
      </c>
      <c r="H1331" s="215" t="s">
        <v>6500</v>
      </c>
      <c r="I1331" s="300"/>
      <c r="J1331" s="300"/>
      <c r="K1331" s="300"/>
      <c r="L1331" s="300"/>
      <c r="M1331" s="300"/>
      <c r="N1331" s="300"/>
      <c r="O1331" s="300"/>
      <c r="P1331" s="300"/>
      <c r="Q1331" s="300"/>
      <c r="R1331" s="300"/>
      <c r="S1331" s="300"/>
      <c r="T1331" s="300"/>
      <c r="U1331" s="300"/>
      <c r="V1331" s="300"/>
      <c r="W1331" s="300"/>
      <c r="X1331" s="300"/>
      <c r="Y1331" s="300"/>
      <c r="Z1331" s="300"/>
    </row>
    <row r="1332" spans="1:26">
      <c r="A1332" s="215" t="s">
        <v>3368</v>
      </c>
      <c r="B1332" s="207">
        <v>1583</v>
      </c>
      <c r="C1332" s="215" t="s">
        <v>9379</v>
      </c>
      <c r="D1332" s="215" t="s">
        <v>9380</v>
      </c>
      <c r="E1332" s="215" t="s">
        <v>9380</v>
      </c>
      <c r="F1332" s="215" t="s">
        <v>9143</v>
      </c>
      <c r="G1332" s="215" t="s">
        <v>9144</v>
      </c>
      <c r="H1332" s="215" t="s">
        <v>6497</v>
      </c>
      <c r="I1332" s="300"/>
      <c r="J1332" s="300"/>
      <c r="K1332" s="300"/>
      <c r="L1332" s="300"/>
      <c r="M1332" s="300"/>
      <c r="N1332" s="300"/>
      <c r="O1332" s="300"/>
      <c r="P1332" s="300"/>
      <c r="Q1332" s="300"/>
      <c r="R1332" s="300"/>
      <c r="S1332" s="300"/>
      <c r="T1332" s="300"/>
      <c r="U1332" s="300"/>
      <c r="V1332" s="300"/>
      <c r="W1332" s="300"/>
      <c r="X1332" s="300"/>
      <c r="Y1332" s="300"/>
      <c r="Z1332" s="300"/>
    </row>
    <row r="1333" spans="1:26">
      <c r="A1333" s="215" t="s">
        <v>3370</v>
      </c>
      <c r="B1333" s="207">
        <v>1584</v>
      </c>
      <c r="C1333" s="215" t="s">
        <v>5490</v>
      </c>
      <c r="D1333" s="215" t="s">
        <v>9381</v>
      </c>
      <c r="E1333" s="215" t="s">
        <v>9382</v>
      </c>
      <c r="F1333" s="215" t="s">
        <v>9143</v>
      </c>
      <c r="G1333" s="215" t="s">
        <v>9144</v>
      </c>
      <c r="H1333" s="215" t="s">
        <v>6497</v>
      </c>
      <c r="I1333" s="300"/>
      <c r="J1333" s="300"/>
      <c r="K1333" s="300"/>
      <c r="L1333" s="300"/>
      <c r="M1333" s="300"/>
      <c r="N1333" s="300"/>
      <c r="O1333" s="300"/>
      <c r="P1333" s="300"/>
      <c r="Q1333" s="300"/>
      <c r="R1333" s="300"/>
      <c r="S1333" s="300"/>
      <c r="T1333" s="300"/>
      <c r="U1333" s="300"/>
      <c r="V1333" s="300"/>
      <c r="W1333" s="300"/>
      <c r="X1333" s="300"/>
      <c r="Y1333" s="300"/>
      <c r="Z1333" s="300"/>
    </row>
    <row r="1334" spans="1:26">
      <c r="A1334" s="215" t="s">
        <v>4214</v>
      </c>
      <c r="B1334" s="207">
        <v>1585</v>
      </c>
      <c r="C1334" s="215" t="s">
        <v>6025</v>
      </c>
      <c r="D1334" s="215" t="s">
        <v>9383</v>
      </c>
      <c r="E1334" s="215" t="s">
        <v>9384</v>
      </c>
      <c r="F1334" s="215" t="s">
        <v>9143</v>
      </c>
      <c r="G1334" s="215" t="s">
        <v>9144</v>
      </c>
      <c r="H1334" s="215" t="s">
        <v>6521</v>
      </c>
      <c r="I1334" s="300"/>
      <c r="J1334" s="300"/>
      <c r="K1334" s="300"/>
      <c r="L1334" s="300"/>
      <c r="M1334" s="300"/>
      <c r="N1334" s="300"/>
      <c r="O1334" s="300"/>
      <c r="P1334" s="300"/>
      <c r="Q1334" s="300"/>
      <c r="R1334" s="300"/>
      <c r="S1334" s="300"/>
      <c r="T1334" s="300"/>
      <c r="U1334" s="300"/>
      <c r="V1334" s="300"/>
      <c r="W1334" s="300"/>
      <c r="X1334" s="300"/>
      <c r="Y1334" s="300"/>
      <c r="Z1334" s="300"/>
    </row>
    <row r="1335" spans="1:26">
      <c r="A1335" s="215" t="s">
        <v>9385</v>
      </c>
      <c r="B1335" s="207">
        <v>1586</v>
      </c>
      <c r="C1335" s="215" t="s">
        <v>5250</v>
      </c>
      <c r="D1335" s="215" t="s">
        <v>9386</v>
      </c>
      <c r="E1335" s="215" t="s">
        <v>9387</v>
      </c>
      <c r="F1335" s="215" t="s">
        <v>9143</v>
      </c>
      <c r="G1335" s="215" t="s">
        <v>9144</v>
      </c>
      <c r="H1335" s="215" t="s">
        <v>6521</v>
      </c>
      <c r="I1335" s="300"/>
      <c r="J1335" s="300"/>
      <c r="K1335" s="300"/>
      <c r="L1335" s="300"/>
      <c r="M1335" s="300"/>
      <c r="N1335" s="300"/>
      <c r="O1335" s="300"/>
      <c r="P1335" s="300"/>
      <c r="Q1335" s="300"/>
      <c r="R1335" s="300"/>
      <c r="S1335" s="300"/>
      <c r="T1335" s="300"/>
      <c r="U1335" s="300"/>
      <c r="V1335" s="300"/>
      <c r="W1335" s="300"/>
      <c r="X1335" s="300"/>
      <c r="Y1335" s="300"/>
      <c r="Z1335" s="300"/>
    </row>
    <row r="1336" spans="1:26">
      <c r="A1336" s="215" t="s">
        <v>3894</v>
      </c>
      <c r="B1336" s="207">
        <v>1587</v>
      </c>
      <c r="C1336" s="215" t="s">
        <v>4935</v>
      </c>
      <c r="D1336" s="215" t="s">
        <v>9388</v>
      </c>
      <c r="E1336" s="215" t="s">
        <v>9389</v>
      </c>
      <c r="F1336" s="215" t="s">
        <v>9143</v>
      </c>
      <c r="G1336" s="215" t="s">
        <v>9144</v>
      </c>
      <c r="H1336" s="215" t="s">
        <v>6497</v>
      </c>
      <c r="I1336" s="300"/>
      <c r="J1336" s="300"/>
      <c r="K1336" s="300"/>
      <c r="L1336" s="300"/>
      <c r="M1336" s="300"/>
      <c r="N1336" s="300"/>
      <c r="O1336" s="300"/>
      <c r="P1336" s="300"/>
      <c r="Q1336" s="300"/>
      <c r="R1336" s="300"/>
      <c r="S1336" s="300"/>
      <c r="T1336" s="300"/>
      <c r="U1336" s="300"/>
      <c r="V1336" s="300"/>
      <c r="W1336" s="300"/>
      <c r="X1336" s="300"/>
      <c r="Y1336" s="300"/>
      <c r="Z1336" s="300"/>
    </row>
    <row r="1337" spans="1:26">
      <c r="A1337" s="215" t="s">
        <v>3366</v>
      </c>
      <c r="B1337" s="207">
        <v>1588</v>
      </c>
      <c r="C1337" s="215" t="s">
        <v>5487</v>
      </c>
      <c r="D1337" s="215" t="s">
        <v>9390</v>
      </c>
      <c r="E1337" s="215" t="s">
        <v>9391</v>
      </c>
      <c r="F1337" s="215" t="s">
        <v>9143</v>
      </c>
      <c r="G1337" s="215" t="s">
        <v>9144</v>
      </c>
      <c r="H1337" s="215" t="s">
        <v>6500</v>
      </c>
      <c r="I1337" s="300"/>
      <c r="J1337" s="300"/>
      <c r="K1337" s="300"/>
      <c r="L1337" s="300"/>
      <c r="M1337" s="300"/>
      <c r="N1337" s="300"/>
      <c r="O1337" s="300"/>
      <c r="P1337" s="300"/>
      <c r="Q1337" s="300"/>
      <c r="R1337" s="300"/>
      <c r="S1337" s="300"/>
      <c r="T1337" s="300"/>
      <c r="U1337" s="300"/>
      <c r="V1337" s="300"/>
      <c r="W1337" s="300"/>
      <c r="X1337" s="300"/>
      <c r="Y1337" s="300"/>
      <c r="Z1337" s="300"/>
    </row>
    <row r="1338" spans="1:26">
      <c r="A1338" s="215" t="s">
        <v>3762</v>
      </c>
      <c r="B1338" s="207">
        <v>1589</v>
      </c>
      <c r="C1338" s="215" t="s">
        <v>5839</v>
      </c>
      <c r="D1338" s="215" t="s">
        <v>9392</v>
      </c>
      <c r="E1338" s="215" t="s">
        <v>9393</v>
      </c>
      <c r="F1338" s="215" t="s">
        <v>9143</v>
      </c>
      <c r="G1338" s="215" t="s">
        <v>9144</v>
      </c>
      <c r="H1338" s="215" t="s">
        <v>6497</v>
      </c>
      <c r="I1338" s="300"/>
      <c r="J1338" s="300"/>
      <c r="K1338" s="300"/>
      <c r="L1338" s="300"/>
      <c r="M1338" s="300"/>
      <c r="N1338" s="300"/>
      <c r="O1338" s="300"/>
      <c r="P1338" s="300"/>
      <c r="Q1338" s="300"/>
      <c r="R1338" s="300"/>
      <c r="S1338" s="300"/>
      <c r="T1338" s="300"/>
      <c r="U1338" s="300"/>
      <c r="V1338" s="300"/>
      <c r="W1338" s="300"/>
      <c r="X1338" s="300"/>
      <c r="Y1338" s="300"/>
      <c r="Z1338" s="300"/>
    </row>
    <row r="1339" spans="1:26">
      <c r="A1339" s="215" t="s">
        <v>3367</v>
      </c>
      <c r="B1339" s="207">
        <v>1590</v>
      </c>
      <c r="C1339" s="215" t="s">
        <v>5488</v>
      </c>
      <c r="D1339" s="215" t="s">
        <v>9394</v>
      </c>
      <c r="E1339" s="215" t="s">
        <v>9395</v>
      </c>
      <c r="F1339" s="215" t="s">
        <v>9143</v>
      </c>
      <c r="G1339" s="215" t="s">
        <v>9144</v>
      </c>
      <c r="H1339" s="215" t="s">
        <v>6500</v>
      </c>
      <c r="I1339" s="300"/>
      <c r="J1339" s="300"/>
      <c r="K1339" s="300"/>
      <c r="L1339" s="300"/>
      <c r="M1339" s="300"/>
      <c r="N1339" s="300"/>
      <c r="O1339" s="300"/>
      <c r="P1339" s="300"/>
      <c r="Q1339" s="300"/>
      <c r="R1339" s="300"/>
      <c r="S1339" s="300"/>
      <c r="T1339" s="300"/>
      <c r="U1339" s="300"/>
      <c r="V1339" s="300"/>
      <c r="W1339" s="300"/>
      <c r="X1339" s="300"/>
      <c r="Y1339" s="300"/>
      <c r="Z1339" s="300"/>
    </row>
    <row r="1340" spans="1:26">
      <c r="A1340" s="215" t="s">
        <v>3456</v>
      </c>
      <c r="B1340" s="207">
        <v>1591</v>
      </c>
      <c r="C1340" s="215" t="s">
        <v>9396</v>
      </c>
      <c r="D1340" s="215" t="s">
        <v>9397</v>
      </c>
      <c r="E1340" s="215" t="s">
        <v>9398</v>
      </c>
      <c r="F1340" s="215" t="s">
        <v>9143</v>
      </c>
      <c r="G1340" s="215" t="s">
        <v>9144</v>
      </c>
      <c r="H1340" s="215" t="s">
        <v>6521</v>
      </c>
      <c r="I1340" s="300"/>
      <c r="J1340" s="300"/>
      <c r="K1340" s="300"/>
      <c r="L1340" s="300"/>
      <c r="M1340" s="300"/>
      <c r="N1340" s="300"/>
      <c r="O1340" s="300"/>
      <c r="P1340" s="300"/>
      <c r="Q1340" s="300"/>
      <c r="R1340" s="300"/>
      <c r="S1340" s="300"/>
      <c r="T1340" s="300"/>
      <c r="U1340" s="300"/>
      <c r="V1340" s="300"/>
      <c r="W1340" s="300"/>
      <c r="X1340" s="300"/>
      <c r="Y1340" s="300"/>
      <c r="Z1340" s="300"/>
    </row>
    <row r="1341" spans="1:26">
      <c r="A1341" s="215" t="s">
        <v>3419</v>
      </c>
      <c r="B1341" s="207">
        <v>1592</v>
      </c>
      <c r="C1341" s="215" t="s">
        <v>5542</v>
      </c>
      <c r="D1341" s="215" t="s">
        <v>9399</v>
      </c>
      <c r="E1341" s="215" t="s">
        <v>9399</v>
      </c>
      <c r="F1341" s="215" t="s">
        <v>9143</v>
      </c>
      <c r="G1341" s="215" t="s">
        <v>9144</v>
      </c>
      <c r="H1341" s="215" t="s">
        <v>6500</v>
      </c>
      <c r="I1341" s="300"/>
      <c r="J1341" s="300"/>
      <c r="K1341" s="300"/>
      <c r="L1341" s="300"/>
      <c r="M1341" s="300"/>
      <c r="N1341" s="300"/>
      <c r="O1341" s="300"/>
      <c r="P1341" s="300"/>
      <c r="Q1341" s="300"/>
      <c r="R1341" s="300"/>
      <c r="S1341" s="300"/>
      <c r="T1341" s="300"/>
      <c r="U1341" s="300"/>
      <c r="V1341" s="300"/>
      <c r="W1341" s="300"/>
      <c r="X1341" s="300"/>
      <c r="Y1341" s="300"/>
      <c r="Z1341" s="300"/>
    </row>
    <row r="1342" spans="1:26">
      <c r="A1342" s="215" t="s">
        <v>3131</v>
      </c>
      <c r="B1342" s="207">
        <v>1606</v>
      </c>
      <c r="C1342" s="215" t="s">
        <v>9400</v>
      </c>
      <c r="D1342" s="215" t="s">
        <v>9401</v>
      </c>
      <c r="E1342" s="215" t="s">
        <v>9401</v>
      </c>
      <c r="F1342" s="215" t="s">
        <v>9143</v>
      </c>
      <c r="G1342" s="215" t="s">
        <v>9144</v>
      </c>
      <c r="H1342" s="215" t="s">
        <v>6497</v>
      </c>
      <c r="I1342" s="300"/>
      <c r="J1342" s="300"/>
      <c r="K1342" s="300"/>
      <c r="L1342" s="300"/>
      <c r="M1342" s="300"/>
      <c r="N1342" s="300"/>
      <c r="O1342" s="300"/>
      <c r="P1342" s="300"/>
      <c r="Q1342" s="300"/>
      <c r="R1342" s="300"/>
      <c r="S1342" s="300"/>
      <c r="T1342" s="300"/>
      <c r="U1342" s="300"/>
      <c r="V1342" s="300"/>
      <c r="W1342" s="300"/>
      <c r="X1342" s="300"/>
      <c r="Y1342" s="300"/>
      <c r="Z1342" s="300"/>
    </row>
    <row r="1343" spans="1:26">
      <c r="A1343" s="215" t="s">
        <v>2794</v>
      </c>
      <c r="B1343" s="207">
        <v>1607</v>
      </c>
      <c r="C1343" s="215" t="s">
        <v>4957</v>
      </c>
      <c r="D1343" s="215" t="s">
        <v>9402</v>
      </c>
      <c r="E1343" s="215" t="s">
        <v>9402</v>
      </c>
      <c r="F1343" s="215" t="s">
        <v>9143</v>
      </c>
      <c r="G1343" s="215" t="s">
        <v>9144</v>
      </c>
      <c r="H1343" s="215" t="s">
        <v>6500</v>
      </c>
      <c r="I1343" s="300"/>
      <c r="J1343" s="300"/>
      <c r="K1343" s="300"/>
      <c r="L1343" s="300"/>
      <c r="M1343" s="300"/>
      <c r="N1343" s="300"/>
      <c r="O1343" s="300"/>
      <c r="P1343" s="300"/>
      <c r="Q1343" s="300"/>
      <c r="R1343" s="300"/>
      <c r="S1343" s="300"/>
      <c r="T1343" s="300"/>
      <c r="U1343" s="300"/>
      <c r="V1343" s="300"/>
      <c r="W1343" s="300"/>
      <c r="X1343" s="300"/>
      <c r="Y1343" s="300"/>
      <c r="Z1343" s="300"/>
    </row>
    <row r="1344" spans="1:26">
      <c r="A1344" s="215"/>
      <c r="B1344" s="207">
        <v>1608</v>
      </c>
      <c r="C1344" s="215" t="s">
        <v>9403</v>
      </c>
      <c r="D1344" s="215" t="s">
        <v>9404</v>
      </c>
      <c r="E1344" s="215" t="s">
        <v>9405</v>
      </c>
      <c r="F1344" s="215" t="s">
        <v>9143</v>
      </c>
      <c r="G1344" s="215" t="s">
        <v>9144</v>
      </c>
      <c r="H1344" s="215" t="s">
        <v>6500</v>
      </c>
      <c r="I1344" s="300"/>
      <c r="J1344" s="300"/>
      <c r="K1344" s="300"/>
      <c r="L1344" s="300"/>
      <c r="M1344" s="300"/>
      <c r="N1344" s="300"/>
      <c r="O1344" s="300"/>
      <c r="P1344" s="300"/>
      <c r="Q1344" s="300"/>
      <c r="R1344" s="300"/>
      <c r="S1344" s="300"/>
      <c r="T1344" s="300"/>
      <c r="U1344" s="300"/>
      <c r="V1344" s="300"/>
      <c r="W1344" s="300"/>
      <c r="X1344" s="300"/>
      <c r="Y1344" s="300"/>
      <c r="Z1344" s="300"/>
    </row>
    <row r="1345" spans="1:26">
      <c r="A1345" s="215" t="s">
        <v>4120</v>
      </c>
      <c r="B1345" s="207">
        <v>1690</v>
      </c>
      <c r="C1345" s="215" t="s">
        <v>4811</v>
      </c>
      <c r="D1345" s="215" t="s">
        <v>2643</v>
      </c>
      <c r="E1345" s="215" t="s">
        <v>2643</v>
      </c>
      <c r="F1345" s="215" t="s">
        <v>9143</v>
      </c>
      <c r="G1345" s="215" t="s">
        <v>9144</v>
      </c>
      <c r="H1345" s="215" t="s">
        <v>6497</v>
      </c>
      <c r="I1345" s="300"/>
      <c r="J1345" s="300"/>
      <c r="K1345" s="300"/>
      <c r="L1345" s="300"/>
      <c r="M1345" s="300"/>
      <c r="N1345" s="300"/>
      <c r="O1345" s="300"/>
      <c r="P1345" s="300"/>
      <c r="Q1345" s="300"/>
      <c r="R1345" s="300"/>
      <c r="S1345" s="300"/>
      <c r="T1345" s="300"/>
      <c r="U1345" s="300"/>
      <c r="V1345" s="300"/>
      <c r="W1345" s="300"/>
      <c r="X1345" s="300"/>
      <c r="Y1345" s="300"/>
      <c r="Z1345" s="300"/>
    </row>
    <row r="1346" spans="1:26">
      <c r="A1346" s="215" t="s">
        <v>3853</v>
      </c>
      <c r="B1346" s="207">
        <v>2455</v>
      </c>
      <c r="C1346" s="215" t="s">
        <v>9406</v>
      </c>
      <c r="D1346" s="215" t="s">
        <v>9407</v>
      </c>
      <c r="E1346" s="215" t="s">
        <v>9408</v>
      </c>
      <c r="F1346" s="215" t="s">
        <v>9143</v>
      </c>
      <c r="G1346" s="215" t="s">
        <v>9144</v>
      </c>
      <c r="H1346" s="215" t="s">
        <v>6497</v>
      </c>
      <c r="I1346" s="300"/>
      <c r="J1346" s="300"/>
      <c r="K1346" s="300"/>
      <c r="L1346" s="300"/>
      <c r="M1346" s="300"/>
      <c r="N1346" s="300"/>
      <c r="O1346" s="300"/>
      <c r="P1346" s="300"/>
      <c r="Q1346" s="300"/>
      <c r="R1346" s="300"/>
      <c r="S1346" s="300"/>
      <c r="T1346" s="300"/>
      <c r="U1346" s="300"/>
      <c r="V1346" s="300"/>
      <c r="W1346" s="300"/>
      <c r="X1346" s="300"/>
      <c r="Y1346" s="300"/>
      <c r="Z1346" s="300"/>
    </row>
    <row r="1347" spans="1:26">
      <c r="A1347" s="215" t="s">
        <v>2809</v>
      </c>
      <c r="B1347" s="207">
        <v>2484</v>
      </c>
      <c r="C1347" s="215" t="s">
        <v>9409</v>
      </c>
      <c r="D1347" s="215" t="s">
        <v>7440</v>
      </c>
      <c r="E1347" s="215" t="s">
        <v>9410</v>
      </c>
      <c r="F1347" s="215" t="s">
        <v>9143</v>
      </c>
      <c r="G1347" s="215" t="s">
        <v>9144</v>
      </c>
      <c r="H1347" s="215" t="s">
        <v>6500</v>
      </c>
      <c r="I1347" s="300"/>
      <c r="J1347" s="300"/>
      <c r="K1347" s="300"/>
      <c r="L1347" s="300"/>
      <c r="M1347" s="300"/>
      <c r="N1347" s="300"/>
      <c r="O1347" s="300"/>
      <c r="P1347" s="300"/>
      <c r="Q1347" s="300"/>
      <c r="R1347" s="300"/>
      <c r="S1347" s="300"/>
      <c r="T1347" s="300"/>
      <c r="U1347" s="300"/>
      <c r="V1347" s="300"/>
      <c r="W1347" s="300"/>
      <c r="X1347" s="300"/>
      <c r="Y1347" s="300"/>
      <c r="Z1347" s="300"/>
    </row>
    <row r="1348" spans="1:26">
      <c r="A1348" s="215" t="s">
        <v>2646</v>
      </c>
      <c r="B1348" s="207">
        <v>2722</v>
      </c>
      <c r="C1348" s="215" t="s">
        <v>9411</v>
      </c>
      <c r="D1348" s="215" t="s">
        <v>9412</v>
      </c>
      <c r="E1348" s="215" t="s">
        <v>9413</v>
      </c>
      <c r="F1348" s="215" t="s">
        <v>9143</v>
      </c>
      <c r="G1348" s="215" t="s">
        <v>9144</v>
      </c>
      <c r="H1348" s="215" t="s">
        <v>6497</v>
      </c>
      <c r="I1348" s="300"/>
      <c r="J1348" s="300"/>
      <c r="K1348" s="300"/>
      <c r="L1348" s="300"/>
      <c r="M1348" s="300"/>
      <c r="N1348" s="300"/>
      <c r="O1348" s="300"/>
      <c r="P1348" s="300"/>
      <c r="Q1348" s="300"/>
      <c r="R1348" s="300"/>
      <c r="S1348" s="300"/>
      <c r="T1348" s="300"/>
      <c r="U1348" s="300"/>
      <c r="V1348" s="300"/>
      <c r="W1348" s="300"/>
      <c r="X1348" s="300"/>
      <c r="Y1348" s="300"/>
      <c r="Z1348" s="300"/>
    </row>
    <row r="1349" spans="1:26">
      <c r="A1349" s="215"/>
      <c r="B1349" s="207">
        <v>2723</v>
      </c>
      <c r="C1349" s="215" t="s">
        <v>5440</v>
      </c>
      <c r="D1349" s="215" t="s">
        <v>9414</v>
      </c>
      <c r="E1349" s="215" t="s">
        <v>9414</v>
      </c>
      <c r="F1349" s="215" t="s">
        <v>9143</v>
      </c>
      <c r="G1349" s="215" t="s">
        <v>9144</v>
      </c>
      <c r="H1349" s="215" t="s">
        <v>6500</v>
      </c>
      <c r="I1349" s="300"/>
      <c r="J1349" s="300"/>
      <c r="K1349" s="300"/>
      <c r="L1349" s="300"/>
      <c r="M1349" s="300"/>
      <c r="N1349" s="300"/>
      <c r="O1349" s="300"/>
      <c r="P1349" s="300"/>
      <c r="Q1349" s="300"/>
      <c r="R1349" s="300"/>
      <c r="S1349" s="300"/>
      <c r="T1349" s="300"/>
      <c r="U1349" s="300"/>
      <c r="V1349" s="300"/>
      <c r="W1349" s="300"/>
      <c r="X1349" s="300"/>
      <c r="Y1349" s="300"/>
      <c r="Z1349" s="300"/>
    </row>
    <row r="1350" spans="1:26">
      <c r="A1350" s="215" t="s">
        <v>2780</v>
      </c>
      <c r="B1350" s="207">
        <v>433</v>
      </c>
      <c r="C1350" s="215" t="s">
        <v>4940</v>
      </c>
      <c r="D1350" s="215" t="s">
        <v>9415</v>
      </c>
      <c r="E1350" s="215" t="s">
        <v>9415</v>
      </c>
      <c r="F1350" s="215" t="s">
        <v>9416</v>
      </c>
      <c r="G1350" s="215" t="s">
        <v>9417</v>
      </c>
      <c r="H1350" s="215" t="s">
        <v>6500</v>
      </c>
      <c r="I1350" s="300"/>
      <c r="J1350" s="300"/>
      <c r="K1350" s="300"/>
      <c r="L1350" s="300"/>
      <c r="M1350" s="300"/>
      <c r="N1350" s="300"/>
      <c r="O1350" s="300"/>
      <c r="P1350" s="300"/>
      <c r="Q1350" s="300"/>
      <c r="R1350" s="300"/>
      <c r="S1350" s="300"/>
      <c r="T1350" s="300"/>
      <c r="U1350" s="300"/>
      <c r="V1350" s="300"/>
      <c r="W1350" s="300"/>
      <c r="X1350" s="300"/>
      <c r="Y1350" s="300"/>
      <c r="Z1350" s="300"/>
    </row>
    <row r="1351" spans="1:26">
      <c r="A1351" s="215" t="s">
        <v>3064</v>
      </c>
      <c r="B1351" s="207">
        <v>435</v>
      </c>
      <c r="C1351" s="215" t="s">
        <v>5200</v>
      </c>
      <c r="D1351" s="215" t="s">
        <v>9418</v>
      </c>
      <c r="E1351" s="215" t="s">
        <v>9418</v>
      </c>
      <c r="F1351" s="215" t="s">
        <v>9416</v>
      </c>
      <c r="G1351" s="215" t="s">
        <v>9417</v>
      </c>
      <c r="H1351" s="215" t="s">
        <v>6500</v>
      </c>
      <c r="I1351" s="300"/>
      <c r="J1351" s="300"/>
      <c r="K1351" s="300"/>
      <c r="L1351" s="300"/>
      <c r="M1351" s="300"/>
      <c r="N1351" s="300"/>
      <c r="O1351" s="300"/>
      <c r="P1351" s="300"/>
      <c r="Q1351" s="300"/>
      <c r="R1351" s="300"/>
      <c r="S1351" s="300"/>
      <c r="T1351" s="300"/>
      <c r="U1351" s="300"/>
      <c r="V1351" s="300"/>
      <c r="W1351" s="300"/>
      <c r="X1351" s="300"/>
      <c r="Y1351" s="300"/>
      <c r="Z1351" s="300"/>
    </row>
    <row r="1352" spans="1:26">
      <c r="A1352" s="215" t="s">
        <v>3536</v>
      </c>
      <c r="B1352" s="207">
        <v>1028</v>
      </c>
      <c r="C1352" s="215" t="s">
        <v>2613</v>
      </c>
      <c r="D1352" s="215" t="s">
        <v>9419</v>
      </c>
      <c r="E1352" s="215" t="s">
        <v>9419</v>
      </c>
      <c r="F1352" s="215" t="s">
        <v>9416</v>
      </c>
      <c r="G1352" s="215" t="s">
        <v>9417</v>
      </c>
      <c r="H1352" s="215" t="s">
        <v>6500</v>
      </c>
      <c r="I1352" s="300"/>
      <c r="J1352" s="300"/>
      <c r="K1352" s="300"/>
      <c r="L1352" s="300"/>
      <c r="M1352" s="300"/>
      <c r="N1352" s="300"/>
      <c r="O1352" s="300"/>
      <c r="P1352" s="300"/>
      <c r="Q1352" s="300"/>
      <c r="R1352" s="300"/>
      <c r="S1352" s="300"/>
      <c r="T1352" s="300"/>
      <c r="U1352" s="300"/>
      <c r="V1352" s="300"/>
      <c r="W1352" s="300"/>
      <c r="X1352" s="300"/>
      <c r="Y1352" s="300"/>
      <c r="Z1352" s="300"/>
    </row>
    <row r="1353" spans="1:26">
      <c r="A1353" s="215" t="s">
        <v>9420</v>
      </c>
      <c r="B1353" s="207">
        <v>1114</v>
      </c>
      <c r="C1353" s="215" t="s">
        <v>6176</v>
      </c>
      <c r="D1353" s="215" t="s">
        <v>9421</v>
      </c>
      <c r="E1353" s="215" t="s">
        <v>9421</v>
      </c>
      <c r="F1353" s="215" t="s">
        <v>9416</v>
      </c>
      <c r="G1353" s="215" t="s">
        <v>9417</v>
      </c>
      <c r="H1353" s="215" t="s">
        <v>6521</v>
      </c>
      <c r="I1353" s="300"/>
      <c r="J1353" s="300"/>
      <c r="K1353" s="300"/>
      <c r="L1353" s="300"/>
      <c r="M1353" s="300"/>
      <c r="N1353" s="300"/>
      <c r="O1353" s="300"/>
      <c r="P1353" s="300"/>
      <c r="Q1353" s="300"/>
      <c r="R1353" s="300"/>
      <c r="S1353" s="300"/>
      <c r="T1353" s="300"/>
      <c r="U1353" s="300"/>
      <c r="V1353" s="300"/>
      <c r="W1353" s="300"/>
      <c r="X1353" s="300"/>
      <c r="Y1353" s="300"/>
      <c r="Z1353" s="300"/>
    </row>
    <row r="1354" spans="1:26">
      <c r="A1354" s="215" t="s">
        <v>2674</v>
      </c>
      <c r="B1354" s="207">
        <v>1202</v>
      </c>
      <c r="C1354" s="215" t="s">
        <v>4848</v>
      </c>
      <c r="D1354" s="215" t="s">
        <v>9422</v>
      </c>
      <c r="E1354" s="215" t="s">
        <v>9423</v>
      </c>
      <c r="F1354" s="215" t="s">
        <v>9416</v>
      </c>
      <c r="G1354" s="215" t="s">
        <v>9417</v>
      </c>
      <c r="H1354" s="215" t="s">
        <v>6521</v>
      </c>
      <c r="I1354" s="300"/>
      <c r="J1354" s="300"/>
      <c r="K1354" s="300"/>
      <c r="L1354" s="300"/>
      <c r="M1354" s="300"/>
      <c r="N1354" s="300"/>
      <c r="O1354" s="300"/>
      <c r="P1354" s="300"/>
      <c r="Q1354" s="300"/>
      <c r="R1354" s="300"/>
      <c r="S1354" s="300"/>
      <c r="T1354" s="300"/>
      <c r="U1354" s="300"/>
      <c r="V1354" s="300"/>
      <c r="W1354" s="300"/>
      <c r="X1354" s="300"/>
      <c r="Y1354" s="300"/>
      <c r="Z1354" s="300"/>
    </row>
    <row r="1355" spans="1:26">
      <c r="A1355" s="215" t="s">
        <v>3376</v>
      </c>
      <c r="B1355" s="207">
        <v>1565</v>
      </c>
      <c r="C1355" s="215" t="s">
        <v>5497</v>
      </c>
      <c r="D1355" s="215" t="s">
        <v>9424</v>
      </c>
      <c r="E1355" s="215" t="s">
        <v>9425</v>
      </c>
      <c r="F1355" s="215" t="s">
        <v>9416</v>
      </c>
      <c r="G1355" s="215" t="s">
        <v>9417</v>
      </c>
      <c r="H1355" s="215" t="s">
        <v>6521</v>
      </c>
      <c r="I1355" s="300"/>
      <c r="J1355" s="300"/>
      <c r="K1355" s="300"/>
      <c r="L1355" s="300"/>
      <c r="M1355" s="300"/>
      <c r="N1355" s="300"/>
      <c r="O1355" s="300"/>
      <c r="P1355" s="300"/>
      <c r="Q1355" s="300"/>
      <c r="R1355" s="300"/>
      <c r="S1355" s="300"/>
      <c r="T1355" s="300"/>
      <c r="U1355" s="300"/>
      <c r="V1355" s="300"/>
      <c r="W1355" s="300"/>
      <c r="X1355" s="300"/>
      <c r="Y1355" s="300"/>
      <c r="Z1355" s="300"/>
    </row>
    <row r="1356" spans="1:26">
      <c r="A1356" s="215" t="s">
        <v>2794</v>
      </c>
      <c r="B1356" s="207">
        <v>1567</v>
      </c>
      <c r="C1356" s="215" t="s">
        <v>9426</v>
      </c>
      <c r="D1356" s="215" t="s">
        <v>9427</v>
      </c>
      <c r="E1356" s="215" t="s">
        <v>9360</v>
      </c>
      <c r="F1356" s="215" t="s">
        <v>9428</v>
      </c>
      <c r="G1356" s="215" t="s">
        <v>9429</v>
      </c>
      <c r="H1356" s="215" t="s">
        <v>6500</v>
      </c>
      <c r="I1356" s="300"/>
      <c r="J1356" s="300"/>
      <c r="K1356" s="300"/>
      <c r="L1356" s="300"/>
      <c r="M1356" s="300"/>
      <c r="N1356" s="300"/>
      <c r="O1356" s="300"/>
      <c r="P1356" s="300"/>
      <c r="Q1356" s="300"/>
      <c r="R1356" s="300"/>
      <c r="S1356" s="300"/>
      <c r="T1356" s="300"/>
      <c r="U1356" s="300"/>
      <c r="V1356" s="300"/>
      <c r="W1356" s="300"/>
      <c r="X1356" s="300"/>
      <c r="Y1356" s="300"/>
      <c r="Z1356" s="300"/>
    </row>
    <row r="1357" spans="1:26">
      <c r="A1357" s="215"/>
      <c r="B1357" s="207">
        <v>2487</v>
      </c>
      <c r="C1357" s="215" t="s">
        <v>6093</v>
      </c>
      <c r="D1357" s="215" t="s">
        <v>9430</v>
      </c>
      <c r="E1357" s="215" t="s">
        <v>9431</v>
      </c>
      <c r="F1357" s="215" t="s">
        <v>9428</v>
      </c>
      <c r="G1357" s="215" t="s">
        <v>9429</v>
      </c>
      <c r="H1357" s="215" t="s">
        <v>6500</v>
      </c>
      <c r="I1357" s="300"/>
      <c r="J1357" s="300"/>
      <c r="K1357" s="300"/>
      <c r="L1357" s="300"/>
      <c r="M1357" s="300"/>
      <c r="N1357" s="300"/>
      <c r="O1357" s="300"/>
      <c r="P1357" s="300"/>
      <c r="Q1357" s="300"/>
      <c r="R1357" s="300"/>
      <c r="S1357" s="300"/>
      <c r="T1357" s="300"/>
      <c r="U1357" s="300"/>
      <c r="V1357" s="300"/>
      <c r="W1357" s="300"/>
      <c r="X1357" s="300"/>
      <c r="Y1357" s="300"/>
      <c r="Z1357" s="300"/>
    </row>
    <row r="1358" spans="1:26">
      <c r="A1358" s="215" t="s">
        <v>2785</v>
      </c>
      <c r="B1358" s="207">
        <v>2714</v>
      </c>
      <c r="C1358" s="215" t="s">
        <v>4947</v>
      </c>
      <c r="D1358" s="215" t="s">
        <v>9432</v>
      </c>
      <c r="E1358" s="215" t="s">
        <v>9432</v>
      </c>
      <c r="F1358" s="215" t="s">
        <v>9428</v>
      </c>
      <c r="G1358" s="215" t="s">
        <v>9429</v>
      </c>
      <c r="H1358" s="215" t="s">
        <v>6521</v>
      </c>
      <c r="I1358" s="300"/>
      <c r="J1358" s="300"/>
      <c r="K1358" s="300"/>
      <c r="L1358" s="300"/>
      <c r="M1358" s="300"/>
      <c r="N1358" s="300"/>
      <c r="O1358" s="300"/>
      <c r="P1358" s="300"/>
      <c r="Q1358" s="300"/>
      <c r="R1358" s="300"/>
      <c r="S1358" s="300"/>
      <c r="T1358" s="300"/>
      <c r="U1358" s="300"/>
      <c r="V1358" s="300"/>
      <c r="W1358" s="300"/>
      <c r="X1358" s="300"/>
      <c r="Y1358" s="300"/>
      <c r="Z1358" s="300"/>
    </row>
    <row r="1359" spans="1:26">
      <c r="A1359" s="215" t="s">
        <v>4131</v>
      </c>
      <c r="B1359" s="207">
        <v>2715</v>
      </c>
      <c r="C1359" s="215" t="s">
        <v>9433</v>
      </c>
      <c r="D1359" s="215" t="s">
        <v>9434</v>
      </c>
      <c r="E1359" s="215" t="s">
        <v>9434</v>
      </c>
      <c r="F1359" s="215" t="s">
        <v>9428</v>
      </c>
      <c r="G1359" s="215" t="s">
        <v>9429</v>
      </c>
      <c r="H1359" s="215" t="s">
        <v>6521</v>
      </c>
      <c r="I1359" s="300"/>
      <c r="J1359" s="300"/>
      <c r="K1359" s="300"/>
      <c r="L1359" s="300"/>
      <c r="M1359" s="300"/>
      <c r="N1359" s="300"/>
      <c r="O1359" s="300"/>
      <c r="P1359" s="300"/>
      <c r="Q1359" s="300"/>
      <c r="R1359" s="300"/>
      <c r="S1359" s="300"/>
      <c r="T1359" s="300"/>
      <c r="U1359" s="300"/>
      <c r="V1359" s="300"/>
      <c r="W1359" s="300"/>
      <c r="X1359" s="300"/>
      <c r="Y1359" s="300"/>
      <c r="Z1359" s="300"/>
    </row>
    <row r="1360" spans="1:26">
      <c r="A1360" s="215" t="s">
        <v>4559</v>
      </c>
      <c r="B1360" s="207">
        <v>2716</v>
      </c>
      <c r="C1360" s="215" t="s">
        <v>6469</v>
      </c>
      <c r="D1360" s="215" t="s">
        <v>9435</v>
      </c>
      <c r="E1360" s="215" t="s">
        <v>9435</v>
      </c>
      <c r="F1360" s="215" t="s">
        <v>9428</v>
      </c>
      <c r="G1360" s="215" t="s">
        <v>9429</v>
      </c>
      <c r="H1360" s="215" t="s">
        <v>6500</v>
      </c>
      <c r="I1360" s="300"/>
      <c r="J1360" s="300"/>
      <c r="K1360" s="300"/>
      <c r="L1360" s="300"/>
      <c r="M1360" s="300"/>
      <c r="N1360" s="300"/>
      <c r="O1360" s="300"/>
      <c r="P1360" s="300"/>
      <c r="Q1360" s="300"/>
      <c r="R1360" s="300"/>
      <c r="S1360" s="300"/>
      <c r="T1360" s="300"/>
      <c r="U1360" s="300"/>
      <c r="V1360" s="300"/>
      <c r="W1360" s="300"/>
      <c r="X1360" s="300"/>
      <c r="Y1360" s="300"/>
      <c r="Z1360" s="300"/>
    </row>
    <row r="1361" spans="1:26">
      <c r="A1361" s="215" t="s">
        <v>3302</v>
      </c>
      <c r="B1361" s="207">
        <v>2717</v>
      </c>
      <c r="C1361" s="215" t="s">
        <v>5431</v>
      </c>
      <c r="D1361" s="215" t="s">
        <v>3292</v>
      </c>
      <c r="E1361" s="215" t="s">
        <v>3292</v>
      </c>
      <c r="F1361" s="215" t="s">
        <v>9428</v>
      </c>
      <c r="G1361" s="215" t="s">
        <v>9429</v>
      </c>
      <c r="H1361" s="215" t="s">
        <v>6500</v>
      </c>
      <c r="I1361" s="300"/>
      <c r="J1361" s="300"/>
      <c r="K1361" s="300"/>
      <c r="L1361" s="300"/>
      <c r="M1361" s="300"/>
      <c r="N1361" s="300"/>
      <c r="O1361" s="300"/>
      <c r="P1361" s="300"/>
      <c r="Q1361" s="300"/>
      <c r="R1361" s="300"/>
      <c r="S1361" s="300"/>
      <c r="T1361" s="300"/>
      <c r="U1361" s="300"/>
      <c r="V1361" s="300"/>
      <c r="W1361" s="300"/>
      <c r="X1361" s="300"/>
      <c r="Y1361" s="300"/>
      <c r="Z1361" s="300"/>
    </row>
    <row r="1362" spans="1:26">
      <c r="A1362" s="215" t="s">
        <v>3965</v>
      </c>
      <c r="B1362" s="207">
        <v>2718</v>
      </c>
      <c r="C1362" s="215" t="s">
        <v>6001</v>
      </c>
      <c r="D1362" s="215" t="s">
        <v>9436</v>
      </c>
      <c r="E1362" s="215" t="s">
        <v>9436</v>
      </c>
      <c r="F1362" s="215" t="s">
        <v>9428</v>
      </c>
      <c r="G1362" s="215" t="s">
        <v>9429</v>
      </c>
      <c r="H1362" s="215" t="s">
        <v>6521</v>
      </c>
      <c r="I1362" s="300"/>
      <c r="J1362" s="300"/>
      <c r="K1362" s="300"/>
      <c r="L1362" s="300"/>
      <c r="M1362" s="300"/>
      <c r="N1362" s="300"/>
      <c r="O1362" s="300"/>
      <c r="P1362" s="300"/>
      <c r="Q1362" s="300"/>
      <c r="R1362" s="300"/>
      <c r="S1362" s="300"/>
      <c r="T1362" s="300"/>
      <c r="U1362" s="300"/>
      <c r="V1362" s="300"/>
      <c r="W1362" s="300"/>
      <c r="X1362" s="300"/>
      <c r="Y1362" s="300"/>
      <c r="Z1362" s="300"/>
    </row>
    <row r="1363" spans="1:26">
      <c r="A1363" s="215" t="s">
        <v>3240</v>
      </c>
      <c r="B1363" s="207">
        <v>1097</v>
      </c>
      <c r="C1363" s="215" t="s">
        <v>4811</v>
      </c>
      <c r="D1363" s="215" t="s">
        <v>2643</v>
      </c>
      <c r="E1363" s="215" t="s">
        <v>2643</v>
      </c>
      <c r="F1363" s="215" t="s">
        <v>9437</v>
      </c>
      <c r="G1363" s="215" t="s">
        <v>9438</v>
      </c>
      <c r="H1363" s="215" t="s">
        <v>6500</v>
      </c>
      <c r="I1363" s="300"/>
      <c r="J1363" s="300"/>
      <c r="K1363" s="300"/>
      <c r="L1363" s="300"/>
      <c r="M1363" s="300"/>
      <c r="N1363" s="300"/>
      <c r="O1363" s="300"/>
      <c r="P1363" s="300"/>
      <c r="Q1363" s="300"/>
      <c r="R1363" s="300"/>
      <c r="S1363" s="300"/>
      <c r="T1363" s="300"/>
      <c r="U1363" s="300"/>
      <c r="V1363" s="300"/>
      <c r="W1363" s="300"/>
      <c r="X1363" s="300"/>
      <c r="Y1363" s="300"/>
      <c r="Z1363" s="300"/>
    </row>
    <row r="1364" spans="1:26">
      <c r="A1364" s="215"/>
      <c r="B1364" s="207">
        <v>1601</v>
      </c>
      <c r="C1364" s="215" t="s">
        <v>5212</v>
      </c>
      <c r="D1364" s="215"/>
      <c r="E1364" s="215"/>
      <c r="F1364" s="215" t="s">
        <v>9439</v>
      </c>
      <c r="G1364" s="215" t="s">
        <v>9440</v>
      </c>
      <c r="H1364" s="215" t="s">
        <v>6548</v>
      </c>
      <c r="I1364" s="300"/>
      <c r="J1364" s="300"/>
      <c r="K1364" s="300"/>
      <c r="L1364" s="300"/>
      <c r="M1364" s="300"/>
      <c r="N1364" s="300"/>
      <c r="O1364" s="300"/>
      <c r="P1364" s="300"/>
      <c r="Q1364" s="300"/>
      <c r="R1364" s="300"/>
      <c r="S1364" s="300"/>
      <c r="T1364" s="300"/>
      <c r="U1364" s="300"/>
      <c r="V1364" s="300"/>
      <c r="W1364" s="300"/>
      <c r="X1364" s="300"/>
      <c r="Y1364" s="300"/>
      <c r="Z1364" s="300"/>
    </row>
    <row r="1365" spans="1:26">
      <c r="A1365" s="215" t="s">
        <v>3160</v>
      </c>
      <c r="B1365" s="207">
        <v>362</v>
      </c>
      <c r="C1365" s="215" t="s">
        <v>5294</v>
      </c>
      <c r="D1365" s="215" t="s">
        <v>9441</v>
      </c>
      <c r="E1365" s="215" t="s">
        <v>9442</v>
      </c>
      <c r="F1365" s="215" t="s">
        <v>9443</v>
      </c>
      <c r="G1365" s="215" t="s">
        <v>9444</v>
      </c>
      <c r="H1365" s="215" t="s">
        <v>6500</v>
      </c>
      <c r="I1365" s="300"/>
      <c r="J1365" s="300"/>
      <c r="K1365" s="300"/>
      <c r="L1365" s="300"/>
      <c r="M1365" s="300"/>
      <c r="N1365" s="300"/>
      <c r="O1365" s="300"/>
      <c r="P1365" s="300"/>
      <c r="Q1365" s="300"/>
      <c r="R1365" s="300"/>
      <c r="S1365" s="300"/>
      <c r="T1365" s="300"/>
      <c r="U1365" s="300"/>
      <c r="V1365" s="300"/>
      <c r="W1365" s="300"/>
      <c r="X1365" s="300"/>
      <c r="Y1365" s="300"/>
      <c r="Z1365" s="300"/>
    </row>
    <row r="1366" spans="1:26">
      <c r="A1366" s="215" t="s">
        <v>3423</v>
      </c>
      <c r="B1366" s="207">
        <v>847</v>
      </c>
      <c r="C1366" s="215" t="s">
        <v>9445</v>
      </c>
      <c r="D1366" s="215" t="s">
        <v>9446</v>
      </c>
      <c r="E1366" s="215" t="s">
        <v>9447</v>
      </c>
      <c r="F1366" s="215" t="s">
        <v>9448</v>
      </c>
      <c r="G1366" s="215" t="s">
        <v>9449</v>
      </c>
      <c r="H1366" s="215" t="s">
        <v>6521</v>
      </c>
      <c r="I1366" s="300"/>
      <c r="J1366" s="300"/>
      <c r="K1366" s="300"/>
      <c r="L1366" s="300"/>
      <c r="M1366" s="300"/>
      <c r="N1366" s="300"/>
      <c r="O1366" s="300"/>
      <c r="P1366" s="300"/>
      <c r="Q1366" s="300"/>
      <c r="R1366" s="300"/>
      <c r="S1366" s="300"/>
      <c r="T1366" s="300"/>
      <c r="U1366" s="300"/>
      <c r="V1366" s="300"/>
      <c r="W1366" s="300"/>
      <c r="X1366" s="300"/>
      <c r="Y1366" s="300"/>
      <c r="Z1366" s="300"/>
    </row>
    <row r="1367" spans="1:26">
      <c r="A1367" s="215" t="s">
        <v>9450</v>
      </c>
      <c r="B1367" s="207">
        <v>1495</v>
      </c>
      <c r="C1367" s="215" t="s">
        <v>5352</v>
      </c>
      <c r="D1367" s="215" t="s">
        <v>9451</v>
      </c>
      <c r="E1367" s="215" t="s">
        <v>9452</v>
      </c>
      <c r="F1367" s="215" t="s">
        <v>9448</v>
      </c>
      <c r="G1367" s="215" t="s">
        <v>9449</v>
      </c>
      <c r="H1367" s="215" t="s">
        <v>6500</v>
      </c>
      <c r="I1367" s="300"/>
      <c r="J1367" s="300"/>
      <c r="K1367" s="300"/>
      <c r="L1367" s="300"/>
      <c r="M1367" s="300"/>
      <c r="N1367" s="300"/>
      <c r="O1367" s="300"/>
      <c r="P1367" s="300"/>
      <c r="Q1367" s="300"/>
      <c r="R1367" s="300"/>
      <c r="S1367" s="300"/>
      <c r="T1367" s="300"/>
      <c r="U1367" s="300"/>
      <c r="V1367" s="300"/>
      <c r="W1367" s="300"/>
      <c r="X1367" s="300"/>
      <c r="Y1367" s="300"/>
      <c r="Z1367" s="300"/>
    </row>
    <row r="1368" spans="1:26">
      <c r="A1368" s="215" t="s">
        <v>9453</v>
      </c>
      <c r="B1368" s="207">
        <v>1765</v>
      </c>
      <c r="C1368" s="215" t="s">
        <v>5633</v>
      </c>
      <c r="D1368" s="215" t="s">
        <v>9454</v>
      </c>
      <c r="E1368" s="215" t="s">
        <v>9454</v>
      </c>
      <c r="F1368" s="215" t="s">
        <v>9448</v>
      </c>
      <c r="G1368" s="215" t="s">
        <v>9449</v>
      </c>
      <c r="H1368" s="215" t="s">
        <v>6500</v>
      </c>
      <c r="I1368" s="300"/>
      <c r="J1368" s="300"/>
      <c r="K1368" s="300"/>
      <c r="L1368" s="300"/>
      <c r="M1368" s="300"/>
      <c r="N1368" s="300"/>
      <c r="O1368" s="300"/>
      <c r="P1368" s="300"/>
      <c r="Q1368" s="300"/>
      <c r="R1368" s="300"/>
      <c r="S1368" s="300"/>
      <c r="T1368" s="300"/>
      <c r="U1368" s="300"/>
      <c r="V1368" s="300"/>
      <c r="W1368" s="300"/>
      <c r="X1368" s="300"/>
      <c r="Y1368" s="300"/>
      <c r="Z1368" s="300"/>
    </row>
    <row r="1369" spans="1:26">
      <c r="A1369" s="215" t="s">
        <v>3319</v>
      </c>
      <c r="B1369" s="207">
        <v>1768</v>
      </c>
      <c r="C1369" s="215" t="s">
        <v>5450</v>
      </c>
      <c r="D1369" s="215" t="s">
        <v>9455</v>
      </c>
      <c r="E1369" s="215" t="s">
        <v>9455</v>
      </c>
      <c r="F1369" s="215" t="s">
        <v>9448</v>
      </c>
      <c r="G1369" s="215" t="s">
        <v>9449</v>
      </c>
      <c r="H1369" s="215" t="s">
        <v>6500</v>
      </c>
      <c r="I1369" s="300"/>
      <c r="J1369" s="300"/>
      <c r="K1369" s="300"/>
      <c r="L1369" s="300"/>
      <c r="M1369" s="300"/>
      <c r="N1369" s="300"/>
      <c r="O1369" s="300"/>
      <c r="P1369" s="300"/>
      <c r="Q1369" s="300"/>
      <c r="R1369" s="300"/>
      <c r="S1369" s="300"/>
      <c r="T1369" s="300"/>
      <c r="U1369" s="300"/>
      <c r="V1369" s="300"/>
      <c r="W1369" s="300"/>
      <c r="X1369" s="300"/>
      <c r="Y1369" s="300"/>
      <c r="Z1369" s="300"/>
    </row>
    <row r="1370" spans="1:26">
      <c r="A1370" s="215" t="s">
        <v>3134</v>
      </c>
      <c r="B1370" s="207">
        <v>1773</v>
      </c>
      <c r="C1370" s="215" t="s">
        <v>5170</v>
      </c>
      <c r="D1370" s="215" t="s">
        <v>9456</v>
      </c>
      <c r="E1370" s="215" t="s">
        <v>9457</v>
      </c>
      <c r="F1370" s="215" t="s">
        <v>9448</v>
      </c>
      <c r="G1370" s="215" t="s">
        <v>9449</v>
      </c>
      <c r="H1370" s="215" t="s">
        <v>6500</v>
      </c>
      <c r="I1370" s="300"/>
      <c r="J1370" s="300"/>
      <c r="K1370" s="300"/>
      <c r="L1370" s="300"/>
      <c r="M1370" s="300"/>
      <c r="N1370" s="300"/>
      <c r="O1370" s="300"/>
      <c r="P1370" s="300"/>
      <c r="Q1370" s="300"/>
      <c r="R1370" s="300"/>
      <c r="S1370" s="300"/>
      <c r="T1370" s="300"/>
      <c r="U1370" s="300"/>
      <c r="V1370" s="300"/>
      <c r="W1370" s="300"/>
      <c r="X1370" s="300"/>
      <c r="Y1370" s="300"/>
      <c r="Z1370" s="300"/>
    </row>
    <row r="1371" spans="1:26">
      <c r="A1371" s="215" t="s">
        <v>2725</v>
      </c>
      <c r="B1371" s="207">
        <v>1779</v>
      </c>
      <c r="C1371" s="215" t="s">
        <v>4884</v>
      </c>
      <c r="D1371" s="215" t="s">
        <v>9458</v>
      </c>
      <c r="E1371" s="215" t="s">
        <v>9459</v>
      </c>
      <c r="F1371" s="215" t="s">
        <v>9448</v>
      </c>
      <c r="G1371" s="215" t="s">
        <v>9449</v>
      </c>
      <c r="H1371" s="215" t="s">
        <v>6500</v>
      </c>
      <c r="I1371" s="300"/>
      <c r="J1371" s="300"/>
      <c r="K1371" s="300"/>
      <c r="L1371" s="300"/>
      <c r="M1371" s="300"/>
      <c r="N1371" s="300"/>
      <c r="O1371" s="300"/>
      <c r="P1371" s="300"/>
      <c r="Q1371" s="300"/>
      <c r="R1371" s="300"/>
      <c r="S1371" s="300"/>
      <c r="T1371" s="300"/>
      <c r="U1371" s="300"/>
      <c r="V1371" s="300"/>
      <c r="W1371" s="300"/>
      <c r="X1371" s="300"/>
      <c r="Y1371" s="300"/>
      <c r="Z1371" s="300"/>
    </row>
    <row r="1372" spans="1:26">
      <c r="A1372" s="215" t="s">
        <v>3824</v>
      </c>
      <c r="B1372" s="207">
        <v>1783</v>
      </c>
      <c r="C1372" s="215" t="s">
        <v>5898</v>
      </c>
      <c r="D1372" s="215" t="s">
        <v>9460</v>
      </c>
      <c r="E1372" s="215" t="s">
        <v>9461</v>
      </c>
      <c r="F1372" s="215" t="s">
        <v>9448</v>
      </c>
      <c r="G1372" s="215" t="s">
        <v>9449</v>
      </c>
      <c r="H1372" s="215" t="s">
        <v>6504</v>
      </c>
      <c r="I1372" s="300"/>
      <c r="J1372" s="300"/>
      <c r="K1372" s="300"/>
      <c r="L1372" s="300"/>
      <c r="M1372" s="300"/>
      <c r="N1372" s="300"/>
      <c r="O1372" s="300"/>
      <c r="P1372" s="300"/>
      <c r="Q1372" s="300"/>
      <c r="R1372" s="300"/>
      <c r="S1372" s="300"/>
      <c r="T1372" s="300"/>
      <c r="U1372" s="300"/>
      <c r="V1372" s="300"/>
      <c r="W1372" s="300"/>
      <c r="X1372" s="300"/>
      <c r="Y1372" s="300"/>
      <c r="Z1372" s="300"/>
    </row>
    <row r="1373" spans="1:26">
      <c r="A1373" s="215" t="s">
        <v>3813</v>
      </c>
      <c r="B1373" s="207">
        <v>1786</v>
      </c>
      <c r="C1373" s="215" t="s">
        <v>5890</v>
      </c>
      <c r="D1373" s="215" t="s">
        <v>9462</v>
      </c>
      <c r="E1373" s="215" t="s">
        <v>9463</v>
      </c>
      <c r="F1373" s="215" t="s">
        <v>9448</v>
      </c>
      <c r="G1373" s="215" t="s">
        <v>9449</v>
      </c>
      <c r="H1373" s="215" t="s">
        <v>6504</v>
      </c>
      <c r="I1373" s="300"/>
      <c r="J1373" s="300"/>
      <c r="K1373" s="300"/>
      <c r="L1373" s="300"/>
      <c r="M1373" s="300"/>
      <c r="N1373" s="300"/>
      <c r="O1373" s="300"/>
      <c r="P1373" s="300"/>
      <c r="Q1373" s="300"/>
      <c r="R1373" s="300"/>
      <c r="S1373" s="300"/>
      <c r="T1373" s="300"/>
      <c r="U1373" s="300"/>
      <c r="V1373" s="300"/>
      <c r="W1373" s="300"/>
      <c r="X1373" s="300"/>
      <c r="Y1373" s="300"/>
      <c r="Z1373" s="300"/>
    </row>
    <row r="1374" spans="1:26">
      <c r="A1374" s="215" t="s">
        <v>3464</v>
      </c>
      <c r="B1374" s="207">
        <v>1790</v>
      </c>
      <c r="C1374" s="215" t="s">
        <v>4922</v>
      </c>
      <c r="D1374" s="215" t="s">
        <v>9464</v>
      </c>
      <c r="E1374" s="215" t="s">
        <v>9465</v>
      </c>
      <c r="F1374" s="215" t="s">
        <v>9448</v>
      </c>
      <c r="G1374" s="215" t="s">
        <v>9449</v>
      </c>
      <c r="H1374" s="215" t="s">
        <v>6497</v>
      </c>
      <c r="I1374" s="300"/>
      <c r="J1374" s="300"/>
      <c r="K1374" s="300"/>
      <c r="L1374" s="300"/>
      <c r="M1374" s="300"/>
      <c r="N1374" s="300"/>
      <c r="O1374" s="300"/>
      <c r="P1374" s="300"/>
      <c r="Q1374" s="300"/>
      <c r="R1374" s="300"/>
      <c r="S1374" s="300"/>
      <c r="T1374" s="300"/>
      <c r="U1374" s="300"/>
      <c r="V1374" s="300"/>
      <c r="W1374" s="300"/>
      <c r="X1374" s="300"/>
      <c r="Y1374" s="300"/>
      <c r="Z1374" s="300"/>
    </row>
    <row r="1375" spans="1:26">
      <c r="A1375" s="215" t="s">
        <v>4177</v>
      </c>
      <c r="B1375" s="207">
        <v>1792</v>
      </c>
      <c r="C1375" s="215" t="s">
        <v>6167</v>
      </c>
      <c r="D1375" s="215" t="s">
        <v>9466</v>
      </c>
      <c r="E1375" s="215" t="s">
        <v>9467</v>
      </c>
      <c r="F1375" s="215" t="s">
        <v>9448</v>
      </c>
      <c r="G1375" s="215" t="s">
        <v>9449</v>
      </c>
      <c r="H1375" s="215" t="s">
        <v>6497</v>
      </c>
      <c r="I1375" s="300"/>
      <c r="J1375" s="300"/>
      <c r="K1375" s="300"/>
      <c r="L1375" s="300"/>
      <c r="M1375" s="300"/>
      <c r="N1375" s="300"/>
      <c r="O1375" s="300"/>
      <c r="P1375" s="300"/>
      <c r="Q1375" s="300"/>
      <c r="R1375" s="300"/>
      <c r="S1375" s="300"/>
      <c r="T1375" s="300"/>
      <c r="U1375" s="300"/>
      <c r="V1375" s="300"/>
      <c r="W1375" s="300"/>
      <c r="X1375" s="300"/>
      <c r="Y1375" s="300"/>
      <c r="Z1375" s="300"/>
    </row>
    <row r="1376" spans="1:26">
      <c r="A1376" s="215" t="s">
        <v>9468</v>
      </c>
      <c r="B1376" s="207">
        <v>1795</v>
      </c>
      <c r="C1376" s="215" t="s">
        <v>6104</v>
      </c>
      <c r="D1376" s="215" t="s">
        <v>9469</v>
      </c>
      <c r="E1376" s="215" t="s">
        <v>9469</v>
      </c>
      <c r="F1376" s="215" t="s">
        <v>9448</v>
      </c>
      <c r="G1376" s="215" t="s">
        <v>9449</v>
      </c>
      <c r="H1376" s="215" t="s">
        <v>6500</v>
      </c>
      <c r="I1376" s="300"/>
      <c r="J1376" s="300"/>
      <c r="K1376" s="300"/>
      <c r="L1376" s="300"/>
      <c r="M1376" s="300"/>
      <c r="N1376" s="300"/>
      <c r="O1376" s="300"/>
      <c r="P1376" s="300"/>
      <c r="Q1376" s="300"/>
      <c r="R1376" s="300"/>
      <c r="S1376" s="300"/>
      <c r="T1376" s="300"/>
      <c r="U1376" s="300"/>
      <c r="V1376" s="300"/>
      <c r="W1376" s="300"/>
      <c r="X1376" s="300"/>
      <c r="Y1376" s="300"/>
      <c r="Z1376" s="300"/>
    </row>
    <row r="1377" spans="1:26">
      <c r="A1377" s="215" t="s">
        <v>4387</v>
      </c>
      <c r="B1377" s="207">
        <v>1797</v>
      </c>
      <c r="C1377" s="215" t="s">
        <v>6330</v>
      </c>
      <c r="D1377" s="215" t="s">
        <v>9470</v>
      </c>
      <c r="E1377" s="215" t="s">
        <v>9471</v>
      </c>
      <c r="F1377" s="215" t="s">
        <v>9448</v>
      </c>
      <c r="G1377" s="215" t="s">
        <v>9449</v>
      </c>
      <c r="H1377" s="215" t="s">
        <v>6500</v>
      </c>
      <c r="I1377" s="300"/>
      <c r="J1377" s="300"/>
      <c r="K1377" s="300"/>
      <c r="L1377" s="300"/>
      <c r="M1377" s="300"/>
      <c r="N1377" s="300"/>
      <c r="O1377" s="300"/>
      <c r="P1377" s="300"/>
      <c r="Q1377" s="300"/>
      <c r="R1377" s="300"/>
      <c r="S1377" s="300"/>
      <c r="T1377" s="300"/>
      <c r="U1377" s="300"/>
      <c r="V1377" s="300"/>
      <c r="W1377" s="300"/>
      <c r="X1377" s="300"/>
      <c r="Y1377" s="300"/>
      <c r="Z1377" s="300"/>
    </row>
    <row r="1378" spans="1:26">
      <c r="A1378" s="215" t="s">
        <v>3372</v>
      </c>
      <c r="B1378" s="207">
        <v>1799</v>
      </c>
      <c r="C1378" s="215" t="s">
        <v>5492</v>
      </c>
      <c r="D1378" s="215" t="s">
        <v>9472</v>
      </c>
      <c r="E1378" s="215" t="s">
        <v>9473</v>
      </c>
      <c r="F1378" s="215" t="s">
        <v>9448</v>
      </c>
      <c r="G1378" s="215" t="s">
        <v>9449</v>
      </c>
      <c r="H1378" s="215" t="s">
        <v>6500</v>
      </c>
      <c r="I1378" s="300"/>
      <c r="J1378" s="300"/>
      <c r="K1378" s="300"/>
      <c r="L1378" s="300"/>
      <c r="M1378" s="300"/>
      <c r="N1378" s="300"/>
      <c r="O1378" s="300"/>
      <c r="P1378" s="300"/>
      <c r="Q1378" s="300"/>
      <c r="R1378" s="300"/>
      <c r="S1378" s="300"/>
      <c r="T1378" s="300"/>
      <c r="U1378" s="300"/>
      <c r="V1378" s="300"/>
      <c r="W1378" s="300"/>
      <c r="X1378" s="300"/>
      <c r="Y1378" s="300"/>
      <c r="Z1378" s="300"/>
    </row>
    <row r="1379" spans="1:26">
      <c r="A1379" s="215" t="s">
        <v>3412</v>
      </c>
      <c r="B1379" s="207">
        <v>1804</v>
      </c>
      <c r="C1379" s="215" t="s">
        <v>5535</v>
      </c>
      <c r="D1379" s="215" t="s">
        <v>9474</v>
      </c>
      <c r="E1379" s="215" t="s">
        <v>9475</v>
      </c>
      <c r="F1379" s="215" t="s">
        <v>9448</v>
      </c>
      <c r="G1379" s="215" t="s">
        <v>9449</v>
      </c>
      <c r="H1379" s="215" t="s">
        <v>6521</v>
      </c>
      <c r="I1379" s="300"/>
      <c r="J1379" s="300"/>
      <c r="K1379" s="300"/>
      <c r="L1379" s="300"/>
      <c r="M1379" s="300"/>
      <c r="N1379" s="300"/>
      <c r="O1379" s="300"/>
      <c r="P1379" s="300"/>
      <c r="Q1379" s="300"/>
      <c r="R1379" s="300"/>
      <c r="S1379" s="300"/>
      <c r="T1379" s="300"/>
      <c r="U1379" s="300"/>
      <c r="V1379" s="300"/>
      <c r="W1379" s="300"/>
      <c r="X1379" s="300"/>
      <c r="Y1379" s="300"/>
      <c r="Z1379" s="300"/>
    </row>
    <row r="1380" spans="1:26">
      <c r="A1380" s="215" t="s">
        <v>3208</v>
      </c>
      <c r="B1380" s="207">
        <v>2061</v>
      </c>
      <c r="C1380" s="215" t="s">
        <v>5337</v>
      </c>
      <c r="D1380" s="215" t="s">
        <v>9476</v>
      </c>
      <c r="E1380" s="215" t="s">
        <v>9476</v>
      </c>
      <c r="F1380" s="215" t="s">
        <v>9448</v>
      </c>
      <c r="G1380" s="215" t="s">
        <v>9449</v>
      </c>
      <c r="H1380" s="215" t="s">
        <v>6500</v>
      </c>
      <c r="I1380" s="300"/>
      <c r="J1380" s="300"/>
      <c r="K1380" s="300"/>
      <c r="L1380" s="300"/>
      <c r="M1380" s="300"/>
      <c r="N1380" s="300"/>
      <c r="O1380" s="300"/>
      <c r="P1380" s="300"/>
      <c r="Q1380" s="300"/>
      <c r="R1380" s="300"/>
      <c r="S1380" s="300"/>
      <c r="T1380" s="300"/>
      <c r="U1380" s="300"/>
      <c r="V1380" s="300"/>
      <c r="W1380" s="300"/>
      <c r="X1380" s="300"/>
      <c r="Y1380" s="300"/>
      <c r="Z1380" s="300"/>
    </row>
    <row r="1381" spans="1:26">
      <c r="A1381" s="215" t="s">
        <v>3256</v>
      </c>
      <c r="B1381" s="207">
        <v>2203</v>
      </c>
      <c r="C1381" s="215" t="s">
        <v>9477</v>
      </c>
      <c r="D1381" s="215" t="s">
        <v>9478</v>
      </c>
      <c r="E1381" s="215" t="s">
        <v>9479</v>
      </c>
      <c r="F1381" s="215" t="s">
        <v>9448</v>
      </c>
      <c r="G1381" s="215" t="s">
        <v>9449</v>
      </c>
      <c r="H1381" s="215" t="s">
        <v>6548</v>
      </c>
      <c r="I1381" s="300"/>
      <c r="J1381" s="300"/>
      <c r="K1381" s="300"/>
      <c r="L1381" s="300"/>
      <c r="M1381" s="300"/>
      <c r="N1381" s="300"/>
      <c r="O1381" s="300"/>
      <c r="P1381" s="300"/>
      <c r="Q1381" s="300"/>
      <c r="R1381" s="300"/>
      <c r="S1381" s="300"/>
      <c r="T1381" s="300"/>
      <c r="U1381" s="300"/>
      <c r="V1381" s="300"/>
      <c r="W1381" s="300"/>
      <c r="X1381" s="300"/>
      <c r="Y1381" s="300"/>
      <c r="Z1381" s="300"/>
    </row>
    <row r="1382" spans="1:26">
      <c r="A1382" s="215" t="s">
        <v>4303</v>
      </c>
      <c r="B1382" s="207">
        <v>2204</v>
      </c>
      <c r="C1382" s="215" t="s">
        <v>9480</v>
      </c>
      <c r="D1382" s="215" t="s">
        <v>9481</v>
      </c>
      <c r="E1382" s="215" t="s">
        <v>9482</v>
      </c>
      <c r="F1382" s="215" t="s">
        <v>9448</v>
      </c>
      <c r="G1382" s="215" t="s">
        <v>9449</v>
      </c>
      <c r="H1382" s="215" t="s">
        <v>6548</v>
      </c>
      <c r="I1382" s="300"/>
      <c r="J1382" s="300"/>
      <c r="K1382" s="300"/>
      <c r="L1382" s="300"/>
      <c r="M1382" s="300"/>
      <c r="N1382" s="300"/>
      <c r="O1382" s="300"/>
      <c r="P1382" s="300"/>
      <c r="Q1382" s="300"/>
      <c r="R1382" s="300"/>
      <c r="S1382" s="300"/>
      <c r="T1382" s="300"/>
      <c r="U1382" s="300"/>
      <c r="V1382" s="300"/>
      <c r="W1382" s="300"/>
      <c r="X1382" s="300"/>
      <c r="Y1382" s="300"/>
      <c r="Z1382" s="300"/>
    </row>
    <row r="1383" spans="1:26">
      <c r="A1383" s="215" t="s">
        <v>9483</v>
      </c>
      <c r="B1383" s="207">
        <v>2300</v>
      </c>
      <c r="C1383" s="215" t="s">
        <v>6115</v>
      </c>
      <c r="D1383" s="215" t="s">
        <v>9484</v>
      </c>
      <c r="E1383" s="215" t="s">
        <v>9484</v>
      </c>
      <c r="F1383" s="215" t="s">
        <v>9448</v>
      </c>
      <c r="G1383" s="215" t="s">
        <v>9449</v>
      </c>
      <c r="H1383" s="215" t="s">
        <v>6500</v>
      </c>
      <c r="I1383" s="300"/>
      <c r="J1383" s="300"/>
      <c r="K1383" s="300"/>
      <c r="L1383" s="300"/>
      <c r="M1383" s="300"/>
      <c r="N1383" s="300"/>
      <c r="O1383" s="300"/>
      <c r="P1383" s="300"/>
      <c r="Q1383" s="300"/>
      <c r="R1383" s="300"/>
      <c r="S1383" s="300"/>
      <c r="T1383" s="300"/>
      <c r="U1383" s="300"/>
      <c r="V1383" s="300"/>
      <c r="W1383" s="300"/>
      <c r="X1383" s="300"/>
      <c r="Y1383" s="300"/>
      <c r="Z1383" s="300"/>
    </row>
    <row r="1384" spans="1:26">
      <c r="A1384" s="215" t="s">
        <v>2861</v>
      </c>
      <c r="B1384" s="207">
        <v>2301</v>
      </c>
      <c r="C1384" s="215" t="s">
        <v>5028</v>
      </c>
      <c r="D1384" s="215" t="s">
        <v>9485</v>
      </c>
      <c r="E1384" s="215" t="s">
        <v>9486</v>
      </c>
      <c r="F1384" s="215" t="s">
        <v>9448</v>
      </c>
      <c r="G1384" s="215" t="s">
        <v>9449</v>
      </c>
      <c r="H1384" s="215" t="s">
        <v>6500</v>
      </c>
      <c r="I1384" s="300"/>
      <c r="J1384" s="300"/>
      <c r="K1384" s="300"/>
      <c r="L1384" s="300"/>
      <c r="M1384" s="300"/>
      <c r="N1384" s="300"/>
      <c r="O1384" s="300"/>
      <c r="P1384" s="300"/>
      <c r="Q1384" s="300"/>
      <c r="R1384" s="300"/>
      <c r="S1384" s="300"/>
      <c r="T1384" s="300"/>
      <c r="U1384" s="300"/>
      <c r="V1384" s="300"/>
      <c r="W1384" s="300"/>
      <c r="X1384" s="300"/>
      <c r="Y1384" s="300"/>
      <c r="Z1384" s="300"/>
    </row>
    <row r="1385" spans="1:26">
      <c r="A1385" s="215" t="s">
        <v>4121</v>
      </c>
      <c r="B1385" s="207">
        <v>2302</v>
      </c>
      <c r="C1385" s="215" t="s">
        <v>6118</v>
      </c>
      <c r="D1385" s="215" t="s">
        <v>4121</v>
      </c>
      <c r="E1385" s="215" t="s">
        <v>4121</v>
      </c>
      <c r="F1385" s="215" t="s">
        <v>9448</v>
      </c>
      <c r="G1385" s="215" t="s">
        <v>9449</v>
      </c>
      <c r="H1385" s="215" t="s">
        <v>6500</v>
      </c>
      <c r="I1385" s="300"/>
      <c r="J1385" s="300"/>
      <c r="K1385" s="300"/>
      <c r="L1385" s="300"/>
      <c r="M1385" s="300"/>
      <c r="N1385" s="300"/>
      <c r="O1385" s="300"/>
      <c r="P1385" s="300"/>
      <c r="Q1385" s="300"/>
      <c r="R1385" s="300"/>
      <c r="S1385" s="300"/>
      <c r="T1385" s="300"/>
      <c r="U1385" s="300"/>
      <c r="V1385" s="300"/>
      <c r="W1385" s="300"/>
      <c r="X1385" s="300"/>
      <c r="Y1385" s="300"/>
      <c r="Z1385" s="300"/>
    </row>
    <row r="1386" spans="1:26">
      <c r="A1386" s="215" t="s">
        <v>3622</v>
      </c>
      <c r="B1386" s="207">
        <v>1775</v>
      </c>
      <c r="C1386" s="215" t="s">
        <v>2630</v>
      </c>
      <c r="D1386" s="215" t="s">
        <v>9487</v>
      </c>
      <c r="E1386" s="215" t="s">
        <v>9488</v>
      </c>
      <c r="F1386" s="215" t="s">
        <v>9489</v>
      </c>
      <c r="G1386" s="215" t="s">
        <v>9490</v>
      </c>
      <c r="H1386" s="215" t="s">
        <v>6497</v>
      </c>
      <c r="I1386" s="300"/>
      <c r="J1386" s="300"/>
      <c r="K1386" s="300"/>
      <c r="L1386" s="300"/>
      <c r="M1386" s="300"/>
      <c r="N1386" s="300"/>
      <c r="O1386" s="300"/>
      <c r="P1386" s="300"/>
      <c r="Q1386" s="300"/>
      <c r="R1386" s="300"/>
      <c r="S1386" s="300"/>
      <c r="T1386" s="300"/>
      <c r="U1386" s="300"/>
      <c r="V1386" s="300"/>
      <c r="W1386" s="300"/>
      <c r="X1386" s="300"/>
      <c r="Y1386" s="300"/>
      <c r="Z1386" s="300"/>
    </row>
    <row r="1387" spans="1:26">
      <c r="A1387" s="215" t="s">
        <v>9491</v>
      </c>
      <c r="B1387" s="207">
        <v>1802</v>
      </c>
      <c r="C1387" s="215" t="s">
        <v>5338</v>
      </c>
      <c r="D1387" s="215" t="s">
        <v>9492</v>
      </c>
      <c r="E1387" s="215" t="s">
        <v>9492</v>
      </c>
      <c r="F1387" s="215" t="s">
        <v>9489</v>
      </c>
      <c r="G1387" s="215" t="s">
        <v>9490</v>
      </c>
      <c r="H1387" s="215" t="s">
        <v>6500</v>
      </c>
      <c r="I1387" s="300"/>
      <c r="J1387" s="300"/>
      <c r="K1387" s="300"/>
      <c r="L1387" s="300"/>
      <c r="M1387" s="300"/>
      <c r="N1387" s="300"/>
      <c r="O1387" s="300"/>
      <c r="P1387" s="300"/>
      <c r="Q1387" s="300"/>
      <c r="R1387" s="300"/>
      <c r="S1387" s="300"/>
      <c r="T1387" s="300"/>
      <c r="U1387" s="300"/>
      <c r="V1387" s="300"/>
      <c r="W1387" s="300"/>
      <c r="X1387" s="300"/>
      <c r="Y1387" s="300"/>
      <c r="Z1387" s="300"/>
    </row>
    <row r="1388" spans="1:26">
      <c r="A1388" s="215" t="s">
        <v>2851</v>
      </c>
      <c r="B1388" s="207">
        <v>2485</v>
      </c>
      <c r="C1388" s="215" t="s">
        <v>5015</v>
      </c>
      <c r="D1388" s="215" t="s">
        <v>9493</v>
      </c>
      <c r="E1388" s="215" t="s">
        <v>9494</v>
      </c>
      <c r="F1388" s="215" t="s">
        <v>9495</v>
      </c>
      <c r="G1388" s="215" t="s">
        <v>9496</v>
      </c>
      <c r="H1388" s="215" t="s">
        <v>6521</v>
      </c>
      <c r="I1388" s="300"/>
      <c r="J1388" s="300"/>
      <c r="K1388" s="300"/>
      <c r="L1388" s="300"/>
      <c r="M1388" s="300"/>
      <c r="N1388" s="300"/>
      <c r="O1388" s="300"/>
      <c r="P1388" s="300"/>
      <c r="Q1388" s="300"/>
      <c r="R1388" s="300"/>
      <c r="S1388" s="300"/>
      <c r="T1388" s="300"/>
      <c r="U1388" s="300"/>
      <c r="V1388" s="300"/>
      <c r="W1388" s="300"/>
      <c r="X1388" s="300"/>
      <c r="Y1388" s="300"/>
      <c r="Z1388" s="300"/>
    </row>
    <row r="1389" spans="1:26">
      <c r="A1389" s="215" t="s">
        <v>2634</v>
      </c>
      <c r="B1389" s="207">
        <v>2184</v>
      </c>
      <c r="C1389" s="215" t="s">
        <v>9497</v>
      </c>
      <c r="D1389" s="215" t="s">
        <v>9498</v>
      </c>
      <c r="E1389" s="215" t="s">
        <v>9499</v>
      </c>
      <c r="F1389" s="215" t="s">
        <v>9500</v>
      </c>
      <c r="G1389" s="215" t="s">
        <v>9501</v>
      </c>
      <c r="H1389" s="215" t="s">
        <v>6548</v>
      </c>
      <c r="I1389" s="300"/>
      <c r="J1389" s="300"/>
      <c r="K1389" s="300"/>
      <c r="L1389" s="300"/>
      <c r="M1389" s="300"/>
      <c r="N1389" s="300"/>
      <c r="O1389" s="300"/>
      <c r="P1389" s="300"/>
      <c r="Q1389" s="300"/>
      <c r="R1389" s="300"/>
      <c r="S1389" s="300"/>
      <c r="T1389" s="300"/>
      <c r="U1389" s="300"/>
      <c r="V1389" s="300"/>
      <c r="W1389" s="300"/>
      <c r="X1389" s="300"/>
      <c r="Y1389" s="300"/>
      <c r="Z1389" s="300"/>
    </row>
    <row r="1390" spans="1:26">
      <c r="A1390" s="215" t="s">
        <v>3562</v>
      </c>
      <c r="B1390" s="207">
        <v>2202</v>
      </c>
      <c r="C1390" s="215" t="s">
        <v>9502</v>
      </c>
      <c r="D1390" s="215" t="s">
        <v>9503</v>
      </c>
      <c r="E1390" s="215" t="s">
        <v>9503</v>
      </c>
      <c r="F1390" s="215" t="s">
        <v>9500</v>
      </c>
      <c r="G1390" s="215" t="s">
        <v>9501</v>
      </c>
      <c r="H1390" s="215" t="s">
        <v>6548</v>
      </c>
      <c r="I1390" s="300"/>
      <c r="J1390" s="300"/>
      <c r="K1390" s="300"/>
      <c r="L1390" s="300"/>
      <c r="M1390" s="300"/>
      <c r="N1390" s="300"/>
      <c r="O1390" s="300"/>
      <c r="P1390" s="300"/>
      <c r="Q1390" s="300"/>
      <c r="R1390" s="300"/>
      <c r="S1390" s="300"/>
      <c r="T1390" s="300"/>
      <c r="U1390" s="300"/>
      <c r="V1390" s="300"/>
      <c r="W1390" s="300"/>
      <c r="X1390" s="300"/>
      <c r="Y1390" s="300"/>
      <c r="Z1390" s="300"/>
    </row>
    <row r="1391" spans="1:26">
      <c r="A1391" s="215" t="s">
        <v>2804</v>
      </c>
      <c r="B1391" s="207">
        <v>2205</v>
      </c>
      <c r="C1391" s="215" t="s">
        <v>9504</v>
      </c>
      <c r="D1391" s="215" t="s">
        <v>9505</v>
      </c>
      <c r="E1391" s="215" t="s">
        <v>9506</v>
      </c>
      <c r="F1391" s="215" t="s">
        <v>9500</v>
      </c>
      <c r="G1391" s="215" t="s">
        <v>9501</v>
      </c>
      <c r="H1391" s="215" t="s">
        <v>6548</v>
      </c>
      <c r="I1391" s="300"/>
      <c r="J1391" s="300"/>
      <c r="K1391" s="300"/>
      <c r="L1391" s="300"/>
      <c r="M1391" s="300"/>
      <c r="N1391" s="300"/>
      <c r="O1391" s="300"/>
      <c r="P1391" s="300"/>
      <c r="Q1391" s="300"/>
      <c r="R1391" s="300"/>
      <c r="S1391" s="300"/>
      <c r="T1391" s="300"/>
      <c r="U1391" s="300"/>
      <c r="V1391" s="300"/>
      <c r="W1391" s="300"/>
      <c r="X1391" s="300"/>
      <c r="Y1391" s="300"/>
      <c r="Z1391" s="300"/>
    </row>
    <row r="1392" spans="1:26">
      <c r="A1392" s="215" t="s">
        <v>2533</v>
      </c>
      <c r="B1392" s="207">
        <v>1064</v>
      </c>
      <c r="C1392" s="215" t="s">
        <v>4796</v>
      </c>
      <c r="D1392" s="215" t="s">
        <v>9507</v>
      </c>
      <c r="E1392" s="215" t="s">
        <v>9508</v>
      </c>
      <c r="F1392" s="215" t="s">
        <v>9509</v>
      </c>
      <c r="G1392" s="215" t="s">
        <v>9510</v>
      </c>
      <c r="H1392" s="215" t="s">
        <v>6521</v>
      </c>
      <c r="I1392" s="300"/>
      <c r="J1392" s="300"/>
      <c r="K1392" s="300"/>
      <c r="L1392" s="300"/>
      <c r="M1392" s="300"/>
      <c r="N1392" s="300"/>
      <c r="O1392" s="300"/>
      <c r="P1392" s="300"/>
      <c r="Q1392" s="300"/>
      <c r="R1392" s="300"/>
      <c r="S1392" s="300"/>
      <c r="T1392" s="300"/>
      <c r="U1392" s="300"/>
      <c r="V1392" s="300"/>
      <c r="W1392" s="300"/>
      <c r="X1392" s="300"/>
      <c r="Y1392" s="300"/>
      <c r="Z1392" s="300"/>
    </row>
    <row r="1393" spans="1:26">
      <c r="A1393" s="215" t="s">
        <v>3261</v>
      </c>
      <c r="B1393" s="207">
        <v>7</v>
      </c>
      <c r="C1393" s="215" t="s">
        <v>9511</v>
      </c>
      <c r="D1393" s="215" t="s">
        <v>9512</v>
      </c>
      <c r="E1393" s="215" t="s">
        <v>9513</v>
      </c>
      <c r="F1393" s="215" t="s">
        <v>9514</v>
      </c>
      <c r="G1393" s="215" t="s">
        <v>9515</v>
      </c>
      <c r="H1393" s="215" t="s">
        <v>6500</v>
      </c>
      <c r="I1393" s="300"/>
      <c r="J1393" s="300"/>
      <c r="K1393" s="300"/>
      <c r="L1393" s="300"/>
      <c r="M1393" s="300"/>
      <c r="N1393" s="300"/>
      <c r="O1393" s="300"/>
      <c r="P1393" s="300"/>
      <c r="Q1393" s="300"/>
      <c r="R1393" s="300"/>
      <c r="S1393" s="300"/>
      <c r="T1393" s="300"/>
      <c r="U1393" s="300"/>
      <c r="V1393" s="300"/>
      <c r="W1393" s="300"/>
      <c r="X1393" s="300"/>
      <c r="Y1393" s="300"/>
      <c r="Z1393" s="300"/>
    </row>
    <row r="1394" spans="1:26">
      <c r="A1394" s="215" t="s">
        <v>3504</v>
      </c>
      <c r="B1394" s="207">
        <v>2165</v>
      </c>
      <c r="C1394" s="215" t="s">
        <v>9516</v>
      </c>
      <c r="D1394" s="215" t="s">
        <v>9517</v>
      </c>
      <c r="E1394" s="215" t="s">
        <v>9518</v>
      </c>
      <c r="F1394" s="215" t="s">
        <v>9519</v>
      </c>
      <c r="G1394" s="215" t="s">
        <v>9520</v>
      </c>
      <c r="H1394" s="215" t="s">
        <v>6504</v>
      </c>
      <c r="I1394" s="300"/>
      <c r="J1394" s="300"/>
      <c r="K1394" s="300"/>
      <c r="L1394" s="300"/>
      <c r="M1394" s="300"/>
      <c r="N1394" s="300"/>
      <c r="O1394" s="300"/>
      <c r="P1394" s="300"/>
      <c r="Q1394" s="300"/>
      <c r="R1394" s="300"/>
      <c r="S1394" s="300"/>
      <c r="T1394" s="300"/>
      <c r="U1394" s="300"/>
      <c r="V1394" s="300"/>
      <c r="W1394" s="300"/>
      <c r="X1394" s="300"/>
      <c r="Y1394" s="300"/>
      <c r="Z1394" s="300"/>
    </row>
    <row r="1395" spans="1:26">
      <c r="A1395" s="215" t="s">
        <v>3562</v>
      </c>
      <c r="B1395" s="207">
        <v>2172</v>
      </c>
      <c r="C1395" s="215" t="s">
        <v>9521</v>
      </c>
      <c r="D1395" s="215" t="s">
        <v>9522</v>
      </c>
      <c r="E1395" s="215" t="s">
        <v>9523</v>
      </c>
      <c r="F1395" s="215" t="s">
        <v>9519</v>
      </c>
      <c r="G1395" s="215" t="s">
        <v>9520</v>
      </c>
      <c r="H1395" s="215" t="s">
        <v>6504</v>
      </c>
      <c r="I1395" s="300"/>
      <c r="J1395" s="300"/>
      <c r="K1395" s="300"/>
      <c r="L1395" s="300"/>
      <c r="M1395" s="300"/>
      <c r="N1395" s="300"/>
      <c r="O1395" s="300"/>
      <c r="P1395" s="300"/>
      <c r="Q1395" s="300"/>
      <c r="R1395" s="300"/>
      <c r="S1395" s="300"/>
      <c r="T1395" s="300"/>
      <c r="U1395" s="300"/>
      <c r="V1395" s="300"/>
      <c r="W1395" s="300"/>
      <c r="X1395" s="300"/>
      <c r="Y1395" s="300"/>
      <c r="Z1395" s="300"/>
    </row>
    <row r="1396" spans="1:26">
      <c r="A1396" s="215" t="s">
        <v>3256</v>
      </c>
      <c r="B1396" s="207">
        <v>2173</v>
      </c>
      <c r="C1396" s="215" t="s">
        <v>9524</v>
      </c>
      <c r="D1396" s="215" t="s">
        <v>9525</v>
      </c>
      <c r="E1396" s="215" t="s">
        <v>9526</v>
      </c>
      <c r="F1396" s="215" t="s">
        <v>9519</v>
      </c>
      <c r="G1396" s="215" t="s">
        <v>9520</v>
      </c>
      <c r="H1396" s="215" t="s">
        <v>6504</v>
      </c>
      <c r="I1396" s="300"/>
      <c r="J1396" s="300"/>
      <c r="K1396" s="300"/>
      <c r="L1396" s="300"/>
      <c r="M1396" s="300"/>
      <c r="N1396" s="300"/>
      <c r="O1396" s="300"/>
      <c r="P1396" s="300"/>
      <c r="Q1396" s="300"/>
      <c r="R1396" s="300"/>
      <c r="S1396" s="300"/>
      <c r="T1396" s="300"/>
      <c r="U1396" s="300"/>
      <c r="V1396" s="300"/>
      <c r="W1396" s="300"/>
      <c r="X1396" s="300"/>
      <c r="Y1396" s="300"/>
      <c r="Z1396" s="300"/>
    </row>
    <row r="1397" spans="1:26">
      <c r="A1397" s="215" t="s">
        <v>4303</v>
      </c>
      <c r="B1397" s="207">
        <v>2174</v>
      </c>
      <c r="C1397" s="215" t="s">
        <v>9527</v>
      </c>
      <c r="D1397" s="215" t="s">
        <v>9528</v>
      </c>
      <c r="E1397" s="215" t="s">
        <v>9529</v>
      </c>
      <c r="F1397" s="215" t="s">
        <v>9519</v>
      </c>
      <c r="G1397" s="215" t="s">
        <v>9520</v>
      </c>
      <c r="H1397" s="215" t="s">
        <v>6504</v>
      </c>
      <c r="I1397" s="300"/>
      <c r="J1397" s="300"/>
      <c r="K1397" s="300"/>
      <c r="L1397" s="300"/>
      <c r="M1397" s="300"/>
      <c r="N1397" s="300"/>
      <c r="O1397" s="300"/>
      <c r="P1397" s="300"/>
      <c r="Q1397" s="300"/>
      <c r="R1397" s="300"/>
      <c r="S1397" s="300"/>
      <c r="T1397" s="300"/>
      <c r="U1397" s="300"/>
      <c r="V1397" s="300"/>
      <c r="W1397" s="300"/>
      <c r="X1397" s="300"/>
      <c r="Y1397" s="300"/>
      <c r="Z1397" s="300"/>
    </row>
    <row r="1398" spans="1:26">
      <c r="A1398" s="215" t="s">
        <v>2634</v>
      </c>
      <c r="B1398" s="207">
        <v>2175</v>
      </c>
      <c r="C1398" s="215" t="s">
        <v>9530</v>
      </c>
      <c r="D1398" s="215" t="s">
        <v>9531</v>
      </c>
      <c r="E1398" s="215" t="s">
        <v>9532</v>
      </c>
      <c r="F1398" s="215" t="s">
        <v>9519</v>
      </c>
      <c r="G1398" s="215" t="s">
        <v>9520</v>
      </c>
      <c r="H1398" s="215" t="s">
        <v>6504</v>
      </c>
      <c r="I1398" s="300"/>
      <c r="J1398" s="300"/>
      <c r="K1398" s="300"/>
      <c r="L1398" s="300"/>
      <c r="M1398" s="300"/>
      <c r="N1398" s="300"/>
      <c r="O1398" s="300"/>
      <c r="P1398" s="300"/>
      <c r="Q1398" s="300"/>
      <c r="R1398" s="300"/>
      <c r="S1398" s="300"/>
      <c r="T1398" s="300"/>
      <c r="U1398" s="300"/>
      <c r="V1398" s="300"/>
      <c r="W1398" s="300"/>
      <c r="X1398" s="300"/>
      <c r="Y1398" s="300"/>
      <c r="Z1398" s="300"/>
    </row>
    <row r="1399" spans="1:26">
      <c r="A1399" s="215" t="s">
        <v>2804</v>
      </c>
      <c r="B1399" s="207">
        <v>2176</v>
      </c>
      <c r="C1399" s="215" t="s">
        <v>9533</v>
      </c>
      <c r="D1399" s="215" t="s">
        <v>9534</v>
      </c>
      <c r="E1399" s="215" t="s">
        <v>9535</v>
      </c>
      <c r="F1399" s="215" t="s">
        <v>9519</v>
      </c>
      <c r="G1399" s="215" t="s">
        <v>9520</v>
      </c>
      <c r="H1399" s="215" t="s">
        <v>6497</v>
      </c>
      <c r="I1399" s="300"/>
      <c r="J1399" s="300"/>
      <c r="K1399" s="300"/>
      <c r="L1399" s="300"/>
      <c r="M1399" s="300"/>
      <c r="N1399" s="300"/>
      <c r="O1399" s="300"/>
      <c r="P1399" s="300"/>
      <c r="Q1399" s="300"/>
      <c r="R1399" s="300"/>
      <c r="S1399" s="300"/>
      <c r="T1399" s="300"/>
      <c r="U1399" s="300"/>
      <c r="V1399" s="300"/>
      <c r="W1399" s="300"/>
      <c r="X1399" s="300"/>
      <c r="Y1399" s="300"/>
      <c r="Z1399" s="300"/>
    </row>
    <row r="1400" spans="1:26">
      <c r="A1400" s="215" t="s">
        <v>4515</v>
      </c>
      <c r="B1400" s="207">
        <v>2211</v>
      </c>
      <c r="C1400" s="215" t="s">
        <v>9536</v>
      </c>
      <c r="D1400" s="215" t="s">
        <v>9537</v>
      </c>
      <c r="E1400" s="215" t="s">
        <v>9538</v>
      </c>
      <c r="F1400" s="215" t="s">
        <v>9519</v>
      </c>
      <c r="G1400" s="215" t="s">
        <v>9520</v>
      </c>
      <c r="H1400" s="215" t="s">
        <v>6500</v>
      </c>
      <c r="I1400" s="300"/>
      <c r="J1400" s="300"/>
      <c r="K1400" s="300"/>
      <c r="L1400" s="300"/>
      <c r="M1400" s="300"/>
      <c r="N1400" s="300"/>
      <c r="O1400" s="300"/>
      <c r="P1400" s="300"/>
      <c r="Q1400" s="300"/>
      <c r="R1400" s="300"/>
      <c r="S1400" s="300"/>
      <c r="T1400" s="300"/>
      <c r="U1400" s="300"/>
      <c r="V1400" s="300"/>
      <c r="W1400" s="300"/>
      <c r="X1400" s="300"/>
      <c r="Y1400" s="300"/>
      <c r="Z1400" s="300"/>
    </row>
    <row r="1401" spans="1:26">
      <c r="A1401" s="215" t="s">
        <v>3303</v>
      </c>
      <c r="B1401" s="207">
        <v>2216</v>
      </c>
      <c r="C1401" s="215" t="s">
        <v>9539</v>
      </c>
      <c r="D1401" s="215" t="s">
        <v>9540</v>
      </c>
      <c r="E1401" s="215" t="s">
        <v>9541</v>
      </c>
      <c r="F1401" s="215" t="s">
        <v>9519</v>
      </c>
      <c r="G1401" s="215" t="s">
        <v>9520</v>
      </c>
      <c r="H1401" s="215" t="s">
        <v>6500</v>
      </c>
      <c r="I1401" s="300"/>
      <c r="J1401" s="300"/>
      <c r="K1401" s="300"/>
      <c r="L1401" s="300"/>
      <c r="M1401" s="300"/>
      <c r="N1401" s="300"/>
      <c r="O1401" s="300"/>
      <c r="P1401" s="300"/>
      <c r="Q1401" s="300"/>
      <c r="R1401" s="300"/>
      <c r="S1401" s="300"/>
      <c r="T1401" s="300"/>
      <c r="U1401" s="300"/>
      <c r="V1401" s="300"/>
      <c r="W1401" s="300"/>
      <c r="X1401" s="300"/>
      <c r="Y1401" s="300"/>
      <c r="Z1401" s="300"/>
    </row>
    <row r="1402" spans="1:26">
      <c r="A1402" s="215" t="s">
        <v>3299</v>
      </c>
      <c r="B1402" s="207">
        <v>2451</v>
      </c>
      <c r="C1402" s="215" t="s">
        <v>9542</v>
      </c>
      <c r="D1402" s="215" t="s">
        <v>9543</v>
      </c>
      <c r="E1402" s="215" t="s">
        <v>9544</v>
      </c>
      <c r="F1402" s="215" t="s">
        <v>9519</v>
      </c>
      <c r="G1402" s="215" t="s">
        <v>9520</v>
      </c>
      <c r="H1402" s="215" t="s">
        <v>6504</v>
      </c>
      <c r="I1402" s="300"/>
      <c r="J1402" s="300"/>
      <c r="K1402" s="300"/>
      <c r="L1402" s="300"/>
      <c r="M1402" s="300"/>
      <c r="N1402" s="300"/>
      <c r="O1402" s="300"/>
      <c r="P1402" s="300"/>
      <c r="Q1402" s="300"/>
      <c r="R1402" s="300"/>
      <c r="S1402" s="300"/>
      <c r="T1402" s="300"/>
      <c r="U1402" s="300"/>
      <c r="V1402" s="300"/>
      <c r="W1402" s="300"/>
      <c r="X1402" s="300"/>
      <c r="Y1402" s="300"/>
      <c r="Z1402" s="300"/>
    </row>
    <row r="1403" spans="1:26">
      <c r="A1403" s="215" t="s">
        <v>2642</v>
      </c>
      <c r="B1403" s="207">
        <v>2452</v>
      </c>
      <c r="C1403" s="215" t="s">
        <v>9545</v>
      </c>
      <c r="D1403" s="215" t="s">
        <v>9546</v>
      </c>
      <c r="E1403" s="215" t="s">
        <v>9547</v>
      </c>
      <c r="F1403" s="215" t="s">
        <v>9519</v>
      </c>
      <c r="G1403" s="215" t="s">
        <v>9520</v>
      </c>
      <c r="H1403" s="215" t="s">
        <v>6500</v>
      </c>
      <c r="I1403" s="300"/>
      <c r="J1403" s="300"/>
      <c r="K1403" s="300"/>
      <c r="L1403" s="300"/>
      <c r="M1403" s="300"/>
      <c r="N1403" s="300"/>
      <c r="O1403" s="300"/>
      <c r="P1403" s="300"/>
      <c r="Q1403" s="300"/>
      <c r="R1403" s="300"/>
      <c r="S1403" s="300"/>
      <c r="T1403" s="300"/>
      <c r="U1403" s="300"/>
      <c r="V1403" s="300"/>
      <c r="W1403" s="300"/>
      <c r="X1403" s="300"/>
      <c r="Y1403" s="300"/>
      <c r="Z1403" s="300"/>
    </row>
    <row r="1404" spans="1:26">
      <c r="A1404" s="215" t="s">
        <v>2640</v>
      </c>
      <c r="B1404" s="207">
        <v>2453</v>
      </c>
      <c r="C1404" s="215" t="s">
        <v>9548</v>
      </c>
      <c r="D1404" s="215" t="s">
        <v>9549</v>
      </c>
      <c r="E1404" s="215" t="s">
        <v>9550</v>
      </c>
      <c r="F1404" s="215" t="s">
        <v>9519</v>
      </c>
      <c r="G1404" s="215" t="s">
        <v>9520</v>
      </c>
      <c r="H1404" s="215" t="s">
        <v>6504</v>
      </c>
      <c r="I1404" s="300"/>
      <c r="J1404" s="300"/>
      <c r="K1404" s="300"/>
      <c r="L1404" s="300"/>
      <c r="M1404" s="300"/>
      <c r="N1404" s="300"/>
      <c r="O1404" s="300"/>
      <c r="P1404" s="300"/>
      <c r="Q1404" s="300"/>
      <c r="R1404" s="300"/>
      <c r="S1404" s="300"/>
      <c r="T1404" s="300"/>
      <c r="U1404" s="300"/>
      <c r="V1404" s="300"/>
      <c r="W1404" s="300"/>
      <c r="X1404" s="300"/>
      <c r="Y1404" s="300"/>
      <c r="Z1404" s="300"/>
    </row>
    <row r="1405" spans="1:26">
      <c r="A1405" s="215" t="s">
        <v>4141</v>
      </c>
      <c r="B1405" s="207">
        <v>337</v>
      </c>
      <c r="C1405" s="215" t="s">
        <v>6132</v>
      </c>
      <c r="D1405" s="215" t="s">
        <v>9551</v>
      </c>
      <c r="E1405" s="215" t="s">
        <v>9552</v>
      </c>
      <c r="F1405" s="215" t="s">
        <v>9553</v>
      </c>
      <c r="G1405" s="215" t="s">
        <v>9554</v>
      </c>
      <c r="H1405" s="215" t="s">
        <v>6500</v>
      </c>
      <c r="I1405" s="300"/>
      <c r="J1405" s="300"/>
      <c r="K1405" s="300"/>
      <c r="L1405" s="300"/>
      <c r="M1405" s="300"/>
      <c r="N1405" s="300"/>
      <c r="O1405" s="300"/>
      <c r="P1405" s="300"/>
      <c r="Q1405" s="300"/>
      <c r="R1405" s="300"/>
      <c r="S1405" s="300"/>
      <c r="T1405" s="300"/>
      <c r="U1405" s="300"/>
      <c r="V1405" s="300"/>
      <c r="W1405" s="300"/>
      <c r="X1405" s="300"/>
      <c r="Y1405" s="300"/>
      <c r="Z1405" s="300"/>
    </row>
    <row r="1406" spans="1:26">
      <c r="A1406" s="215" t="s">
        <v>3118</v>
      </c>
      <c r="B1406" s="207">
        <v>351</v>
      </c>
      <c r="C1406" s="215" t="s">
        <v>5258</v>
      </c>
      <c r="D1406" s="215" t="s">
        <v>9555</v>
      </c>
      <c r="E1406" s="215" t="s">
        <v>9555</v>
      </c>
      <c r="F1406" s="215" t="s">
        <v>9553</v>
      </c>
      <c r="G1406" s="215" t="s">
        <v>9554</v>
      </c>
      <c r="H1406" s="215" t="s">
        <v>6500</v>
      </c>
      <c r="I1406" s="300"/>
      <c r="J1406" s="300"/>
      <c r="K1406" s="300"/>
      <c r="L1406" s="300"/>
      <c r="M1406" s="300"/>
      <c r="N1406" s="300"/>
      <c r="O1406" s="300"/>
      <c r="P1406" s="300"/>
      <c r="Q1406" s="300"/>
      <c r="R1406" s="300"/>
      <c r="S1406" s="300"/>
      <c r="T1406" s="300"/>
      <c r="U1406" s="300"/>
      <c r="V1406" s="300"/>
      <c r="W1406" s="300"/>
      <c r="X1406" s="300"/>
      <c r="Y1406" s="300"/>
      <c r="Z1406" s="300"/>
    </row>
    <row r="1407" spans="1:26">
      <c r="A1407" s="215" t="s">
        <v>3123</v>
      </c>
      <c r="B1407" s="207">
        <v>353</v>
      </c>
      <c r="C1407" s="215" t="s">
        <v>5262</v>
      </c>
      <c r="D1407" s="215" t="s">
        <v>9556</v>
      </c>
      <c r="E1407" s="215" t="s">
        <v>9557</v>
      </c>
      <c r="F1407" s="215" t="s">
        <v>9553</v>
      </c>
      <c r="G1407" s="215" t="s">
        <v>9554</v>
      </c>
      <c r="H1407" s="215" t="s">
        <v>6500</v>
      </c>
      <c r="I1407" s="300"/>
      <c r="J1407" s="300"/>
      <c r="K1407" s="300"/>
      <c r="L1407" s="300"/>
      <c r="M1407" s="300"/>
      <c r="N1407" s="300"/>
      <c r="O1407" s="300"/>
      <c r="P1407" s="300"/>
      <c r="Q1407" s="300"/>
      <c r="R1407" s="300"/>
      <c r="S1407" s="300"/>
      <c r="T1407" s="300"/>
      <c r="U1407" s="300"/>
      <c r="V1407" s="300"/>
      <c r="W1407" s="300"/>
      <c r="X1407" s="300"/>
      <c r="Y1407" s="300"/>
      <c r="Z1407" s="300"/>
    </row>
    <row r="1408" spans="1:26">
      <c r="A1408" s="215" t="s">
        <v>4053</v>
      </c>
      <c r="B1408" s="207">
        <v>356</v>
      </c>
      <c r="C1408" s="215" t="s">
        <v>6075</v>
      </c>
      <c r="D1408" s="215" t="s">
        <v>9558</v>
      </c>
      <c r="E1408" s="215" t="s">
        <v>9559</v>
      </c>
      <c r="F1408" s="215" t="s">
        <v>9553</v>
      </c>
      <c r="G1408" s="215" t="s">
        <v>9554</v>
      </c>
      <c r="H1408" s="215" t="s">
        <v>6500</v>
      </c>
      <c r="I1408" s="300"/>
      <c r="J1408" s="300"/>
      <c r="K1408" s="300"/>
      <c r="L1408" s="300"/>
      <c r="M1408" s="300"/>
      <c r="N1408" s="300"/>
      <c r="O1408" s="300"/>
      <c r="P1408" s="300"/>
      <c r="Q1408" s="300"/>
      <c r="R1408" s="300"/>
      <c r="S1408" s="300"/>
      <c r="T1408" s="300"/>
      <c r="U1408" s="300"/>
      <c r="V1408" s="300"/>
      <c r="W1408" s="300"/>
      <c r="X1408" s="300"/>
      <c r="Y1408" s="300"/>
      <c r="Z1408" s="300"/>
    </row>
    <row r="1409" spans="1:26">
      <c r="A1409" s="215"/>
      <c r="B1409" s="207">
        <v>357</v>
      </c>
      <c r="C1409" s="215" t="s">
        <v>9560</v>
      </c>
      <c r="D1409" s="215" t="s">
        <v>9561</v>
      </c>
      <c r="E1409" s="215" t="s">
        <v>9561</v>
      </c>
      <c r="F1409" s="215" t="s">
        <v>9553</v>
      </c>
      <c r="G1409" s="215" t="s">
        <v>9554</v>
      </c>
      <c r="H1409" s="215" t="s">
        <v>6504</v>
      </c>
      <c r="I1409" s="300"/>
      <c r="J1409" s="300"/>
      <c r="K1409" s="300"/>
      <c r="L1409" s="300"/>
      <c r="M1409" s="300"/>
      <c r="N1409" s="300"/>
      <c r="O1409" s="300"/>
      <c r="P1409" s="300"/>
      <c r="Q1409" s="300"/>
      <c r="R1409" s="300"/>
      <c r="S1409" s="300"/>
      <c r="T1409" s="300"/>
      <c r="U1409" s="300"/>
      <c r="V1409" s="300"/>
      <c r="W1409" s="300"/>
      <c r="X1409" s="300"/>
      <c r="Y1409" s="300"/>
      <c r="Z1409" s="300"/>
    </row>
    <row r="1410" spans="1:26">
      <c r="A1410" s="215" t="s">
        <v>4136</v>
      </c>
      <c r="B1410" s="207">
        <v>381</v>
      </c>
      <c r="C1410" s="215" t="s">
        <v>6128</v>
      </c>
      <c r="D1410" s="215" t="s">
        <v>9562</v>
      </c>
      <c r="E1410" s="215" t="s">
        <v>9563</v>
      </c>
      <c r="F1410" s="215" t="s">
        <v>9553</v>
      </c>
      <c r="G1410" s="215" t="s">
        <v>9554</v>
      </c>
      <c r="H1410" s="215" t="s">
        <v>6500</v>
      </c>
      <c r="I1410" s="300"/>
      <c r="J1410" s="300"/>
      <c r="K1410" s="300"/>
      <c r="L1410" s="300"/>
      <c r="M1410" s="300"/>
      <c r="N1410" s="300"/>
      <c r="O1410" s="300"/>
      <c r="P1410" s="300"/>
      <c r="Q1410" s="300"/>
      <c r="R1410" s="300"/>
      <c r="S1410" s="300"/>
      <c r="T1410" s="300"/>
      <c r="U1410" s="300"/>
      <c r="V1410" s="300"/>
      <c r="W1410" s="300"/>
      <c r="X1410" s="300"/>
      <c r="Y1410" s="300"/>
      <c r="Z1410" s="300"/>
    </row>
    <row r="1411" spans="1:26">
      <c r="A1411" s="215" t="s">
        <v>3940</v>
      </c>
      <c r="B1411" s="207">
        <v>399</v>
      </c>
      <c r="C1411" s="215" t="s">
        <v>5978</v>
      </c>
      <c r="D1411" s="215" t="s">
        <v>9564</v>
      </c>
      <c r="E1411" s="215" t="s">
        <v>9565</v>
      </c>
      <c r="F1411" s="215" t="s">
        <v>9553</v>
      </c>
      <c r="G1411" s="215" t="s">
        <v>9554</v>
      </c>
      <c r="H1411" s="215" t="s">
        <v>6500</v>
      </c>
      <c r="I1411" s="300"/>
      <c r="J1411" s="300"/>
      <c r="K1411" s="300"/>
      <c r="L1411" s="300"/>
      <c r="M1411" s="300"/>
      <c r="N1411" s="300"/>
      <c r="O1411" s="300"/>
      <c r="P1411" s="300"/>
      <c r="Q1411" s="300"/>
      <c r="R1411" s="300"/>
      <c r="S1411" s="300"/>
      <c r="T1411" s="300"/>
      <c r="U1411" s="300"/>
      <c r="V1411" s="300"/>
      <c r="W1411" s="300"/>
      <c r="X1411" s="300"/>
      <c r="Y1411" s="300"/>
      <c r="Z1411" s="300"/>
    </row>
    <row r="1412" spans="1:26">
      <c r="A1412" s="215" t="s">
        <v>4051</v>
      </c>
      <c r="B1412" s="207">
        <v>408</v>
      </c>
      <c r="C1412" s="215" t="s">
        <v>6074</v>
      </c>
      <c r="D1412" s="215" t="s">
        <v>9566</v>
      </c>
      <c r="E1412" s="215" t="s">
        <v>9567</v>
      </c>
      <c r="F1412" s="215" t="s">
        <v>9553</v>
      </c>
      <c r="G1412" s="215" t="s">
        <v>9554</v>
      </c>
      <c r="H1412" s="215" t="s">
        <v>6500</v>
      </c>
      <c r="I1412" s="300"/>
      <c r="J1412" s="300"/>
      <c r="K1412" s="300"/>
      <c r="L1412" s="300"/>
      <c r="M1412" s="300"/>
      <c r="N1412" s="300"/>
      <c r="O1412" s="300"/>
      <c r="P1412" s="300"/>
      <c r="Q1412" s="300"/>
      <c r="R1412" s="300"/>
      <c r="S1412" s="300"/>
      <c r="T1412" s="300"/>
      <c r="U1412" s="300"/>
      <c r="V1412" s="300"/>
      <c r="W1412" s="300"/>
      <c r="X1412" s="300"/>
      <c r="Y1412" s="300"/>
      <c r="Z1412" s="300"/>
    </row>
    <row r="1413" spans="1:26">
      <c r="A1413" s="215" t="s">
        <v>3547</v>
      </c>
      <c r="B1413" s="207">
        <v>565</v>
      </c>
      <c r="C1413" s="215" t="s">
        <v>5655</v>
      </c>
      <c r="D1413" s="215" t="s">
        <v>9568</v>
      </c>
      <c r="E1413" s="215" t="s">
        <v>9569</v>
      </c>
      <c r="F1413" s="215" t="s">
        <v>9553</v>
      </c>
      <c r="G1413" s="215" t="s">
        <v>9554</v>
      </c>
      <c r="H1413" s="215" t="s">
        <v>6500</v>
      </c>
      <c r="I1413" s="300"/>
      <c r="J1413" s="300"/>
      <c r="K1413" s="300"/>
      <c r="L1413" s="300"/>
      <c r="M1413" s="300"/>
      <c r="N1413" s="300"/>
      <c r="O1413" s="300"/>
      <c r="P1413" s="300"/>
      <c r="Q1413" s="300"/>
      <c r="R1413" s="300"/>
      <c r="S1413" s="300"/>
      <c r="T1413" s="300"/>
      <c r="U1413" s="300"/>
      <c r="V1413" s="300"/>
      <c r="W1413" s="300"/>
      <c r="X1413" s="300"/>
      <c r="Y1413" s="300"/>
      <c r="Z1413" s="300"/>
    </row>
    <row r="1414" spans="1:26">
      <c r="A1414" s="215" t="s">
        <v>3728</v>
      </c>
      <c r="B1414" s="207">
        <v>1022</v>
      </c>
      <c r="C1414" s="215" t="s">
        <v>9570</v>
      </c>
      <c r="D1414" s="215" t="s">
        <v>9571</v>
      </c>
      <c r="E1414" s="215" t="s">
        <v>9572</v>
      </c>
      <c r="F1414" s="215" t="s">
        <v>9553</v>
      </c>
      <c r="G1414" s="215" t="s">
        <v>9554</v>
      </c>
      <c r="H1414" s="215" t="s">
        <v>6521</v>
      </c>
      <c r="I1414" s="300"/>
      <c r="J1414" s="300"/>
      <c r="K1414" s="300"/>
      <c r="L1414" s="300"/>
      <c r="M1414" s="300"/>
      <c r="N1414" s="300"/>
      <c r="O1414" s="300"/>
      <c r="P1414" s="300"/>
      <c r="Q1414" s="300"/>
      <c r="R1414" s="300"/>
      <c r="S1414" s="300"/>
      <c r="T1414" s="300"/>
      <c r="U1414" s="300"/>
      <c r="V1414" s="300"/>
      <c r="W1414" s="300"/>
      <c r="X1414" s="300"/>
      <c r="Y1414" s="300"/>
      <c r="Z1414" s="300"/>
    </row>
    <row r="1415" spans="1:26">
      <c r="A1415" s="215" t="s">
        <v>4047</v>
      </c>
      <c r="B1415" s="207">
        <v>1023</v>
      </c>
      <c r="C1415" s="215" t="s">
        <v>6072</v>
      </c>
      <c r="D1415" s="215" t="s">
        <v>9573</v>
      </c>
      <c r="E1415" s="215" t="s">
        <v>9574</v>
      </c>
      <c r="F1415" s="215" t="s">
        <v>9553</v>
      </c>
      <c r="G1415" s="215" t="s">
        <v>9554</v>
      </c>
      <c r="H1415" s="215" t="s">
        <v>6521</v>
      </c>
      <c r="I1415" s="300"/>
      <c r="J1415" s="300"/>
      <c r="K1415" s="300"/>
      <c r="L1415" s="300"/>
      <c r="M1415" s="300"/>
      <c r="N1415" s="300"/>
      <c r="O1415" s="300"/>
      <c r="P1415" s="300"/>
      <c r="Q1415" s="300"/>
      <c r="R1415" s="300"/>
      <c r="S1415" s="300"/>
      <c r="T1415" s="300"/>
      <c r="U1415" s="300"/>
      <c r="V1415" s="300"/>
      <c r="W1415" s="300"/>
      <c r="X1415" s="300"/>
      <c r="Y1415" s="300"/>
      <c r="Z1415" s="300"/>
    </row>
    <row r="1416" spans="1:26">
      <c r="A1416" s="215" t="s">
        <v>3553</v>
      </c>
      <c r="B1416" s="207">
        <v>1330</v>
      </c>
      <c r="C1416" s="215" t="s">
        <v>9575</v>
      </c>
      <c r="D1416" s="215" t="s">
        <v>9576</v>
      </c>
      <c r="E1416" s="215" t="s">
        <v>9577</v>
      </c>
      <c r="F1416" s="215" t="s">
        <v>9553</v>
      </c>
      <c r="G1416" s="215" t="s">
        <v>9554</v>
      </c>
      <c r="H1416" s="215" t="s">
        <v>6500</v>
      </c>
      <c r="I1416" s="300"/>
      <c r="J1416" s="300"/>
      <c r="K1416" s="300"/>
      <c r="L1416" s="300"/>
      <c r="M1416" s="300"/>
      <c r="N1416" s="300"/>
      <c r="O1416" s="300"/>
      <c r="P1416" s="300"/>
      <c r="Q1416" s="300"/>
      <c r="R1416" s="300"/>
      <c r="S1416" s="300"/>
      <c r="T1416" s="300"/>
      <c r="U1416" s="300"/>
      <c r="V1416" s="300"/>
      <c r="W1416" s="300"/>
      <c r="X1416" s="300"/>
      <c r="Y1416" s="300"/>
      <c r="Z1416" s="300"/>
    </row>
    <row r="1417" spans="1:26">
      <c r="A1417" s="215" t="s">
        <v>3087</v>
      </c>
      <c r="B1417" s="207">
        <v>1339</v>
      </c>
      <c r="C1417" s="215" t="s">
        <v>9578</v>
      </c>
      <c r="D1417" s="215" t="s">
        <v>9579</v>
      </c>
      <c r="E1417" s="215" t="s">
        <v>9580</v>
      </c>
      <c r="F1417" s="215" t="s">
        <v>9553</v>
      </c>
      <c r="G1417" s="215" t="s">
        <v>9554</v>
      </c>
      <c r="H1417" s="215" t="s">
        <v>6504</v>
      </c>
      <c r="I1417" s="300"/>
      <c r="J1417" s="300"/>
      <c r="K1417" s="300"/>
      <c r="L1417" s="300"/>
      <c r="M1417" s="300"/>
      <c r="N1417" s="300"/>
      <c r="O1417" s="300"/>
      <c r="P1417" s="300"/>
      <c r="Q1417" s="300"/>
      <c r="R1417" s="300"/>
      <c r="S1417" s="300"/>
      <c r="T1417" s="300"/>
      <c r="U1417" s="300"/>
      <c r="V1417" s="300"/>
      <c r="W1417" s="300"/>
      <c r="X1417" s="300"/>
      <c r="Y1417" s="300"/>
      <c r="Z1417" s="300"/>
    </row>
    <row r="1418" spans="1:26">
      <c r="A1418" s="215" t="s">
        <v>2911</v>
      </c>
      <c r="B1418" s="207">
        <v>1343</v>
      </c>
      <c r="C1418" s="215" t="s">
        <v>5073</v>
      </c>
      <c r="D1418" s="215" t="s">
        <v>9581</v>
      </c>
      <c r="E1418" s="215" t="s">
        <v>9582</v>
      </c>
      <c r="F1418" s="215" t="s">
        <v>9553</v>
      </c>
      <c r="G1418" s="215" t="s">
        <v>9554</v>
      </c>
      <c r="H1418" s="215" t="s">
        <v>6500</v>
      </c>
      <c r="I1418" s="300"/>
      <c r="J1418" s="300"/>
      <c r="K1418" s="300"/>
      <c r="L1418" s="300"/>
      <c r="M1418" s="300"/>
      <c r="N1418" s="300"/>
      <c r="O1418" s="300"/>
      <c r="P1418" s="300"/>
      <c r="Q1418" s="300"/>
      <c r="R1418" s="300"/>
      <c r="S1418" s="300"/>
      <c r="T1418" s="300"/>
      <c r="U1418" s="300"/>
      <c r="V1418" s="300"/>
      <c r="W1418" s="300"/>
      <c r="X1418" s="300"/>
      <c r="Y1418" s="300"/>
      <c r="Z1418" s="300"/>
    </row>
    <row r="1419" spans="1:26">
      <c r="A1419" s="215" t="s">
        <v>8325</v>
      </c>
      <c r="B1419" s="207">
        <v>1344</v>
      </c>
      <c r="C1419" s="215" t="s">
        <v>6350</v>
      </c>
      <c r="D1419" s="215" t="s">
        <v>9583</v>
      </c>
      <c r="E1419" s="215" t="s">
        <v>9583</v>
      </c>
      <c r="F1419" s="215" t="s">
        <v>9553</v>
      </c>
      <c r="G1419" s="215" t="s">
        <v>9554</v>
      </c>
      <c r="H1419" s="215" t="s">
        <v>6504</v>
      </c>
      <c r="I1419" s="300"/>
      <c r="J1419" s="300"/>
      <c r="K1419" s="300"/>
      <c r="L1419" s="300"/>
      <c r="M1419" s="300"/>
      <c r="N1419" s="300"/>
      <c r="O1419" s="300"/>
      <c r="P1419" s="300"/>
      <c r="Q1419" s="300"/>
      <c r="R1419" s="300"/>
      <c r="S1419" s="300"/>
      <c r="T1419" s="300"/>
      <c r="U1419" s="300"/>
      <c r="V1419" s="300"/>
      <c r="W1419" s="300"/>
      <c r="X1419" s="300"/>
      <c r="Y1419" s="300"/>
      <c r="Z1419" s="300"/>
    </row>
    <row r="1420" spans="1:26">
      <c r="A1420" s="215" t="s">
        <v>2955</v>
      </c>
      <c r="B1420" s="207">
        <v>1345</v>
      </c>
      <c r="C1420" s="215" t="s">
        <v>5108</v>
      </c>
      <c r="D1420" s="215" t="s">
        <v>9584</v>
      </c>
      <c r="E1420" s="215" t="s">
        <v>9585</v>
      </c>
      <c r="F1420" s="215" t="s">
        <v>9553</v>
      </c>
      <c r="G1420" s="215" t="s">
        <v>9554</v>
      </c>
      <c r="H1420" s="215" t="s">
        <v>6500</v>
      </c>
      <c r="I1420" s="300"/>
      <c r="J1420" s="300"/>
      <c r="K1420" s="300"/>
      <c r="L1420" s="300"/>
      <c r="M1420" s="300"/>
      <c r="N1420" s="300"/>
      <c r="O1420" s="300"/>
      <c r="P1420" s="300"/>
      <c r="Q1420" s="300"/>
      <c r="R1420" s="300"/>
      <c r="S1420" s="300"/>
      <c r="T1420" s="300"/>
      <c r="U1420" s="300"/>
      <c r="V1420" s="300"/>
      <c r="W1420" s="300"/>
      <c r="X1420" s="300"/>
      <c r="Y1420" s="300"/>
      <c r="Z1420" s="300"/>
    </row>
    <row r="1421" spans="1:26">
      <c r="A1421" s="215" t="s">
        <v>2421</v>
      </c>
      <c r="B1421" s="207">
        <v>1347</v>
      </c>
      <c r="C1421" s="215" t="s">
        <v>9586</v>
      </c>
      <c r="D1421" s="215" t="s">
        <v>9587</v>
      </c>
      <c r="E1421" s="215" t="s">
        <v>9588</v>
      </c>
      <c r="F1421" s="215" t="s">
        <v>9553</v>
      </c>
      <c r="G1421" s="215" t="s">
        <v>9554</v>
      </c>
      <c r="H1421" s="215" t="s">
        <v>6500</v>
      </c>
      <c r="I1421" s="300"/>
      <c r="J1421" s="300"/>
      <c r="K1421" s="300"/>
      <c r="L1421" s="300"/>
      <c r="M1421" s="300"/>
      <c r="N1421" s="300"/>
      <c r="O1421" s="300"/>
      <c r="P1421" s="300"/>
      <c r="Q1421" s="300"/>
      <c r="R1421" s="300"/>
      <c r="S1421" s="300"/>
      <c r="T1421" s="300"/>
      <c r="U1421" s="300"/>
      <c r="V1421" s="300"/>
      <c r="W1421" s="300"/>
      <c r="X1421" s="300"/>
      <c r="Y1421" s="300"/>
      <c r="Z1421" s="300"/>
    </row>
    <row r="1422" spans="1:26">
      <c r="A1422" s="215" t="s">
        <v>4108</v>
      </c>
      <c r="B1422" s="207">
        <v>1348</v>
      </c>
      <c r="C1422" s="215" t="s">
        <v>9589</v>
      </c>
      <c r="D1422" s="215" t="s">
        <v>9590</v>
      </c>
      <c r="E1422" s="215" t="s">
        <v>9591</v>
      </c>
      <c r="F1422" s="215" t="s">
        <v>9553</v>
      </c>
      <c r="G1422" s="215" t="s">
        <v>9554</v>
      </c>
      <c r="H1422" s="215" t="s">
        <v>6500</v>
      </c>
      <c r="I1422" s="300"/>
      <c r="J1422" s="300"/>
      <c r="K1422" s="300"/>
      <c r="L1422" s="300"/>
      <c r="M1422" s="300"/>
      <c r="N1422" s="300"/>
      <c r="O1422" s="300"/>
      <c r="P1422" s="300"/>
      <c r="Q1422" s="300"/>
      <c r="R1422" s="300"/>
      <c r="S1422" s="300"/>
      <c r="T1422" s="300"/>
      <c r="U1422" s="300"/>
      <c r="V1422" s="300"/>
      <c r="W1422" s="300"/>
      <c r="X1422" s="300"/>
      <c r="Y1422" s="300"/>
      <c r="Z1422" s="300"/>
    </row>
    <row r="1423" spans="1:26">
      <c r="A1423" s="215" t="s">
        <v>6530</v>
      </c>
      <c r="B1423" s="207">
        <v>1349</v>
      </c>
      <c r="C1423" s="215" t="s">
        <v>6156</v>
      </c>
      <c r="D1423" s="215" t="s">
        <v>9592</v>
      </c>
      <c r="E1423" s="215" t="s">
        <v>9593</v>
      </c>
      <c r="F1423" s="215" t="s">
        <v>9553</v>
      </c>
      <c r="G1423" s="215" t="s">
        <v>9554</v>
      </c>
      <c r="H1423" s="215" t="s">
        <v>6504</v>
      </c>
      <c r="I1423" s="300"/>
      <c r="J1423" s="300"/>
      <c r="K1423" s="300"/>
      <c r="L1423" s="300"/>
      <c r="M1423" s="300"/>
      <c r="N1423" s="300"/>
      <c r="O1423" s="300"/>
      <c r="P1423" s="300"/>
      <c r="Q1423" s="300"/>
      <c r="R1423" s="300"/>
      <c r="S1423" s="300"/>
      <c r="T1423" s="300"/>
      <c r="U1423" s="300"/>
      <c r="V1423" s="300"/>
      <c r="W1423" s="300"/>
      <c r="X1423" s="300"/>
      <c r="Y1423" s="300"/>
      <c r="Z1423" s="300"/>
    </row>
    <row r="1424" spans="1:26">
      <c r="A1424" s="215" t="s">
        <v>3616</v>
      </c>
      <c r="B1424" s="207">
        <v>1511</v>
      </c>
      <c r="C1424" s="215" t="s">
        <v>9594</v>
      </c>
      <c r="D1424" s="215" t="s">
        <v>9595</v>
      </c>
      <c r="E1424" s="215" t="s">
        <v>9596</v>
      </c>
      <c r="F1424" s="215" t="s">
        <v>9553</v>
      </c>
      <c r="G1424" s="215" t="s">
        <v>9554</v>
      </c>
      <c r="H1424" s="215" t="s">
        <v>6500</v>
      </c>
      <c r="I1424" s="300"/>
      <c r="J1424" s="300"/>
      <c r="K1424" s="300"/>
      <c r="L1424" s="300"/>
      <c r="M1424" s="300"/>
      <c r="N1424" s="300"/>
      <c r="O1424" s="300"/>
      <c r="P1424" s="300"/>
      <c r="Q1424" s="300"/>
      <c r="R1424" s="300"/>
      <c r="S1424" s="300"/>
      <c r="T1424" s="300"/>
      <c r="U1424" s="300"/>
      <c r="V1424" s="300"/>
      <c r="W1424" s="300"/>
      <c r="X1424" s="300"/>
      <c r="Y1424" s="300"/>
      <c r="Z1424" s="300"/>
    </row>
    <row r="1425" spans="1:26">
      <c r="A1425" s="215" t="s">
        <v>3087</v>
      </c>
      <c r="B1425" s="207">
        <v>1614</v>
      </c>
      <c r="C1425" s="215" t="s">
        <v>9597</v>
      </c>
      <c r="D1425" s="215" t="s">
        <v>9598</v>
      </c>
      <c r="E1425" s="215" t="s">
        <v>9599</v>
      </c>
      <c r="F1425" s="215" t="s">
        <v>9553</v>
      </c>
      <c r="G1425" s="215" t="s">
        <v>9554</v>
      </c>
      <c r="H1425" s="215" t="s">
        <v>6504</v>
      </c>
      <c r="I1425" s="300"/>
      <c r="J1425" s="300"/>
      <c r="K1425" s="300"/>
      <c r="L1425" s="300"/>
      <c r="M1425" s="300"/>
      <c r="N1425" s="300"/>
      <c r="O1425" s="300"/>
      <c r="P1425" s="300"/>
      <c r="Q1425" s="300"/>
      <c r="R1425" s="300"/>
      <c r="S1425" s="300"/>
      <c r="T1425" s="300"/>
      <c r="U1425" s="300"/>
      <c r="V1425" s="300"/>
      <c r="W1425" s="300"/>
      <c r="X1425" s="300"/>
      <c r="Y1425" s="300"/>
      <c r="Z1425" s="300"/>
    </row>
    <row r="1426" spans="1:26">
      <c r="A1426" s="215" t="s">
        <v>3553</v>
      </c>
      <c r="B1426" s="207">
        <v>382</v>
      </c>
      <c r="C1426" s="215" t="s">
        <v>5661</v>
      </c>
      <c r="D1426" s="215" t="s">
        <v>9600</v>
      </c>
      <c r="E1426" s="215" t="s">
        <v>9601</v>
      </c>
      <c r="F1426" s="215" t="s">
        <v>9602</v>
      </c>
      <c r="G1426" s="215" t="s">
        <v>9603</v>
      </c>
      <c r="H1426" s="215" t="s">
        <v>6500</v>
      </c>
      <c r="I1426" s="300"/>
      <c r="J1426" s="300"/>
      <c r="K1426" s="300"/>
      <c r="L1426" s="300"/>
      <c r="M1426" s="300"/>
      <c r="N1426" s="300"/>
      <c r="O1426" s="300"/>
      <c r="P1426" s="300"/>
      <c r="Q1426" s="300"/>
      <c r="R1426" s="300"/>
      <c r="S1426" s="300"/>
      <c r="T1426" s="300"/>
      <c r="U1426" s="300"/>
      <c r="V1426" s="300"/>
      <c r="W1426" s="300"/>
      <c r="X1426" s="300"/>
      <c r="Y1426" s="300"/>
      <c r="Z1426" s="300"/>
    </row>
    <row r="1427" spans="1:26">
      <c r="A1427" s="215" t="s">
        <v>9604</v>
      </c>
      <c r="B1427" s="207">
        <v>349</v>
      </c>
      <c r="C1427" s="215" t="s">
        <v>9605</v>
      </c>
      <c r="D1427" s="215" t="s">
        <v>9606</v>
      </c>
      <c r="E1427" s="215" t="s">
        <v>9607</v>
      </c>
      <c r="F1427" s="215" t="s">
        <v>9608</v>
      </c>
      <c r="G1427" s="215" t="s">
        <v>9609</v>
      </c>
      <c r="H1427" s="215" t="s">
        <v>6500</v>
      </c>
      <c r="I1427" s="300"/>
      <c r="J1427" s="300"/>
      <c r="K1427" s="300"/>
      <c r="L1427" s="300"/>
      <c r="M1427" s="300"/>
      <c r="N1427" s="300"/>
      <c r="O1427" s="300"/>
      <c r="P1427" s="300"/>
      <c r="Q1427" s="300"/>
      <c r="R1427" s="300"/>
      <c r="S1427" s="300"/>
      <c r="T1427" s="300"/>
      <c r="U1427" s="300"/>
      <c r="V1427" s="300"/>
      <c r="W1427" s="300"/>
      <c r="X1427" s="300"/>
      <c r="Y1427" s="300"/>
      <c r="Z1427" s="300"/>
    </row>
    <row r="1428" spans="1:26">
      <c r="A1428" s="215" t="s">
        <v>2637</v>
      </c>
      <c r="B1428" s="207">
        <v>475</v>
      </c>
      <c r="C1428" s="215" t="s">
        <v>9610</v>
      </c>
      <c r="D1428" s="215" t="s">
        <v>9611</v>
      </c>
      <c r="E1428" s="215" t="s">
        <v>9612</v>
      </c>
      <c r="F1428" s="215" t="s">
        <v>9613</v>
      </c>
      <c r="G1428" s="215" t="s">
        <v>9614</v>
      </c>
      <c r="H1428" s="215" t="s">
        <v>6497</v>
      </c>
      <c r="I1428" s="300"/>
      <c r="J1428" s="300"/>
      <c r="K1428" s="300"/>
      <c r="L1428" s="300"/>
      <c r="M1428" s="300"/>
      <c r="N1428" s="300"/>
      <c r="O1428" s="300"/>
      <c r="P1428" s="300"/>
      <c r="Q1428" s="300"/>
      <c r="R1428" s="300"/>
      <c r="S1428" s="300"/>
      <c r="T1428" s="300"/>
      <c r="U1428" s="300"/>
      <c r="V1428" s="300"/>
      <c r="W1428" s="300"/>
      <c r="X1428" s="300"/>
      <c r="Y1428" s="300"/>
      <c r="Z1428" s="300"/>
    </row>
    <row r="1429" spans="1:26">
      <c r="A1429" s="215" t="s">
        <v>4035</v>
      </c>
      <c r="B1429" s="207">
        <v>1971</v>
      </c>
      <c r="C1429" s="215" t="s">
        <v>6060</v>
      </c>
      <c r="D1429" s="215" t="s">
        <v>9615</v>
      </c>
      <c r="E1429" s="215" t="s">
        <v>9615</v>
      </c>
      <c r="F1429" s="215" t="s">
        <v>9613</v>
      </c>
      <c r="G1429" s="215" t="s">
        <v>9614</v>
      </c>
      <c r="H1429" s="215" t="s">
        <v>6504</v>
      </c>
      <c r="I1429" s="300"/>
      <c r="J1429" s="300"/>
      <c r="K1429" s="300"/>
      <c r="L1429" s="300"/>
      <c r="M1429" s="300"/>
      <c r="N1429" s="300"/>
      <c r="O1429" s="300"/>
      <c r="P1429" s="300"/>
      <c r="Q1429" s="300"/>
      <c r="R1429" s="300"/>
      <c r="S1429" s="300"/>
      <c r="T1429" s="300"/>
      <c r="U1429" s="300"/>
      <c r="V1429" s="300"/>
      <c r="W1429" s="300"/>
      <c r="X1429" s="300"/>
      <c r="Y1429" s="300"/>
      <c r="Z1429" s="300"/>
    </row>
    <row r="1430" spans="1:26">
      <c r="A1430" s="215" t="s">
        <v>4531</v>
      </c>
      <c r="B1430" s="207">
        <v>1972</v>
      </c>
      <c r="C1430" s="215" t="s">
        <v>6445</v>
      </c>
      <c r="D1430" s="215" t="s">
        <v>9616</v>
      </c>
      <c r="E1430" s="215" t="s">
        <v>9616</v>
      </c>
      <c r="F1430" s="215" t="s">
        <v>9613</v>
      </c>
      <c r="G1430" s="215" t="s">
        <v>9614</v>
      </c>
      <c r="H1430" s="215" t="s">
        <v>6504</v>
      </c>
      <c r="I1430" s="300"/>
      <c r="J1430" s="300"/>
      <c r="K1430" s="300"/>
      <c r="L1430" s="300"/>
      <c r="M1430" s="300"/>
      <c r="N1430" s="300"/>
      <c r="O1430" s="300"/>
      <c r="P1430" s="300"/>
      <c r="Q1430" s="300"/>
      <c r="R1430" s="300"/>
      <c r="S1430" s="300"/>
      <c r="T1430" s="300"/>
      <c r="U1430" s="300"/>
      <c r="V1430" s="300"/>
      <c r="W1430" s="300"/>
      <c r="X1430" s="300"/>
      <c r="Y1430" s="300"/>
      <c r="Z1430" s="300"/>
    </row>
    <row r="1431" spans="1:26">
      <c r="A1431" s="215" t="s">
        <v>3699</v>
      </c>
      <c r="B1431" s="207">
        <v>1973</v>
      </c>
      <c r="C1431" s="215" t="s">
        <v>5788</v>
      </c>
      <c r="D1431" s="215" t="s">
        <v>9617</v>
      </c>
      <c r="E1431" s="215" t="s">
        <v>9617</v>
      </c>
      <c r="F1431" s="215" t="s">
        <v>9613</v>
      </c>
      <c r="G1431" s="215" t="s">
        <v>9614</v>
      </c>
      <c r="H1431" s="215" t="s">
        <v>6500</v>
      </c>
      <c r="I1431" s="300"/>
      <c r="J1431" s="300"/>
      <c r="K1431" s="300"/>
      <c r="L1431" s="300"/>
      <c r="M1431" s="300"/>
      <c r="N1431" s="300"/>
      <c r="O1431" s="300"/>
      <c r="P1431" s="300"/>
      <c r="Q1431" s="300"/>
      <c r="R1431" s="300"/>
      <c r="S1431" s="300"/>
      <c r="T1431" s="300"/>
      <c r="U1431" s="300"/>
      <c r="V1431" s="300"/>
      <c r="W1431" s="300"/>
      <c r="X1431" s="300"/>
      <c r="Y1431" s="300"/>
      <c r="Z1431" s="300"/>
    </row>
    <row r="1432" spans="1:26">
      <c r="A1432" s="215" t="s">
        <v>9618</v>
      </c>
      <c r="B1432" s="207">
        <v>1974</v>
      </c>
      <c r="C1432" s="215" t="s">
        <v>6414</v>
      </c>
      <c r="D1432" s="215" t="s">
        <v>9619</v>
      </c>
      <c r="E1432" s="215" t="s">
        <v>9619</v>
      </c>
      <c r="F1432" s="215" t="s">
        <v>9613</v>
      </c>
      <c r="G1432" s="215" t="s">
        <v>9614</v>
      </c>
      <c r="H1432" s="215" t="s">
        <v>6500</v>
      </c>
      <c r="I1432" s="300"/>
      <c r="J1432" s="300"/>
      <c r="K1432" s="300"/>
      <c r="L1432" s="300"/>
      <c r="M1432" s="300"/>
      <c r="N1432" s="300"/>
      <c r="O1432" s="300"/>
      <c r="P1432" s="300"/>
      <c r="Q1432" s="300"/>
      <c r="R1432" s="300"/>
      <c r="S1432" s="300"/>
      <c r="T1432" s="300"/>
      <c r="U1432" s="300"/>
      <c r="V1432" s="300"/>
      <c r="W1432" s="300"/>
      <c r="X1432" s="300"/>
      <c r="Y1432" s="300"/>
      <c r="Z1432" s="300"/>
    </row>
    <row r="1433" spans="1:26">
      <c r="A1433" s="215" t="s">
        <v>9620</v>
      </c>
      <c r="B1433" s="207">
        <v>1975</v>
      </c>
      <c r="C1433" s="215" t="s">
        <v>9621</v>
      </c>
      <c r="D1433" s="215" t="s">
        <v>9622</v>
      </c>
      <c r="E1433" s="215" t="s">
        <v>9623</v>
      </c>
      <c r="F1433" s="215" t="s">
        <v>9613</v>
      </c>
      <c r="G1433" s="215" t="s">
        <v>9614</v>
      </c>
      <c r="H1433" s="215" t="s">
        <v>6500</v>
      </c>
      <c r="I1433" s="300"/>
      <c r="J1433" s="300"/>
      <c r="K1433" s="300"/>
      <c r="L1433" s="300"/>
      <c r="M1433" s="300"/>
      <c r="N1433" s="300"/>
      <c r="O1433" s="300"/>
      <c r="P1433" s="300"/>
      <c r="Q1433" s="300"/>
      <c r="R1433" s="300"/>
      <c r="S1433" s="300"/>
      <c r="T1433" s="300"/>
      <c r="U1433" s="300"/>
      <c r="V1433" s="300"/>
      <c r="W1433" s="300"/>
      <c r="X1433" s="300"/>
      <c r="Y1433" s="300"/>
      <c r="Z1433" s="300"/>
    </row>
    <row r="1434" spans="1:26">
      <c r="A1434" s="215" t="s">
        <v>4036</v>
      </c>
      <c r="B1434" s="207">
        <v>1976</v>
      </c>
      <c r="C1434" s="215" t="s">
        <v>6061</v>
      </c>
      <c r="D1434" s="215" t="s">
        <v>9624</v>
      </c>
      <c r="E1434" s="215" t="s">
        <v>9625</v>
      </c>
      <c r="F1434" s="215" t="s">
        <v>9613</v>
      </c>
      <c r="G1434" s="215" t="s">
        <v>9614</v>
      </c>
      <c r="H1434" s="215" t="s">
        <v>6500</v>
      </c>
      <c r="I1434" s="300"/>
      <c r="J1434" s="300"/>
      <c r="K1434" s="300"/>
      <c r="L1434" s="300"/>
      <c r="M1434" s="300"/>
      <c r="N1434" s="300"/>
      <c r="O1434" s="300"/>
      <c r="P1434" s="300"/>
      <c r="Q1434" s="300"/>
      <c r="R1434" s="300"/>
      <c r="S1434" s="300"/>
      <c r="T1434" s="300"/>
      <c r="U1434" s="300"/>
      <c r="V1434" s="300"/>
      <c r="W1434" s="300"/>
      <c r="X1434" s="300"/>
      <c r="Y1434" s="300"/>
      <c r="Z1434" s="300"/>
    </row>
    <row r="1435" spans="1:26">
      <c r="A1435" s="215"/>
      <c r="B1435" s="207">
        <v>1980</v>
      </c>
      <c r="C1435" s="215" t="s">
        <v>9626</v>
      </c>
      <c r="D1435" s="215" t="s">
        <v>9627</v>
      </c>
      <c r="E1435" s="215" t="s">
        <v>9627</v>
      </c>
      <c r="F1435" s="215" t="s">
        <v>9613</v>
      </c>
      <c r="G1435" s="215" t="s">
        <v>9614</v>
      </c>
      <c r="H1435" s="215" t="s">
        <v>6500</v>
      </c>
      <c r="I1435" s="300"/>
      <c r="J1435" s="300"/>
      <c r="K1435" s="300"/>
      <c r="L1435" s="300"/>
      <c r="M1435" s="300"/>
      <c r="N1435" s="300"/>
      <c r="O1435" s="300"/>
      <c r="P1435" s="300"/>
      <c r="Q1435" s="300"/>
      <c r="R1435" s="300"/>
      <c r="S1435" s="300"/>
      <c r="T1435" s="300"/>
      <c r="U1435" s="300"/>
      <c r="V1435" s="300"/>
      <c r="W1435" s="300"/>
      <c r="X1435" s="300"/>
      <c r="Y1435" s="300"/>
      <c r="Z1435" s="300"/>
    </row>
    <row r="1436" spans="1:26">
      <c r="A1436" s="215" t="s">
        <v>3058</v>
      </c>
      <c r="B1436" s="207">
        <v>1670</v>
      </c>
      <c r="C1436" s="215" t="s">
        <v>5194</v>
      </c>
      <c r="D1436" s="215" t="s">
        <v>9628</v>
      </c>
      <c r="E1436" s="215" t="s">
        <v>9629</v>
      </c>
      <c r="F1436" s="215" t="s">
        <v>9630</v>
      </c>
      <c r="G1436" s="215" t="s">
        <v>9631</v>
      </c>
      <c r="H1436" s="215" t="s">
        <v>6500</v>
      </c>
      <c r="I1436" s="300"/>
      <c r="J1436" s="300"/>
      <c r="K1436" s="300"/>
      <c r="L1436" s="300"/>
      <c r="M1436" s="300"/>
      <c r="N1436" s="300"/>
      <c r="O1436" s="300"/>
      <c r="P1436" s="300"/>
      <c r="Q1436" s="300"/>
      <c r="R1436" s="300"/>
      <c r="S1436" s="300"/>
      <c r="T1436" s="300"/>
      <c r="U1436" s="300"/>
      <c r="V1436" s="300"/>
      <c r="W1436" s="300"/>
      <c r="X1436" s="300"/>
      <c r="Y1436" s="300"/>
      <c r="Z1436" s="300"/>
    </row>
    <row r="1437" spans="1:26">
      <c r="A1437" s="215" t="s">
        <v>2805</v>
      </c>
      <c r="B1437" s="207">
        <v>91</v>
      </c>
      <c r="C1437" s="215" t="s">
        <v>4970</v>
      </c>
      <c r="D1437" s="215" t="s">
        <v>9632</v>
      </c>
      <c r="E1437" s="215" t="s">
        <v>9633</v>
      </c>
      <c r="F1437" s="215" t="s">
        <v>9634</v>
      </c>
      <c r="G1437" s="215" t="s">
        <v>9635</v>
      </c>
      <c r="H1437" s="215" t="s">
        <v>6521</v>
      </c>
      <c r="I1437" s="300"/>
      <c r="J1437" s="300"/>
      <c r="K1437" s="300"/>
      <c r="L1437" s="300"/>
      <c r="M1437" s="300"/>
      <c r="N1437" s="300"/>
      <c r="O1437" s="300"/>
      <c r="P1437" s="300"/>
      <c r="Q1437" s="300"/>
      <c r="R1437" s="300"/>
      <c r="S1437" s="300"/>
      <c r="T1437" s="300"/>
      <c r="U1437" s="300"/>
      <c r="V1437" s="300"/>
      <c r="W1437" s="300"/>
      <c r="X1437" s="300"/>
      <c r="Y1437" s="300"/>
      <c r="Z1437" s="300"/>
    </row>
    <row r="1438" spans="1:26">
      <c r="A1438" s="215" t="s">
        <v>3088</v>
      </c>
      <c r="B1438" s="207">
        <v>92</v>
      </c>
      <c r="C1438" s="215" t="s">
        <v>5222</v>
      </c>
      <c r="D1438" s="215" t="s">
        <v>9636</v>
      </c>
      <c r="E1438" s="215" t="s">
        <v>9637</v>
      </c>
      <c r="F1438" s="215" t="s">
        <v>9634</v>
      </c>
      <c r="G1438" s="215" t="s">
        <v>9635</v>
      </c>
      <c r="H1438" s="215" t="s">
        <v>6548</v>
      </c>
      <c r="I1438" s="300"/>
      <c r="J1438" s="300"/>
      <c r="K1438" s="300"/>
      <c r="L1438" s="300"/>
      <c r="M1438" s="300"/>
      <c r="N1438" s="300"/>
      <c r="O1438" s="300"/>
      <c r="P1438" s="300"/>
      <c r="Q1438" s="300"/>
      <c r="R1438" s="300"/>
      <c r="S1438" s="300"/>
      <c r="T1438" s="300"/>
      <c r="U1438" s="300"/>
      <c r="V1438" s="300"/>
      <c r="W1438" s="300"/>
      <c r="X1438" s="300"/>
      <c r="Y1438" s="300"/>
      <c r="Z1438" s="300"/>
    </row>
    <row r="1439" spans="1:26">
      <c r="A1439" s="215"/>
      <c r="B1439" s="207">
        <v>93</v>
      </c>
      <c r="C1439" s="215" t="s">
        <v>9638</v>
      </c>
      <c r="D1439" s="215" t="s">
        <v>9639</v>
      </c>
      <c r="E1439" s="215" t="s">
        <v>9639</v>
      </c>
      <c r="F1439" s="215" t="s">
        <v>9634</v>
      </c>
      <c r="G1439" s="215" t="s">
        <v>9635</v>
      </c>
      <c r="H1439" s="215" t="s">
        <v>6548</v>
      </c>
      <c r="I1439" s="300"/>
      <c r="J1439" s="300"/>
      <c r="K1439" s="300"/>
      <c r="L1439" s="300"/>
      <c r="M1439" s="300"/>
      <c r="N1439" s="300"/>
      <c r="O1439" s="300"/>
      <c r="P1439" s="300"/>
      <c r="Q1439" s="300"/>
      <c r="R1439" s="300"/>
      <c r="S1439" s="300"/>
      <c r="T1439" s="300"/>
      <c r="U1439" s="300"/>
      <c r="V1439" s="300"/>
      <c r="W1439" s="300"/>
      <c r="X1439" s="300"/>
      <c r="Y1439" s="300"/>
      <c r="Z1439" s="300"/>
    </row>
    <row r="1440" spans="1:26">
      <c r="A1440" s="215" t="s">
        <v>3696</v>
      </c>
      <c r="B1440" s="207">
        <v>94</v>
      </c>
      <c r="C1440" s="215" t="s">
        <v>5784</v>
      </c>
      <c r="D1440" s="215" t="s">
        <v>9640</v>
      </c>
      <c r="E1440" s="215" t="s">
        <v>9640</v>
      </c>
      <c r="F1440" s="215" t="s">
        <v>9634</v>
      </c>
      <c r="G1440" s="215" t="s">
        <v>9635</v>
      </c>
      <c r="H1440" s="215" t="s">
        <v>6548</v>
      </c>
      <c r="I1440" s="300"/>
      <c r="J1440" s="300"/>
      <c r="K1440" s="300"/>
      <c r="L1440" s="300"/>
      <c r="M1440" s="300"/>
      <c r="N1440" s="300"/>
      <c r="O1440" s="300"/>
      <c r="P1440" s="300"/>
      <c r="Q1440" s="300"/>
      <c r="R1440" s="300"/>
      <c r="S1440" s="300"/>
      <c r="T1440" s="300"/>
      <c r="U1440" s="300"/>
      <c r="V1440" s="300"/>
      <c r="W1440" s="300"/>
      <c r="X1440" s="300"/>
      <c r="Y1440" s="300"/>
      <c r="Z1440" s="300"/>
    </row>
    <row r="1441" spans="1:26">
      <c r="A1441" s="215" t="s">
        <v>4132</v>
      </c>
      <c r="B1441" s="207">
        <v>95</v>
      </c>
      <c r="C1441" s="215" t="s">
        <v>9641</v>
      </c>
      <c r="D1441" s="215" t="s">
        <v>9642</v>
      </c>
      <c r="E1441" s="215" t="s">
        <v>9642</v>
      </c>
      <c r="F1441" s="215" t="s">
        <v>9634</v>
      </c>
      <c r="G1441" s="215" t="s">
        <v>9635</v>
      </c>
      <c r="H1441" s="215" t="s">
        <v>6500</v>
      </c>
      <c r="I1441" s="300"/>
      <c r="J1441" s="300"/>
      <c r="K1441" s="300"/>
      <c r="L1441" s="300"/>
      <c r="M1441" s="300"/>
      <c r="N1441" s="300"/>
      <c r="O1441" s="300"/>
      <c r="P1441" s="300"/>
      <c r="Q1441" s="300"/>
      <c r="R1441" s="300"/>
      <c r="S1441" s="300"/>
      <c r="T1441" s="300"/>
      <c r="U1441" s="300"/>
      <c r="V1441" s="300"/>
      <c r="W1441" s="300"/>
      <c r="X1441" s="300"/>
      <c r="Y1441" s="300"/>
      <c r="Z1441" s="300"/>
    </row>
    <row r="1442" spans="1:26">
      <c r="A1442" s="215" t="s">
        <v>3840</v>
      </c>
      <c r="B1442" s="207">
        <v>97</v>
      </c>
      <c r="C1442" s="215" t="s">
        <v>5916</v>
      </c>
      <c r="D1442" s="215" t="s">
        <v>9643</v>
      </c>
      <c r="E1442" s="215" t="s">
        <v>9643</v>
      </c>
      <c r="F1442" s="215" t="s">
        <v>9634</v>
      </c>
      <c r="G1442" s="215" t="s">
        <v>9635</v>
      </c>
      <c r="H1442" s="215" t="s">
        <v>6548</v>
      </c>
      <c r="I1442" s="300"/>
      <c r="J1442" s="300"/>
      <c r="K1442" s="300"/>
      <c r="L1442" s="300"/>
      <c r="M1442" s="300"/>
      <c r="N1442" s="300"/>
      <c r="O1442" s="300"/>
      <c r="P1442" s="300"/>
      <c r="Q1442" s="300"/>
      <c r="R1442" s="300"/>
      <c r="S1442" s="300"/>
      <c r="T1442" s="300"/>
      <c r="U1442" s="300"/>
      <c r="V1442" s="300"/>
      <c r="W1442" s="300"/>
      <c r="X1442" s="300"/>
      <c r="Y1442" s="300"/>
      <c r="Z1442" s="300"/>
    </row>
    <row r="1443" spans="1:26">
      <c r="A1443" s="215" t="s">
        <v>3846</v>
      </c>
      <c r="B1443" s="207">
        <v>98</v>
      </c>
      <c r="C1443" s="215" t="s">
        <v>5921</v>
      </c>
      <c r="D1443" s="215" t="s">
        <v>9644</v>
      </c>
      <c r="E1443" s="215" t="s">
        <v>9645</v>
      </c>
      <c r="F1443" s="215" t="s">
        <v>9634</v>
      </c>
      <c r="G1443" s="215" t="s">
        <v>9635</v>
      </c>
      <c r="H1443" s="215" t="s">
        <v>6497</v>
      </c>
      <c r="I1443" s="300"/>
      <c r="J1443" s="300"/>
      <c r="K1443" s="300"/>
      <c r="L1443" s="300"/>
      <c r="M1443" s="300"/>
      <c r="N1443" s="300"/>
      <c r="O1443" s="300"/>
      <c r="P1443" s="300"/>
      <c r="Q1443" s="300"/>
      <c r="R1443" s="300"/>
      <c r="S1443" s="300"/>
      <c r="T1443" s="300"/>
      <c r="U1443" s="300"/>
      <c r="V1443" s="300"/>
      <c r="W1443" s="300"/>
      <c r="X1443" s="300"/>
      <c r="Y1443" s="300"/>
      <c r="Z1443" s="300"/>
    </row>
    <row r="1444" spans="1:26">
      <c r="A1444" s="215" t="s">
        <v>2829</v>
      </c>
      <c r="B1444" s="207">
        <v>99</v>
      </c>
      <c r="C1444" s="215" t="s">
        <v>4993</v>
      </c>
      <c r="D1444" s="215" t="s">
        <v>9646</v>
      </c>
      <c r="E1444" s="215" t="s">
        <v>9646</v>
      </c>
      <c r="F1444" s="215" t="s">
        <v>9634</v>
      </c>
      <c r="G1444" s="215" t="s">
        <v>9635</v>
      </c>
      <c r="H1444" s="215" t="s">
        <v>6500</v>
      </c>
      <c r="I1444" s="300"/>
      <c r="J1444" s="300"/>
      <c r="K1444" s="300"/>
      <c r="L1444" s="300"/>
      <c r="M1444" s="300"/>
      <c r="N1444" s="300"/>
      <c r="O1444" s="300"/>
      <c r="P1444" s="300"/>
      <c r="Q1444" s="300"/>
      <c r="R1444" s="300"/>
      <c r="S1444" s="300"/>
      <c r="T1444" s="300"/>
      <c r="U1444" s="300"/>
      <c r="V1444" s="300"/>
      <c r="W1444" s="300"/>
      <c r="X1444" s="300"/>
      <c r="Y1444" s="300"/>
      <c r="Z1444" s="300"/>
    </row>
    <row r="1445" spans="1:26">
      <c r="A1445" s="215"/>
      <c r="B1445" s="207">
        <v>100</v>
      </c>
      <c r="C1445" s="215" t="s">
        <v>5095</v>
      </c>
      <c r="D1445" s="215" t="s">
        <v>5095</v>
      </c>
      <c r="E1445" s="215" t="s">
        <v>9647</v>
      </c>
      <c r="F1445" s="215" t="s">
        <v>9634</v>
      </c>
      <c r="G1445" s="215" t="s">
        <v>9635</v>
      </c>
      <c r="H1445" s="215" t="s">
        <v>6548</v>
      </c>
      <c r="I1445" s="300"/>
      <c r="J1445" s="300"/>
      <c r="K1445" s="300"/>
      <c r="L1445" s="300"/>
      <c r="M1445" s="300"/>
      <c r="N1445" s="300"/>
      <c r="O1445" s="300"/>
      <c r="P1445" s="300"/>
      <c r="Q1445" s="300"/>
      <c r="R1445" s="300"/>
      <c r="S1445" s="300"/>
      <c r="T1445" s="300"/>
      <c r="U1445" s="300"/>
      <c r="V1445" s="300"/>
      <c r="W1445" s="300"/>
      <c r="X1445" s="300"/>
      <c r="Y1445" s="300"/>
      <c r="Z1445" s="300"/>
    </row>
    <row r="1446" spans="1:26">
      <c r="A1446" s="215" t="s">
        <v>3027</v>
      </c>
      <c r="B1446" s="207">
        <v>101</v>
      </c>
      <c r="C1446" s="215" t="s">
        <v>5159</v>
      </c>
      <c r="D1446" s="215" t="s">
        <v>9648</v>
      </c>
      <c r="E1446" s="215" t="s">
        <v>9649</v>
      </c>
      <c r="F1446" s="215" t="s">
        <v>9634</v>
      </c>
      <c r="G1446" s="215" t="s">
        <v>9635</v>
      </c>
      <c r="H1446" s="215" t="s">
        <v>6504</v>
      </c>
      <c r="I1446" s="300"/>
      <c r="J1446" s="300"/>
      <c r="K1446" s="300"/>
      <c r="L1446" s="300"/>
      <c r="M1446" s="300"/>
      <c r="N1446" s="300"/>
      <c r="O1446" s="300"/>
      <c r="P1446" s="300"/>
      <c r="Q1446" s="300"/>
      <c r="R1446" s="300"/>
      <c r="S1446" s="300"/>
      <c r="T1446" s="300"/>
      <c r="U1446" s="300"/>
      <c r="V1446" s="300"/>
      <c r="W1446" s="300"/>
      <c r="X1446" s="300"/>
      <c r="Y1446" s="300"/>
      <c r="Z1446" s="300"/>
    </row>
    <row r="1447" spans="1:26">
      <c r="A1447" s="215" t="s">
        <v>3806</v>
      </c>
      <c r="B1447" s="207">
        <v>102</v>
      </c>
      <c r="C1447" s="215" t="s">
        <v>5883</v>
      </c>
      <c r="D1447" s="215" t="s">
        <v>9650</v>
      </c>
      <c r="E1447" s="215" t="s">
        <v>9651</v>
      </c>
      <c r="F1447" s="215" t="s">
        <v>9634</v>
      </c>
      <c r="G1447" s="215" t="s">
        <v>9635</v>
      </c>
      <c r="H1447" s="215" t="s">
        <v>6497</v>
      </c>
      <c r="I1447" s="300"/>
      <c r="J1447" s="300"/>
      <c r="K1447" s="300"/>
      <c r="L1447" s="300"/>
      <c r="M1447" s="300"/>
      <c r="N1447" s="300"/>
      <c r="O1447" s="300"/>
      <c r="P1447" s="300"/>
      <c r="Q1447" s="300"/>
      <c r="R1447" s="300"/>
      <c r="S1447" s="300"/>
      <c r="T1447" s="300"/>
      <c r="U1447" s="300"/>
      <c r="V1447" s="300"/>
      <c r="W1447" s="300"/>
      <c r="X1447" s="300"/>
      <c r="Y1447" s="300"/>
      <c r="Z1447" s="300"/>
    </row>
    <row r="1448" spans="1:26">
      <c r="A1448" s="215"/>
      <c r="B1448" s="207">
        <v>137</v>
      </c>
      <c r="C1448" s="215" t="s">
        <v>5915</v>
      </c>
      <c r="D1448" s="215" t="s">
        <v>9652</v>
      </c>
      <c r="E1448" s="215" t="s">
        <v>9652</v>
      </c>
      <c r="F1448" s="215" t="s">
        <v>9634</v>
      </c>
      <c r="G1448" s="215" t="s">
        <v>9635</v>
      </c>
      <c r="H1448" s="215" t="s">
        <v>6548</v>
      </c>
      <c r="I1448" s="300"/>
      <c r="J1448" s="300"/>
      <c r="K1448" s="300"/>
      <c r="L1448" s="300"/>
      <c r="M1448" s="300"/>
      <c r="N1448" s="300"/>
      <c r="O1448" s="300"/>
      <c r="P1448" s="300"/>
      <c r="Q1448" s="300"/>
      <c r="R1448" s="300"/>
      <c r="S1448" s="300"/>
      <c r="T1448" s="300"/>
      <c r="U1448" s="300"/>
      <c r="V1448" s="300"/>
      <c r="W1448" s="300"/>
      <c r="X1448" s="300"/>
      <c r="Y1448" s="300"/>
      <c r="Z1448" s="300"/>
    </row>
    <row r="1449" spans="1:26">
      <c r="A1449" s="215" t="s">
        <v>9653</v>
      </c>
      <c r="B1449" s="207">
        <v>96</v>
      </c>
      <c r="C1449" s="215" t="s">
        <v>6162</v>
      </c>
      <c r="D1449" s="215" t="s">
        <v>9654</v>
      </c>
      <c r="E1449" s="215" t="s">
        <v>9654</v>
      </c>
      <c r="F1449" s="215" t="s">
        <v>9655</v>
      </c>
      <c r="G1449" s="215" t="s">
        <v>9656</v>
      </c>
      <c r="H1449" s="215" t="s">
        <v>6521</v>
      </c>
      <c r="I1449" s="300"/>
      <c r="J1449" s="300"/>
      <c r="K1449" s="300"/>
      <c r="L1449" s="300"/>
      <c r="M1449" s="300"/>
      <c r="N1449" s="300"/>
      <c r="O1449" s="300"/>
      <c r="P1449" s="300"/>
      <c r="Q1449" s="300"/>
      <c r="R1449" s="300"/>
      <c r="S1449" s="300"/>
      <c r="T1449" s="300"/>
      <c r="U1449" s="300"/>
      <c r="V1449" s="300"/>
      <c r="W1449" s="300"/>
      <c r="X1449" s="300"/>
      <c r="Y1449" s="300"/>
      <c r="Z1449" s="300"/>
    </row>
    <row r="1450" spans="1:26">
      <c r="A1450" s="215" t="s">
        <v>4049</v>
      </c>
      <c r="B1450" s="207">
        <v>1991</v>
      </c>
      <c r="C1450" s="215" t="s">
        <v>9657</v>
      </c>
      <c r="D1450" s="215" t="s">
        <v>9658</v>
      </c>
      <c r="E1450" s="215" t="s">
        <v>9659</v>
      </c>
      <c r="F1450" s="215" t="s">
        <v>9660</v>
      </c>
      <c r="G1450" s="215" t="s">
        <v>6484</v>
      </c>
      <c r="H1450" s="215" t="s">
        <v>6497</v>
      </c>
      <c r="I1450" s="300"/>
      <c r="J1450" s="300"/>
      <c r="K1450" s="300"/>
      <c r="L1450" s="300"/>
      <c r="M1450" s="300"/>
      <c r="N1450" s="300"/>
      <c r="O1450" s="300"/>
      <c r="P1450" s="300"/>
      <c r="Q1450" s="300"/>
      <c r="R1450" s="300"/>
      <c r="S1450" s="300"/>
      <c r="T1450" s="300"/>
      <c r="U1450" s="300"/>
      <c r="V1450" s="300"/>
      <c r="W1450" s="300"/>
      <c r="X1450" s="300"/>
      <c r="Y1450" s="300"/>
      <c r="Z1450" s="300"/>
    </row>
    <row r="1451" spans="1:26">
      <c r="A1451" s="215" t="s">
        <v>2958</v>
      </c>
      <c r="B1451" s="207">
        <v>2225</v>
      </c>
      <c r="C1451" s="215" t="s">
        <v>9661</v>
      </c>
      <c r="D1451" s="215" t="s">
        <v>9662</v>
      </c>
      <c r="E1451" s="215" t="s">
        <v>9663</v>
      </c>
      <c r="F1451" s="215" t="s">
        <v>9660</v>
      </c>
      <c r="G1451" s="215" t="s">
        <v>6484</v>
      </c>
      <c r="H1451" s="215" t="s">
        <v>6521</v>
      </c>
      <c r="I1451" s="300"/>
      <c r="J1451" s="300"/>
      <c r="K1451" s="300"/>
      <c r="L1451" s="300"/>
      <c r="M1451" s="300"/>
      <c r="N1451" s="300"/>
      <c r="O1451" s="300"/>
      <c r="P1451" s="300"/>
      <c r="Q1451" s="300"/>
      <c r="R1451" s="300"/>
      <c r="S1451" s="300"/>
      <c r="T1451" s="300"/>
      <c r="U1451" s="300"/>
      <c r="V1451" s="300"/>
      <c r="W1451" s="300"/>
      <c r="X1451" s="300"/>
      <c r="Y1451" s="300"/>
      <c r="Z1451" s="300"/>
    </row>
    <row r="1452" spans="1:26">
      <c r="A1452" s="215" t="s">
        <v>4473</v>
      </c>
      <c r="B1452" s="207">
        <v>2226</v>
      </c>
      <c r="C1452" s="215" t="s">
        <v>9664</v>
      </c>
      <c r="D1452" s="215" t="s">
        <v>9665</v>
      </c>
      <c r="E1452" s="215" t="s">
        <v>9666</v>
      </c>
      <c r="F1452" s="215" t="s">
        <v>9660</v>
      </c>
      <c r="G1452" s="215" t="s">
        <v>6484</v>
      </c>
      <c r="H1452" s="215" t="s">
        <v>6500</v>
      </c>
      <c r="I1452" s="300"/>
      <c r="J1452" s="300"/>
      <c r="K1452" s="300"/>
      <c r="L1452" s="300"/>
      <c r="M1452" s="300"/>
      <c r="N1452" s="300"/>
      <c r="O1452" s="300"/>
      <c r="P1452" s="300"/>
      <c r="Q1452" s="300"/>
      <c r="R1452" s="300"/>
      <c r="S1452" s="300"/>
      <c r="T1452" s="300"/>
      <c r="U1452" s="300"/>
      <c r="V1452" s="300"/>
      <c r="W1452" s="300"/>
      <c r="X1452" s="300"/>
      <c r="Y1452" s="300"/>
      <c r="Z1452" s="300"/>
    </row>
    <row r="1453" spans="1:26">
      <c r="A1453" s="215" t="s">
        <v>3891</v>
      </c>
      <c r="B1453" s="207">
        <v>2227</v>
      </c>
      <c r="C1453" s="215" t="s">
        <v>5951</v>
      </c>
      <c r="D1453" s="215" t="s">
        <v>9667</v>
      </c>
      <c r="E1453" s="215" t="s">
        <v>9667</v>
      </c>
      <c r="F1453" s="215" t="s">
        <v>9660</v>
      </c>
      <c r="G1453" s="215" t="s">
        <v>6484</v>
      </c>
      <c r="H1453" s="215" t="s">
        <v>6504</v>
      </c>
      <c r="I1453" s="300"/>
      <c r="J1453" s="300"/>
      <c r="K1453" s="300"/>
      <c r="L1453" s="300"/>
      <c r="M1453" s="300"/>
      <c r="N1453" s="300"/>
      <c r="O1453" s="300"/>
      <c r="P1453" s="300"/>
      <c r="Q1453" s="300"/>
      <c r="R1453" s="300"/>
      <c r="S1453" s="300"/>
      <c r="T1453" s="300"/>
      <c r="U1453" s="300"/>
      <c r="V1453" s="300"/>
      <c r="W1453" s="300"/>
      <c r="X1453" s="300"/>
      <c r="Y1453" s="300"/>
      <c r="Z1453" s="300"/>
    </row>
    <row r="1454" spans="1:26">
      <c r="A1454" s="215" t="s">
        <v>4175</v>
      </c>
      <c r="B1454" s="207">
        <v>2228</v>
      </c>
      <c r="C1454" s="215" t="s">
        <v>6165</v>
      </c>
      <c r="D1454" s="215" t="s">
        <v>9668</v>
      </c>
      <c r="E1454" s="215" t="s">
        <v>9669</v>
      </c>
      <c r="F1454" s="215" t="s">
        <v>9660</v>
      </c>
      <c r="G1454" s="215" t="s">
        <v>6484</v>
      </c>
      <c r="H1454" s="215" t="s">
        <v>6497</v>
      </c>
      <c r="I1454" s="300"/>
      <c r="J1454" s="300"/>
      <c r="K1454" s="300"/>
      <c r="L1454" s="300"/>
      <c r="M1454" s="300"/>
      <c r="N1454" s="300"/>
      <c r="O1454" s="300"/>
      <c r="P1454" s="300"/>
      <c r="Q1454" s="300"/>
      <c r="R1454" s="300"/>
      <c r="S1454" s="300"/>
      <c r="T1454" s="300"/>
      <c r="U1454" s="300"/>
      <c r="V1454" s="300"/>
      <c r="W1454" s="300"/>
      <c r="X1454" s="300"/>
      <c r="Y1454" s="300"/>
      <c r="Z1454" s="300"/>
    </row>
    <row r="1455" spans="1:26">
      <c r="A1455" s="215"/>
      <c r="B1455" s="207">
        <v>2457</v>
      </c>
      <c r="C1455" s="215" t="s">
        <v>9670</v>
      </c>
      <c r="D1455" s="215" t="s">
        <v>9671</v>
      </c>
      <c r="E1455" s="215" t="s">
        <v>9669</v>
      </c>
      <c r="F1455" s="215" t="s">
        <v>9660</v>
      </c>
      <c r="G1455" s="215" t="s">
        <v>6484</v>
      </c>
      <c r="H1455" s="215" t="s">
        <v>6497</v>
      </c>
      <c r="I1455" s="300"/>
      <c r="J1455" s="300"/>
      <c r="K1455" s="300"/>
      <c r="L1455" s="300"/>
      <c r="M1455" s="300"/>
      <c r="N1455" s="300"/>
      <c r="O1455" s="300"/>
      <c r="P1455" s="300"/>
      <c r="Q1455" s="300"/>
      <c r="R1455" s="300"/>
      <c r="S1455" s="300"/>
      <c r="T1455" s="300"/>
      <c r="U1455" s="300"/>
      <c r="V1455" s="300"/>
      <c r="W1455" s="300"/>
      <c r="X1455" s="300"/>
      <c r="Y1455" s="300"/>
      <c r="Z1455" s="300"/>
    </row>
    <row r="1456" spans="1:26">
      <c r="A1456" s="215"/>
      <c r="B1456" s="207">
        <v>2458</v>
      </c>
      <c r="C1456" s="215" t="s">
        <v>9672</v>
      </c>
      <c r="D1456" s="215" t="s">
        <v>9673</v>
      </c>
      <c r="E1456" s="215" t="s">
        <v>9673</v>
      </c>
      <c r="F1456" s="215" t="s">
        <v>9660</v>
      </c>
      <c r="G1456" s="215" t="s">
        <v>6484</v>
      </c>
      <c r="H1456" s="215" t="s">
        <v>6504</v>
      </c>
      <c r="I1456" s="300"/>
      <c r="J1456" s="300"/>
      <c r="K1456" s="300"/>
      <c r="L1456" s="300"/>
      <c r="M1456" s="300"/>
      <c r="N1456" s="300"/>
      <c r="O1456" s="300"/>
      <c r="P1456" s="300"/>
      <c r="Q1456" s="300"/>
      <c r="R1456" s="300"/>
      <c r="S1456" s="300"/>
      <c r="T1456" s="300"/>
      <c r="U1456" s="300"/>
      <c r="V1456" s="300"/>
      <c r="W1456" s="300"/>
      <c r="X1456" s="300"/>
      <c r="Y1456" s="300"/>
      <c r="Z1456" s="300"/>
    </row>
    <row r="1457" spans="1:26">
      <c r="A1457" s="215" t="s">
        <v>2973</v>
      </c>
      <c r="B1457" s="207">
        <v>2459</v>
      </c>
      <c r="C1457" s="215" t="s">
        <v>5123</v>
      </c>
      <c r="D1457" s="215" t="s">
        <v>9674</v>
      </c>
      <c r="E1457" s="215" t="s">
        <v>9675</v>
      </c>
      <c r="F1457" s="215" t="s">
        <v>9660</v>
      </c>
      <c r="G1457" s="215" t="s">
        <v>6484</v>
      </c>
      <c r="H1457" s="215" t="s">
        <v>6504</v>
      </c>
      <c r="I1457" s="300"/>
      <c r="J1457" s="300"/>
      <c r="K1457" s="300"/>
      <c r="L1457" s="300"/>
      <c r="M1457" s="300"/>
      <c r="N1457" s="300"/>
      <c r="O1457" s="300"/>
      <c r="P1457" s="300"/>
      <c r="Q1457" s="300"/>
      <c r="R1457" s="300"/>
      <c r="S1457" s="300"/>
      <c r="T1457" s="300"/>
      <c r="U1457" s="300"/>
      <c r="V1457" s="300"/>
      <c r="W1457" s="300"/>
      <c r="X1457" s="300"/>
      <c r="Y1457" s="300"/>
      <c r="Z1457" s="300"/>
    </row>
    <row r="1458" spans="1:26">
      <c r="A1458" s="215"/>
      <c r="B1458" s="207">
        <v>2460</v>
      </c>
      <c r="C1458" s="215" t="s">
        <v>9676</v>
      </c>
      <c r="D1458" s="215" t="s">
        <v>9677</v>
      </c>
      <c r="E1458" s="215" t="s">
        <v>9678</v>
      </c>
      <c r="F1458" s="215" t="s">
        <v>9660</v>
      </c>
      <c r="G1458" s="215" t="s">
        <v>6484</v>
      </c>
      <c r="H1458" s="215" t="s">
        <v>6504</v>
      </c>
      <c r="I1458" s="300"/>
      <c r="J1458" s="300"/>
      <c r="K1458" s="300"/>
      <c r="L1458" s="300"/>
      <c r="M1458" s="300"/>
      <c r="N1458" s="300"/>
      <c r="O1458" s="300"/>
      <c r="P1458" s="300"/>
      <c r="Q1458" s="300"/>
      <c r="R1458" s="300"/>
      <c r="S1458" s="300"/>
      <c r="T1458" s="300"/>
      <c r="U1458" s="300"/>
      <c r="V1458" s="300"/>
      <c r="W1458" s="300"/>
      <c r="X1458" s="300"/>
      <c r="Y1458" s="300"/>
      <c r="Z1458" s="300"/>
    </row>
    <row r="1459" spans="1:26">
      <c r="A1459" s="215"/>
      <c r="B1459" s="207">
        <v>2461</v>
      </c>
      <c r="C1459" s="215" t="s">
        <v>9679</v>
      </c>
      <c r="D1459" s="215" t="s">
        <v>9680</v>
      </c>
      <c r="E1459" s="215" t="s">
        <v>9680</v>
      </c>
      <c r="F1459" s="215" t="s">
        <v>9660</v>
      </c>
      <c r="G1459" s="215" t="s">
        <v>6484</v>
      </c>
      <c r="H1459" s="215" t="s">
        <v>6504</v>
      </c>
      <c r="I1459" s="300"/>
      <c r="J1459" s="300"/>
      <c r="K1459" s="300"/>
      <c r="L1459" s="300"/>
      <c r="M1459" s="300"/>
      <c r="N1459" s="300"/>
      <c r="O1459" s="300"/>
      <c r="P1459" s="300"/>
      <c r="Q1459" s="300"/>
      <c r="R1459" s="300"/>
      <c r="S1459" s="300"/>
      <c r="T1459" s="300"/>
      <c r="U1459" s="300"/>
      <c r="V1459" s="300"/>
      <c r="W1459" s="300"/>
      <c r="X1459" s="300"/>
      <c r="Y1459" s="300"/>
      <c r="Z1459" s="300"/>
    </row>
    <row r="1460" spans="1:26">
      <c r="A1460" s="215"/>
      <c r="B1460" s="207">
        <v>2462</v>
      </c>
      <c r="C1460" s="215" t="s">
        <v>9681</v>
      </c>
      <c r="D1460" s="215" t="s">
        <v>9682</v>
      </c>
      <c r="E1460" s="215" t="s">
        <v>9683</v>
      </c>
      <c r="F1460" s="215" t="s">
        <v>9660</v>
      </c>
      <c r="G1460" s="215" t="s">
        <v>6484</v>
      </c>
      <c r="H1460" s="215" t="s">
        <v>6497</v>
      </c>
      <c r="I1460" s="300"/>
      <c r="J1460" s="300"/>
      <c r="K1460" s="300"/>
      <c r="L1460" s="300"/>
      <c r="M1460" s="300"/>
      <c r="N1460" s="300"/>
      <c r="O1460" s="300"/>
      <c r="P1460" s="300"/>
      <c r="Q1460" s="300"/>
      <c r="R1460" s="300"/>
      <c r="S1460" s="300"/>
      <c r="T1460" s="300"/>
      <c r="U1460" s="300"/>
      <c r="V1460" s="300"/>
      <c r="W1460" s="300"/>
      <c r="X1460" s="300"/>
      <c r="Y1460" s="300"/>
      <c r="Z1460" s="300"/>
    </row>
    <row r="1461" spans="1:26">
      <c r="A1461" s="215" t="s">
        <v>3357</v>
      </c>
      <c r="B1461" s="207">
        <v>2463</v>
      </c>
      <c r="C1461" s="215" t="s">
        <v>5477</v>
      </c>
      <c r="D1461" s="215" t="s">
        <v>9684</v>
      </c>
      <c r="E1461" s="215" t="s">
        <v>9685</v>
      </c>
      <c r="F1461" s="215" t="s">
        <v>9660</v>
      </c>
      <c r="G1461" s="215" t="s">
        <v>6484</v>
      </c>
      <c r="H1461" s="215" t="s">
        <v>6504</v>
      </c>
      <c r="I1461" s="300"/>
      <c r="J1461" s="300"/>
      <c r="K1461" s="300"/>
      <c r="L1461" s="300"/>
      <c r="M1461" s="300"/>
      <c r="N1461" s="300"/>
      <c r="O1461" s="300"/>
      <c r="P1461" s="300"/>
      <c r="Q1461" s="300"/>
      <c r="R1461" s="300"/>
      <c r="S1461" s="300"/>
      <c r="T1461" s="300"/>
      <c r="U1461" s="300"/>
      <c r="V1461" s="300"/>
      <c r="W1461" s="300"/>
      <c r="X1461" s="300"/>
      <c r="Y1461" s="300"/>
      <c r="Z1461" s="300"/>
    </row>
    <row r="1462" spans="1:26">
      <c r="A1462" s="215"/>
      <c r="B1462" s="207">
        <v>2464</v>
      </c>
      <c r="C1462" s="215" t="s">
        <v>5130</v>
      </c>
      <c r="D1462" s="215" t="s">
        <v>9686</v>
      </c>
      <c r="E1462" s="215" t="s">
        <v>9686</v>
      </c>
      <c r="F1462" s="215" t="s">
        <v>9660</v>
      </c>
      <c r="G1462" s="215" t="s">
        <v>6484</v>
      </c>
      <c r="H1462" s="215" t="s">
        <v>6497</v>
      </c>
      <c r="I1462" s="300"/>
      <c r="J1462" s="300"/>
      <c r="K1462" s="300"/>
      <c r="L1462" s="300"/>
      <c r="M1462" s="300"/>
      <c r="N1462" s="300"/>
      <c r="O1462" s="300"/>
      <c r="P1462" s="300"/>
      <c r="Q1462" s="300"/>
      <c r="R1462" s="300"/>
      <c r="S1462" s="300"/>
      <c r="T1462" s="300"/>
      <c r="U1462" s="300"/>
      <c r="V1462" s="300"/>
      <c r="W1462" s="300"/>
      <c r="X1462" s="300"/>
      <c r="Y1462" s="300"/>
      <c r="Z1462" s="300"/>
    </row>
    <row r="1463" spans="1:26">
      <c r="A1463" s="215" t="s">
        <v>3457</v>
      </c>
      <c r="B1463" s="207">
        <v>2466</v>
      </c>
      <c r="C1463" s="215" t="s">
        <v>5573</v>
      </c>
      <c r="D1463" s="215" t="s">
        <v>9687</v>
      </c>
      <c r="E1463" s="215" t="s">
        <v>9687</v>
      </c>
      <c r="F1463" s="215" t="s">
        <v>9660</v>
      </c>
      <c r="G1463" s="215" t="s">
        <v>6484</v>
      </c>
      <c r="H1463" s="215" t="s">
        <v>6497</v>
      </c>
      <c r="I1463" s="300"/>
      <c r="J1463" s="300"/>
      <c r="K1463" s="300"/>
      <c r="L1463" s="300"/>
      <c r="M1463" s="300"/>
      <c r="N1463" s="300"/>
      <c r="O1463" s="300"/>
      <c r="P1463" s="300"/>
      <c r="Q1463" s="300"/>
      <c r="R1463" s="300"/>
      <c r="S1463" s="300"/>
      <c r="T1463" s="300"/>
      <c r="U1463" s="300"/>
      <c r="V1463" s="300"/>
      <c r="W1463" s="300"/>
      <c r="X1463" s="300"/>
      <c r="Y1463" s="300"/>
      <c r="Z1463" s="300"/>
    </row>
    <row r="1464" spans="1:26">
      <c r="A1464" s="215" t="s">
        <v>4016</v>
      </c>
      <c r="B1464" s="207">
        <v>2467</v>
      </c>
      <c r="C1464" s="215" t="s">
        <v>6041</v>
      </c>
      <c r="D1464" s="215" t="s">
        <v>9688</v>
      </c>
      <c r="E1464" s="215" t="s">
        <v>9688</v>
      </c>
      <c r="F1464" s="215" t="s">
        <v>9660</v>
      </c>
      <c r="G1464" s="215" t="s">
        <v>6484</v>
      </c>
      <c r="H1464" s="215" t="s">
        <v>6497</v>
      </c>
      <c r="I1464" s="300"/>
      <c r="J1464" s="300"/>
      <c r="K1464" s="300"/>
      <c r="L1464" s="300"/>
      <c r="M1464" s="300"/>
      <c r="N1464" s="300"/>
      <c r="O1464" s="300"/>
      <c r="P1464" s="300"/>
      <c r="Q1464" s="300"/>
      <c r="R1464" s="300"/>
      <c r="S1464" s="300"/>
      <c r="T1464" s="300"/>
      <c r="U1464" s="300"/>
      <c r="V1464" s="300"/>
      <c r="W1464" s="300"/>
      <c r="X1464" s="300"/>
      <c r="Y1464" s="300"/>
      <c r="Z1464" s="300"/>
    </row>
    <row r="1465" spans="1:26">
      <c r="A1465" s="215"/>
      <c r="B1465" s="207">
        <v>2465</v>
      </c>
      <c r="C1465" s="215" t="s">
        <v>5010</v>
      </c>
      <c r="D1465" s="215" t="s">
        <v>9689</v>
      </c>
      <c r="E1465" s="215" t="s">
        <v>9689</v>
      </c>
      <c r="F1465" s="215" t="s">
        <v>9690</v>
      </c>
      <c r="G1465" s="215" t="s">
        <v>9691</v>
      </c>
      <c r="H1465" s="215" t="s">
        <v>6504</v>
      </c>
      <c r="I1465" s="300"/>
      <c r="J1465" s="300"/>
      <c r="K1465" s="300"/>
      <c r="L1465" s="300"/>
      <c r="M1465" s="300"/>
      <c r="N1465" s="300"/>
      <c r="O1465" s="300"/>
      <c r="P1465" s="300"/>
      <c r="Q1465" s="300"/>
      <c r="R1465" s="300"/>
      <c r="S1465" s="300"/>
      <c r="T1465" s="300"/>
      <c r="U1465" s="300"/>
      <c r="V1465" s="300"/>
      <c r="W1465" s="300"/>
      <c r="X1465" s="300"/>
      <c r="Y1465" s="300"/>
      <c r="Z1465" s="300"/>
    </row>
    <row r="1466" spans="1:26">
      <c r="A1466" s="215" t="s">
        <v>4116</v>
      </c>
      <c r="B1466" s="207">
        <v>1000</v>
      </c>
      <c r="C1466" s="215" t="s">
        <v>9692</v>
      </c>
      <c r="D1466" s="215" t="s">
        <v>9693</v>
      </c>
      <c r="E1466" s="215" t="s">
        <v>9693</v>
      </c>
      <c r="F1466" s="215" t="s">
        <v>9694</v>
      </c>
      <c r="G1466" s="215" t="s">
        <v>9695</v>
      </c>
      <c r="H1466" s="215" t="s">
        <v>6497</v>
      </c>
      <c r="I1466" s="300"/>
      <c r="J1466" s="300"/>
      <c r="K1466" s="300"/>
      <c r="L1466" s="300"/>
      <c r="M1466" s="300"/>
      <c r="N1466" s="300"/>
      <c r="O1466" s="300"/>
      <c r="P1466" s="300"/>
      <c r="Q1466" s="300"/>
      <c r="R1466" s="300"/>
      <c r="S1466" s="300"/>
      <c r="T1466" s="300"/>
      <c r="U1466" s="300"/>
      <c r="V1466" s="300"/>
      <c r="W1466" s="300"/>
      <c r="X1466" s="300"/>
      <c r="Y1466" s="300"/>
      <c r="Z1466" s="300"/>
    </row>
    <row r="1467" spans="1:26">
      <c r="A1467" s="215" t="s">
        <v>4178</v>
      </c>
      <c r="B1467" s="207">
        <v>1001</v>
      </c>
      <c r="C1467" s="215" t="s">
        <v>9696</v>
      </c>
      <c r="D1467" s="215" t="s">
        <v>9697</v>
      </c>
      <c r="E1467" s="215" t="s">
        <v>9697</v>
      </c>
      <c r="F1467" s="215" t="s">
        <v>9694</v>
      </c>
      <c r="G1467" s="215" t="s">
        <v>9695</v>
      </c>
      <c r="H1467" s="215" t="s">
        <v>6497</v>
      </c>
      <c r="I1467" s="300"/>
      <c r="J1467" s="300"/>
      <c r="K1467" s="300"/>
      <c r="L1467" s="300"/>
      <c r="M1467" s="300"/>
      <c r="N1467" s="300"/>
      <c r="O1467" s="300"/>
      <c r="P1467" s="300"/>
      <c r="Q1467" s="300"/>
      <c r="R1467" s="300"/>
      <c r="S1467" s="300"/>
      <c r="T1467" s="300"/>
      <c r="U1467" s="300"/>
      <c r="V1467" s="300"/>
      <c r="W1467" s="300"/>
      <c r="X1467" s="300"/>
      <c r="Y1467" s="300"/>
      <c r="Z1467" s="300"/>
    </row>
    <row r="1468" spans="1:26">
      <c r="A1468" s="215" t="s">
        <v>2980</v>
      </c>
      <c r="B1468" s="207">
        <v>1004</v>
      </c>
      <c r="C1468" s="215" t="s">
        <v>5129</v>
      </c>
      <c r="D1468" s="215" t="s">
        <v>9698</v>
      </c>
      <c r="E1468" s="215" t="s">
        <v>9698</v>
      </c>
      <c r="F1468" s="215" t="s">
        <v>9694</v>
      </c>
      <c r="G1468" s="215" t="s">
        <v>9695</v>
      </c>
      <c r="H1468" s="215" t="s">
        <v>6504</v>
      </c>
      <c r="I1468" s="300"/>
      <c r="J1468" s="300"/>
      <c r="K1468" s="300"/>
      <c r="L1468" s="300"/>
      <c r="M1468" s="300"/>
      <c r="N1468" s="300"/>
      <c r="O1468" s="300"/>
      <c r="P1468" s="300"/>
      <c r="Q1468" s="300"/>
      <c r="R1468" s="300"/>
      <c r="S1468" s="300"/>
      <c r="T1468" s="300"/>
      <c r="U1468" s="300"/>
      <c r="V1468" s="300"/>
      <c r="W1468" s="300"/>
      <c r="X1468" s="300"/>
      <c r="Y1468" s="300"/>
      <c r="Z1468" s="300"/>
    </row>
    <row r="1469" spans="1:26">
      <c r="A1469" s="215"/>
      <c r="B1469" s="207">
        <v>2724</v>
      </c>
      <c r="C1469" s="215" t="s">
        <v>5439</v>
      </c>
      <c r="D1469" s="215"/>
      <c r="E1469" s="215"/>
      <c r="F1469" s="215" t="s">
        <v>9699</v>
      </c>
      <c r="G1469" s="215" t="s">
        <v>9700</v>
      </c>
      <c r="H1469" s="215" t="s">
        <v>6497</v>
      </c>
      <c r="I1469" s="300"/>
      <c r="J1469" s="300"/>
      <c r="K1469" s="300"/>
      <c r="L1469" s="300"/>
      <c r="M1469" s="300"/>
      <c r="N1469" s="300"/>
      <c r="O1469" s="300"/>
      <c r="P1469" s="300"/>
      <c r="Q1469" s="300"/>
      <c r="R1469" s="300"/>
      <c r="S1469" s="300"/>
      <c r="T1469" s="300"/>
      <c r="U1469" s="300"/>
      <c r="V1469" s="300"/>
      <c r="W1469" s="300"/>
      <c r="X1469" s="300"/>
      <c r="Y1469" s="300"/>
      <c r="Z1469" s="300"/>
    </row>
    <row r="1470" spans="1:26">
      <c r="A1470" s="215" t="s">
        <v>3916</v>
      </c>
      <c r="B1470" s="207">
        <v>516</v>
      </c>
      <c r="C1470" s="215" t="s">
        <v>4837</v>
      </c>
      <c r="D1470" s="215" t="s">
        <v>9701</v>
      </c>
      <c r="E1470" s="215" t="s">
        <v>9701</v>
      </c>
      <c r="F1470" s="215" t="s">
        <v>9702</v>
      </c>
      <c r="G1470" s="215" t="s">
        <v>9703</v>
      </c>
      <c r="H1470" s="215" t="s">
        <v>6504</v>
      </c>
      <c r="I1470" s="300"/>
      <c r="J1470" s="300"/>
      <c r="K1470" s="300"/>
      <c r="L1470" s="300"/>
      <c r="M1470" s="300"/>
      <c r="N1470" s="300"/>
      <c r="O1470" s="300"/>
      <c r="P1470" s="300"/>
      <c r="Q1470" s="300"/>
      <c r="R1470" s="300"/>
      <c r="S1470" s="300"/>
      <c r="T1470" s="300"/>
      <c r="U1470" s="300"/>
      <c r="V1470" s="300"/>
      <c r="W1470" s="300"/>
      <c r="X1470" s="300"/>
      <c r="Y1470" s="300"/>
      <c r="Z1470" s="300"/>
    </row>
    <row r="1471" spans="1:26">
      <c r="A1471" s="215" t="s">
        <v>2791</v>
      </c>
      <c r="B1471" s="207">
        <v>518</v>
      </c>
      <c r="C1471" s="215" t="s">
        <v>4953</v>
      </c>
      <c r="D1471" s="215" t="s">
        <v>9704</v>
      </c>
      <c r="E1471" s="215" t="s">
        <v>9704</v>
      </c>
      <c r="F1471" s="215" t="s">
        <v>9702</v>
      </c>
      <c r="G1471" s="215" t="s">
        <v>9703</v>
      </c>
      <c r="H1471" s="215" t="s">
        <v>6500</v>
      </c>
      <c r="I1471" s="300"/>
      <c r="J1471" s="300"/>
      <c r="K1471" s="300"/>
      <c r="L1471" s="300"/>
      <c r="M1471" s="300"/>
      <c r="N1471" s="300"/>
      <c r="O1471" s="300"/>
      <c r="P1471" s="300"/>
      <c r="Q1471" s="300"/>
      <c r="R1471" s="300"/>
      <c r="S1471" s="300"/>
      <c r="T1471" s="300"/>
      <c r="U1471" s="300"/>
      <c r="V1471" s="300"/>
      <c r="W1471" s="300"/>
      <c r="X1471" s="300"/>
      <c r="Y1471" s="300"/>
      <c r="Z1471" s="300"/>
    </row>
    <row r="1472" spans="1:26">
      <c r="A1472" s="215" t="s">
        <v>4514</v>
      </c>
      <c r="B1472" s="207">
        <v>525</v>
      </c>
      <c r="C1472" s="215" t="s">
        <v>6429</v>
      </c>
      <c r="D1472" s="215" t="s">
        <v>9705</v>
      </c>
      <c r="E1472" s="215" t="s">
        <v>9705</v>
      </c>
      <c r="F1472" s="215" t="s">
        <v>9702</v>
      </c>
      <c r="G1472" s="215" t="s">
        <v>9703</v>
      </c>
      <c r="H1472" s="215" t="s">
        <v>6500</v>
      </c>
      <c r="I1472" s="300"/>
      <c r="J1472" s="300"/>
      <c r="K1472" s="300"/>
      <c r="L1472" s="300"/>
      <c r="M1472" s="300"/>
      <c r="N1472" s="300"/>
      <c r="O1472" s="300"/>
      <c r="P1472" s="300"/>
      <c r="Q1472" s="300"/>
      <c r="R1472" s="300"/>
      <c r="S1472" s="300"/>
      <c r="T1472" s="300"/>
      <c r="U1472" s="300"/>
      <c r="V1472" s="300"/>
      <c r="W1472" s="300"/>
      <c r="X1472" s="300"/>
      <c r="Y1472" s="300"/>
      <c r="Z1472" s="300"/>
    </row>
    <row r="1473" spans="1:26">
      <c r="A1473" s="215" t="s">
        <v>4240</v>
      </c>
      <c r="B1473" s="207">
        <v>546</v>
      </c>
      <c r="C1473" s="215" t="s">
        <v>6216</v>
      </c>
      <c r="D1473" s="215" t="s">
        <v>9706</v>
      </c>
      <c r="E1473" s="215" t="s">
        <v>9707</v>
      </c>
      <c r="F1473" s="215" t="s">
        <v>9702</v>
      </c>
      <c r="G1473" s="215" t="s">
        <v>9703</v>
      </c>
      <c r="H1473" s="215" t="s">
        <v>6500</v>
      </c>
      <c r="I1473" s="300"/>
      <c r="J1473" s="300"/>
      <c r="K1473" s="300"/>
      <c r="L1473" s="300"/>
      <c r="M1473" s="300"/>
      <c r="N1473" s="300"/>
      <c r="O1473" s="300"/>
      <c r="P1473" s="300"/>
      <c r="Q1473" s="300"/>
      <c r="R1473" s="300"/>
      <c r="S1473" s="300"/>
      <c r="T1473" s="300"/>
      <c r="U1473" s="300"/>
      <c r="V1473" s="300"/>
      <c r="W1473" s="300"/>
      <c r="X1473" s="300"/>
      <c r="Y1473" s="300"/>
      <c r="Z1473" s="300"/>
    </row>
    <row r="1474" spans="1:26">
      <c r="A1474" s="215"/>
      <c r="B1474" s="207">
        <v>548</v>
      </c>
      <c r="C1474" s="215" t="s">
        <v>4799</v>
      </c>
      <c r="D1474" s="215" t="s">
        <v>3453</v>
      </c>
      <c r="E1474" s="215" t="s">
        <v>3453</v>
      </c>
      <c r="F1474" s="215" t="s">
        <v>9702</v>
      </c>
      <c r="G1474" s="215" t="s">
        <v>9703</v>
      </c>
      <c r="H1474" s="215" t="s">
        <v>6504</v>
      </c>
      <c r="I1474" s="300"/>
      <c r="J1474" s="300"/>
      <c r="K1474" s="300"/>
      <c r="L1474" s="300"/>
      <c r="M1474" s="300"/>
      <c r="N1474" s="300"/>
      <c r="O1474" s="300"/>
      <c r="P1474" s="300"/>
      <c r="Q1474" s="300"/>
      <c r="R1474" s="300"/>
      <c r="S1474" s="300"/>
      <c r="T1474" s="300"/>
      <c r="U1474" s="300"/>
      <c r="V1474" s="300"/>
      <c r="W1474" s="300"/>
      <c r="X1474" s="300"/>
      <c r="Y1474" s="300"/>
      <c r="Z1474" s="300"/>
    </row>
    <row r="1475" spans="1:26">
      <c r="A1475" s="215"/>
      <c r="B1475" s="207">
        <v>1753</v>
      </c>
      <c r="C1475" s="215" t="s">
        <v>9708</v>
      </c>
      <c r="D1475" s="215" t="s">
        <v>9709</v>
      </c>
      <c r="E1475" s="215" t="s">
        <v>9710</v>
      </c>
      <c r="F1475" s="215" t="s">
        <v>9702</v>
      </c>
      <c r="G1475" s="215" t="s">
        <v>9703</v>
      </c>
      <c r="H1475" s="215" t="s">
        <v>6497</v>
      </c>
      <c r="I1475" s="300"/>
      <c r="J1475" s="300"/>
      <c r="K1475" s="300"/>
      <c r="L1475" s="300"/>
      <c r="M1475" s="300"/>
      <c r="N1475" s="300"/>
      <c r="O1475" s="300"/>
      <c r="P1475" s="300"/>
      <c r="Q1475" s="300"/>
      <c r="R1475" s="300"/>
      <c r="S1475" s="300"/>
      <c r="T1475" s="300"/>
      <c r="U1475" s="300"/>
      <c r="V1475" s="300"/>
      <c r="W1475" s="300"/>
      <c r="X1475" s="300"/>
      <c r="Y1475" s="300"/>
      <c r="Z1475" s="300"/>
    </row>
    <row r="1476" spans="1:26">
      <c r="A1476" s="215"/>
      <c r="B1476" s="207">
        <v>2195</v>
      </c>
      <c r="C1476" s="215" t="s">
        <v>9711</v>
      </c>
      <c r="D1476" s="215" t="s">
        <v>9712</v>
      </c>
      <c r="E1476" s="215" t="s">
        <v>9712</v>
      </c>
      <c r="F1476" s="215" t="s">
        <v>9702</v>
      </c>
      <c r="G1476" s="215" t="s">
        <v>9703</v>
      </c>
      <c r="H1476" s="215" t="s">
        <v>6504</v>
      </c>
      <c r="I1476" s="300"/>
      <c r="J1476" s="300"/>
      <c r="K1476" s="300"/>
      <c r="L1476" s="300"/>
      <c r="M1476" s="300"/>
      <c r="N1476" s="300"/>
      <c r="O1476" s="300"/>
      <c r="P1476" s="300"/>
      <c r="Q1476" s="300"/>
      <c r="R1476" s="300"/>
      <c r="S1476" s="300"/>
      <c r="T1476" s="300"/>
      <c r="U1476" s="300"/>
      <c r="V1476" s="300"/>
      <c r="W1476" s="300"/>
      <c r="X1476" s="300"/>
      <c r="Y1476" s="300"/>
      <c r="Z1476" s="300"/>
    </row>
    <row r="1477" spans="1:26">
      <c r="A1477" s="215" t="s">
        <v>4272</v>
      </c>
      <c r="B1477" s="207">
        <v>2208</v>
      </c>
      <c r="C1477" s="215" t="s">
        <v>9713</v>
      </c>
      <c r="D1477" s="215" t="s">
        <v>9714</v>
      </c>
      <c r="E1477" s="215" t="s">
        <v>9715</v>
      </c>
      <c r="F1477" s="215" t="s">
        <v>9702</v>
      </c>
      <c r="G1477" s="215" t="s">
        <v>9703</v>
      </c>
      <c r="H1477" s="215" t="s">
        <v>6500</v>
      </c>
      <c r="I1477" s="300"/>
      <c r="J1477" s="300"/>
      <c r="K1477" s="300"/>
      <c r="L1477" s="300"/>
      <c r="M1477" s="300"/>
      <c r="N1477" s="300"/>
      <c r="O1477" s="300"/>
      <c r="P1477" s="300"/>
      <c r="Q1477" s="300"/>
      <c r="R1477" s="300"/>
      <c r="S1477" s="300"/>
      <c r="T1477" s="300"/>
      <c r="U1477" s="300"/>
      <c r="V1477" s="300"/>
      <c r="W1477" s="300"/>
      <c r="X1477" s="300"/>
      <c r="Y1477" s="300"/>
      <c r="Z1477" s="300"/>
    </row>
    <row r="1478" spans="1:26">
      <c r="A1478" s="215"/>
      <c r="B1478" s="207">
        <v>2233</v>
      </c>
      <c r="C1478" s="215" t="s">
        <v>5975</v>
      </c>
      <c r="D1478" s="215" t="s">
        <v>9716</v>
      </c>
      <c r="E1478" s="215" t="s">
        <v>9717</v>
      </c>
      <c r="F1478" s="215" t="s">
        <v>9702</v>
      </c>
      <c r="G1478" s="215" t="s">
        <v>9703</v>
      </c>
      <c r="H1478" s="215" t="s">
        <v>6500</v>
      </c>
      <c r="I1478" s="300"/>
      <c r="J1478" s="300"/>
      <c r="K1478" s="300"/>
      <c r="L1478" s="300"/>
      <c r="M1478" s="300"/>
      <c r="N1478" s="300"/>
      <c r="O1478" s="300"/>
      <c r="P1478" s="300"/>
      <c r="Q1478" s="300"/>
      <c r="R1478" s="300"/>
      <c r="S1478" s="300"/>
      <c r="T1478" s="300"/>
      <c r="U1478" s="300"/>
      <c r="V1478" s="300"/>
      <c r="W1478" s="300"/>
      <c r="X1478" s="300"/>
      <c r="Y1478" s="300"/>
      <c r="Z1478" s="300"/>
    </row>
    <row r="1479" spans="1:26">
      <c r="A1479" s="215" t="s">
        <v>3915</v>
      </c>
      <c r="B1479" s="207">
        <v>2235</v>
      </c>
      <c r="C1479" s="215" t="s">
        <v>5965</v>
      </c>
      <c r="D1479" s="215" t="s">
        <v>9718</v>
      </c>
      <c r="E1479" s="215" t="s">
        <v>9718</v>
      </c>
      <c r="F1479" s="215" t="s">
        <v>9702</v>
      </c>
      <c r="G1479" s="215" t="s">
        <v>9703</v>
      </c>
      <c r="H1479" s="215" t="s">
        <v>6521</v>
      </c>
      <c r="I1479" s="300"/>
      <c r="J1479" s="300"/>
      <c r="K1479" s="300"/>
      <c r="L1479" s="300"/>
      <c r="M1479" s="300"/>
      <c r="N1479" s="300"/>
      <c r="O1479" s="300"/>
      <c r="P1479" s="300"/>
      <c r="Q1479" s="300"/>
      <c r="R1479" s="300"/>
      <c r="S1479" s="300"/>
      <c r="T1479" s="300"/>
      <c r="U1479" s="300"/>
      <c r="V1479" s="300"/>
      <c r="W1479" s="300"/>
      <c r="X1479" s="300"/>
      <c r="Y1479" s="300"/>
      <c r="Z1479" s="300"/>
    </row>
    <row r="1480" spans="1:26">
      <c r="A1480" s="215" t="s">
        <v>4216</v>
      </c>
      <c r="B1480" s="207">
        <v>2237</v>
      </c>
      <c r="C1480" s="215" t="s">
        <v>6195</v>
      </c>
      <c r="D1480" s="215" t="s">
        <v>9719</v>
      </c>
      <c r="E1480" s="215" t="s">
        <v>9720</v>
      </c>
      <c r="F1480" s="215" t="s">
        <v>9702</v>
      </c>
      <c r="G1480" s="215" t="s">
        <v>9703</v>
      </c>
      <c r="H1480" s="215" t="s">
        <v>6521</v>
      </c>
      <c r="I1480" s="300"/>
      <c r="J1480" s="300"/>
      <c r="K1480" s="300"/>
      <c r="L1480" s="300"/>
      <c r="M1480" s="300"/>
      <c r="N1480" s="300"/>
      <c r="O1480" s="300"/>
      <c r="P1480" s="300"/>
      <c r="Q1480" s="300"/>
      <c r="R1480" s="300"/>
      <c r="S1480" s="300"/>
      <c r="T1480" s="300"/>
      <c r="U1480" s="300"/>
      <c r="V1480" s="300"/>
      <c r="W1480" s="300"/>
      <c r="X1480" s="300"/>
      <c r="Y1480" s="300"/>
      <c r="Z1480" s="300"/>
    </row>
    <row r="1481" spans="1:26">
      <c r="A1481" s="215"/>
      <c r="B1481" s="207">
        <v>2251</v>
      </c>
      <c r="C1481" s="215" t="s">
        <v>9721</v>
      </c>
      <c r="D1481" s="215" t="s">
        <v>9722</v>
      </c>
      <c r="E1481" s="215" t="s">
        <v>9722</v>
      </c>
      <c r="F1481" s="215" t="s">
        <v>9702</v>
      </c>
      <c r="G1481" s="215" t="s">
        <v>9703</v>
      </c>
      <c r="H1481" s="215" t="s">
        <v>6500</v>
      </c>
      <c r="I1481" s="300"/>
      <c r="J1481" s="300"/>
      <c r="K1481" s="300"/>
      <c r="L1481" s="300"/>
      <c r="M1481" s="300"/>
      <c r="N1481" s="300"/>
      <c r="O1481" s="300"/>
      <c r="P1481" s="300"/>
      <c r="Q1481" s="300"/>
      <c r="R1481" s="300"/>
      <c r="S1481" s="300"/>
      <c r="T1481" s="300"/>
      <c r="U1481" s="300"/>
      <c r="V1481" s="300"/>
      <c r="W1481" s="300"/>
      <c r="X1481" s="300"/>
      <c r="Y1481" s="300"/>
      <c r="Z1481" s="300"/>
    </row>
    <row r="1482" spans="1:26">
      <c r="A1482" s="215"/>
      <c r="B1482" s="207">
        <v>2252</v>
      </c>
      <c r="C1482" s="215" t="s">
        <v>9723</v>
      </c>
      <c r="D1482" s="215" t="s">
        <v>9724</v>
      </c>
      <c r="E1482" s="215" t="s">
        <v>9724</v>
      </c>
      <c r="F1482" s="215" t="s">
        <v>9702</v>
      </c>
      <c r="G1482" s="215" t="s">
        <v>9703</v>
      </c>
      <c r="H1482" s="215" t="s">
        <v>6500</v>
      </c>
      <c r="I1482" s="300"/>
      <c r="J1482" s="300"/>
      <c r="K1482" s="300"/>
      <c r="L1482" s="300"/>
      <c r="M1482" s="300"/>
      <c r="N1482" s="300"/>
      <c r="O1482" s="300"/>
      <c r="P1482" s="300"/>
      <c r="Q1482" s="300"/>
      <c r="R1482" s="300"/>
      <c r="S1482" s="300"/>
      <c r="T1482" s="300"/>
      <c r="U1482" s="300"/>
      <c r="V1482" s="300"/>
      <c r="W1482" s="300"/>
      <c r="X1482" s="300"/>
      <c r="Y1482" s="300"/>
      <c r="Z1482" s="300"/>
    </row>
    <row r="1483" spans="1:26">
      <c r="A1483" s="215"/>
      <c r="B1483" s="207">
        <v>2253</v>
      </c>
      <c r="C1483" s="215" t="s">
        <v>5582</v>
      </c>
      <c r="D1483" s="215" t="s">
        <v>9725</v>
      </c>
      <c r="E1483" s="215" t="s">
        <v>9726</v>
      </c>
      <c r="F1483" s="215" t="s">
        <v>9702</v>
      </c>
      <c r="G1483" s="215" t="s">
        <v>9703</v>
      </c>
      <c r="H1483" s="215" t="s">
        <v>6500</v>
      </c>
      <c r="I1483" s="300"/>
      <c r="J1483" s="300"/>
      <c r="K1483" s="300"/>
      <c r="L1483" s="300"/>
      <c r="M1483" s="300"/>
      <c r="N1483" s="300"/>
      <c r="O1483" s="300"/>
      <c r="P1483" s="300"/>
      <c r="Q1483" s="300"/>
      <c r="R1483" s="300"/>
      <c r="S1483" s="300"/>
      <c r="T1483" s="300"/>
      <c r="U1483" s="300"/>
      <c r="V1483" s="300"/>
      <c r="W1483" s="300"/>
      <c r="X1483" s="300"/>
      <c r="Y1483" s="300"/>
      <c r="Z1483" s="300"/>
    </row>
    <row r="1484" spans="1:26">
      <c r="A1484" s="215"/>
      <c r="B1484" s="207">
        <v>2254</v>
      </c>
      <c r="C1484" s="215" t="s">
        <v>9727</v>
      </c>
      <c r="D1484" s="215" t="s">
        <v>3322</v>
      </c>
      <c r="E1484" s="215" t="s">
        <v>3322</v>
      </c>
      <c r="F1484" s="215" t="s">
        <v>9702</v>
      </c>
      <c r="G1484" s="215" t="s">
        <v>9703</v>
      </c>
      <c r="H1484" s="215" t="s">
        <v>6500</v>
      </c>
      <c r="I1484" s="300"/>
      <c r="J1484" s="300"/>
      <c r="K1484" s="300"/>
      <c r="L1484" s="300"/>
      <c r="M1484" s="300"/>
      <c r="N1484" s="300"/>
      <c r="O1484" s="300"/>
      <c r="P1484" s="300"/>
      <c r="Q1484" s="300"/>
      <c r="R1484" s="300"/>
      <c r="S1484" s="300"/>
      <c r="T1484" s="300"/>
      <c r="U1484" s="300"/>
      <c r="V1484" s="300"/>
      <c r="W1484" s="300"/>
      <c r="X1484" s="300"/>
      <c r="Y1484" s="300"/>
      <c r="Z1484" s="300"/>
    </row>
    <row r="1485" spans="1:26">
      <c r="A1485" s="215"/>
      <c r="B1485" s="207">
        <v>2255</v>
      </c>
      <c r="C1485" s="215" t="s">
        <v>5678</v>
      </c>
      <c r="D1485" s="215" t="s">
        <v>9728</v>
      </c>
      <c r="E1485" s="215" t="s">
        <v>9728</v>
      </c>
      <c r="F1485" s="215" t="s">
        <v>9702</v>
      </c>
      <c r="G1485" s="215" t="s">
        <v>9703</v>
      </c>
      <c r="H1485" s="215" t="s">
        <v>6500</v>
      </c>
      <c r="I1485" s="300"/>
      <c r="J1485" s="300"/>
      <c r="K1485" s="300"/>
      <c r="L1485" s="300"/>
      <c r="M1485" s="300"/>
      <c r="N1485" s="300"/>
      <c r="O1485" s="300"/>
      <c r="P1485" s="300"/>
      <c r="Q1485" s="300"/>
      <c r="R1485" s="300"/>
      <c r="S1485" s="300"/>
      <c r="T1485" s="300"/>
      <c r="U1485" s="300"/>
      <c r="V1485" s="300"/>
      <c r="W1485" s="300"/>
      <c r="X1485" s="300"/>
      <c r="Y1485" s="300"/>
      <c r="Z1485" s="300"/>
    </row>
    <row r="1486" spans="1:26">
      <c r="A1486" s="215" t="s">
        <v>9729</v>
      </c>
      <c r="B1486" s="207">
        <v>2256</v>
      </c>
      <c r="C1486" s="215" t="s">
        <v>5359</v>
      </c>
      <c r="D1486" s="215" t="s">
        <v>9730</v>
      </c>
      <c r="E1486" s="215" t="s">
        <v>9731</v>
      </c>
      <c r="F1486" s="215" t="s">
        <v>9702</v>
      </c>
      <c r="G1486" s="215" t="s">
        <v>9703</v>
      </c>
      <c r="H1486" s="215" t="s">
        <v>6500</v>
      </c>
      <c r="I1486" s="300"/>
      <c r="J1486" s="300"/>
      <c r="K1486" s="300"/>
      <c r="L1486" s="300"/>
      <c r="M1486" s="300"/>
      <c r="N1486" s="300"/>
      <c r="O1486" s="300"/>
      <c r="P1486" s="300"/>
      <c r="Q1486" s="300"/>
      <c r="R1486" s="300"/>
      <c r="S1486" s="300"/>
      <c r="T1486" s="300"/>
      <c r="U1486" s="300"/>
      <c r="V1486" s="300"/>
      <c r="W1486" s="300"/>
      <c r="X1486" s="300"/>
      <c r="Y1486" s="300"/>
      <c r="Z1486" s="300"/>
    </row>
    <row r="1487" spans="1:26">
      <c r="A1487" s="215"/>
      <c r="B1487" s="207">
        <v>2257</v>
      </c>
      <c r="C1487" s="215" t="s">
        <v>5360</v>
      </c>
      <c r="D1487" s="215" t="s">
        <v>9731</v>
      </c>
      <c r="E1487" s="215" t="s">
        <v>9731</v>
      </c>
      <c r="F1487" s="215" t="s">
        <v>9702</v>
      </c>
      <c r="G1487" s="215" t="s">
        <v>9703</v>
      </c>
      <c r="H1487" s="215" t="s">
        <v>6500</v>
      </c>
      <c r="I1487" s="300"/>
      <c r="J1487" s="300"/>
      <c r="K1487" s="300"/>
      <c r="L1487" s="300"/>
      <c r="M1487" s="300"/>
      <c r="N1487" s="300"/>
      <c r="O1487" s="300"/>
      <c r="P1487" s="300"/>
      <c r="Q1487" s="300"/>
      <c r="R1487" s="300"/>
      <c r="S1487" s="300"/>
      <c r="T1487" s="300"/>
      <c r="U1487" s="300"/>
      <c r="V1487" s="300"/>
      <c r="W1487" s="300"/>
      <c r="X1487" s="300"/>
      <c r="Y1487" s="300"/>
      <c r="Z1487" s="300"/>
    </row>
    <row r="1488" spans="1:26">
      <c r="A1488" s="215" t="s">
        <v>4277</v>
      </c>
      <c r="B1488" s="207">
        <v>2258</v>
      </c>
      <c r="C1488" s="215" t="s">
        <v>5361</v>
      </c>
      <c r="D1488" s="215" t="s">
        <v>9732</v>
      </c>
      <c r="E1488" s="215" t="s">
        <v>4332</v>
      </c>
      <c r="F1488" s="215" t="s">
        <v>9702</v>
      </c>
      <c r="G1488" s="215" t="s">
        <v>9703</v>
      </c>
      <c r="H1488" s="215" t="s">
        <v>6500</v>
      </c>
      <c r="I1488" s="300"/>
      <c r="J1488" s="300"/>
      <c r="K1488" s="300"/>
      <c r="L1488" s="300"/>
      <c r="M1488" s="300"/>
      <c r="N1488" s="300"/>
      <c r="O1488" s="300"/>
      <c r="P1488" s="300"/>
      <c r="Q1488" s="300"/>
      <c r="R1488" s="300"/>
      <c r="S1488" s="300"/>
      <c r="T1488" s="300"/>
      <c r="U1488" s="300"/>
      <c r="V1488" s="300"/>
      <c r="W1488" s="300"/>
      <c r="X1488" s="300"/>
      <c r="Y1488" s="300"/>
      <c r="Z1488" s="300"/>
    </row>
    <row r="1489" spans="1:26">
      <c r="A1489" s="215" t="s">
        <v>2550</v>
      </c>
      <c r="B1489" s="207">
        <v>2220</v>
      </c>
      <c r="C1489" s="215" t="s">
        <v>4801</v>
      </c>
      <c r="D1489" s="215" t="s">
        <v>9733</v>
      </c>
      <c r="E1489" s="215" t="s">
        <v>9733</v>
      </c>
      <c r="F1489" s="215" t="s">
        <v>9734</v>
      </c>
      <c r="G1489" s="215" t="s">
        <v>9735</v>
      </c>
      <c r="H1489" s="215" t="s">
        <v>6500</v>
      </c>
      <c r="I1489" s="300"/>
      <c r="J1489" s="300"/>
      <c r="K1489" s="300"/>
      <c r="L1489" s="300"/>
      <c r="M1489" s="300"/>
      <c r="N1489" s="300"/>
      <c r="O1489" s="300"/>
      <c r="P1489" s="300"/>
      <c r="Q1489" s="300"/>
      <c r="R1489" s="300"/>
      <c r="S1489" s="300"/>
      <c r="T1489" s="300"/>
      <c r="U1489" s="300"/>
      <c r="V1489" s="300"/>
      <c r="W1489" s="300"/>
      <c r="X1489" s="300"/>
      <c r="Y1489" s="300"/>
      <c r="Z1489" s="300"/>
    </row>
    <row r="1490" spans="1:26">
      <c r="A1490" s="215" t="s">
        <v>3675</v>
      </c>
      <c r="B1490" s="207">
        <v>544</v>
      </c>
      <c r="C1490" s="215" t="s">
        <v>5763</v>
      </c>
      <c r="D1490" s="215" t="s">
        <v>9736</v>
      </c>
      <c r="E1490" s="215" t="s">
        <v>9736</v>
      </c>
      <c r="F1490" s="215" t="s">
        <v>9737</v>
      </c>
      <c r="G1490" s="215" t="s">
        <v>9738</v>
      </c>
      <c r="H1490" s="215" t="s">
        <v>6500</v>
      </c>
      <c r="I1490" s="300"/>
      <c r="J1490" s="300"/>
      <c r="K1490" s="300"/>
      <c r="L1490" s="300"/>
      <c r="M1490" s="300"/>
      <c r="N1490" s="300"/>
      <c r="O1490" s="300"/>
      <c r="P1490" s="300"/>
      <c r="Q1490" s="300"/>
      <c r="R1490" s="300"/>
      <c r="S1490" s="300"/>
      <c r="T1490" s="300"/>
      <c r="U1490" s="300"/>
      <c r="V1490" s="300"/>
      <c r="W1490" s="300"/>
      <c r="X1490" s="300"/>
      <c r="Y1490" s="300"/>
      <c r="Z1490" s="300"/>
    </row>
    <row r="1491" spans="1:26">
      <c r="A1491" s="215" t="s">
        <v>4240</v>
      </c>
      <c r="B1491" s="207">
        <v>563</v>
      </c>
      <c r="C1491" s="215" t="s">
        <v>9739</v>
      </c>
      <c r="D1491" s="215" t="s">
        <v>9740</v>
      </c>
      <c r="E1491" s="215" t="s">
        <v>9741</v>
      </c>
      <c r="F1491" s="215" t="s">
        <v>9737</v>
      </c>
      <c r="G1491" s="215" t="s">
        <v>9738</v>
      </c>
      <c r="H1491" s="215" t="s">
        <v>6500</v>
      </c>
      <c r="I1491" s="300"/>
      <c r="J1491" s="300"/>
      <c r="K1491" s="300"/>
      <c r="L1491" s="300"/>
      <c r="M1491" s="300"/>
      <c r="N1491" s="300"/>
      <c r="O1491" s="300"/>
      <c r="P1491" s="300"/>
      <c r="Q1491" s="300"/>
      <c r="R1491" s="300"/>
      <c r="S1491" s="300"/>
      <c r="T1491" s="300"/>
      <c r="U1491" s="300"/>
      <c r="V1491" s="300"/>
      <c r="W1491" s="300"/>
      <c r="X1491" s="300"/>
      <c r="Y1491" s="300"/>
      <c r="Z1491" s="300"/>
    </row>
    <row r="1492" spans="1:26">
      <c r="A1492" s="215" t="s">
        <v>4098</v>
      </c>
      <c r="B1492" s="207">
        <v>1006</v>
      </c>
      <c r="C1492" s="215" t="s">
        <v>6107</v>
      </c>
      <c r="D1492" s="215" t="s">
        <v>9742</v>
      </c>
      <c r="E1492" s="215" t="s">
        <v>9742</v>
      </c>
      <c r="F1492" s="215" t="s">
        <v>9737</v>
      </c>
      <c r="G1492" s="215" t="s">
        <v>9738</v>
      </c>
      <c r="H1492" s="215" t="s">
        <v>6500</v>
      </c>
      <c r="I1492" s="300"/>
      <c r="J1492" s="300"/>
      <c r="K1492" s="300"/>
      <c r="L1492" s="300"/>
      <c r="M1492" s="300"/>
      <c r="N1492" s="300"/>
      <c r="O1492" s="300"/>
      <c r="P1492" s="300"/>
      <c r="Q1492" s="300"/>
      <c r="R1492" s="300"/>
      <c r="S1492" s="300"/>
      <c r="T1492" s="300"/>
      <c r="U1492" s="300"/>
      <c r="V1492" s="300"/>
      <c r="W1492" s="300"/>
      <c r="X1492" s="300"/>
      <c r="Y1492" s="300"/>
      <c r="Z1492" s="300"/>
    </row>
    <row r="1493" spans="1:26">
      <c r="A1493" s="215" t="s">
        <v>2543</v>
      </c>
      <c r="B1493" s="207">
        <v>514</v>
      </c>
      <c r="C1493" s="215" t="s">
        <v>4798</v>
      </c>
      <c r="D1493" s="215" t="s">
        <v>9743</v>
      </c>
      <c r="E1493" s="215" t="s">
        <v>9744</v>
      </c>
      <c r="F1493" s="215" t="s">
        <v>9745</v>
      </c>
      <c r="G1493" s="215" t="s">
        <v>9746</v>
      </c>
      <c r="H1493" s="215" t="s">
        <v>6504</v>
      </c>
      <c r="I1493" s="300"/>
      <c r="J1493" s="300"/>
      <c r="K1493" s="300"/>
      <c r="L1493" s="300"/>
      <c r="M1493" s="300"/>
      <c r="N1493" s="300"/>
      <c r="O1493" s="300"/>
      <c r="P1493" s="300"/>
      <c r="Q1493" s="300"/>
      <c r="R1493" s="300"/>
      <c r="S1493" s="300"/>
      <c r="T1493" s="300"/>
      <c r="U1493" s="300"/>
      <c r="V1493" s="300"/>
      <c r="W1493" s="300"/>
      <c r="X1493" s="300"/>
      <c r="Y1493" s="300"/>
      <c r="Z1493" s="300"/>
    </row>
    <row r="1494" spans="1:26">
      <c r="A1494" s="215" t="s">
        <v>3228</v>
      </c>
      <c r="B1494" s="207">
        <v>526</v>
      </c>
      <c r="C1494" s="215" t="s">
        <v>5358</v>
      </c>
      <c r="D1494" s="215" t="s">
        <v>9747</v>
      </c>
      <c r="E1494" s="215" t="s">
        <v>9747</v>
      </c>
      <c r="F1494" s="215" t="s">
        <v>9745</v>
      </c>
      <c r="G1494" s="215" t="s">
        <v>9746</v>
      </c>
      <c r="H1494" s="215" t="s">
        <v>6500</v>
      </c>
      <c r="I1494" s="300"/>
      <c r="J1494" s="300"/>
      <c r="K1494" s="300"/>
      <c r="L1494" s="300"/>
      <c r="M1494" s="300"/>
      <c r="N1494" s="300"/>
      <c r="O1494" s="300"/>
      <c r="P1494" s="300"/>
      <c r="Q1494" s="300"/>
      <c r="R1494" s="300"/>
      <c r="S1494" s="300"/>
      <c r="T1494" s="300"/>
      <c r="U1494" s="300"/>
      <c r="V1494" s="300"/>
      <c r="W1494" s="300"/>
      <c r="X1494" s="300"/>
      <c r="Y1494" s="300"/>
      <c r="Z1494" s="300"/>
    </row>
    <row r="1495" spans="1:26">
      <c r="A1495" s="215" t="s">
        <v>4045</v>
      </c>
      <c r="B1495" s="207">
        <v>542</v>
      </c>
      <c r="C1495" s="215" t="s">
        <v>6069</v>
      </c>
      <c r="D1495" s="215" t="s">
        <v>9748</v>
      </c>
      <c r="E1495" s="215" t="s">
        <v>9748</v>
      </c>
      <c r="F1495" s="215" t="s">
        <v>9745</v>
      </c>
      <c r="G1495" s="215" t="s">
        <v>9746</v>
      </c>
      <c r="H1495" s="215" t="s">
        <v>6500</v>
      </c>
      <c r="I1495" s="300"/>
      <c r="J1495" s="300"/>
      <c r="K1495" s="300"/>
      <c r="L1495" s="300"/>
      <c r="M1495" s="300"/>
      <c r="N1495" s="300"/>
      <c r="O1495" s="300"/>
      <c r="P1495" s="300"/>
      <c r="Q1495" s="300"/>
      <c r="R1495" s="300"/>
      <c r="S1495" s="300"/>
      <c r="T1495" s="300"/>
      <c r="U1495" s="300"/>
      <c r="V1495" s="300"/>
      <c r="W1495" s="300"/>
      <c r="X1495" s="300"/>
      <c r="Y1495" s="300"/>
      <c r="Z1495" s="300"/>
    </row>
    <row r="1496" spans="1:26">
      <c r="A1496" s="215" t="s">
        <v>4045</v>
      </c>
      <c r="B1496" s="207">
        <v>552</v>
      </c>
      <c r="C1496" s="215" t="s">
        <v>6070</v>
      </c>
      <c r="D1496" s="215" t="s">
        <v>4027</v>
      </c>
      <c r="E1496" s="215" t="s">
        <v>4027</v>
      </c>
      <c r="F1496" s="215" t="s">
        <v>9745</v>
      </c>
      <c r="G1496" s="215" t="s">
        <v>9746</v>
      </c>
      <c r="H1496" s="215" t="s">
        <v>6500</v>
      </c>
      <c r="I1496" s="300"/>
      <c r="J1496" s="300"/>
      <c r="K1496" s="300"/>
      <c r="L1496" s="300"/>
      <c r="M1496" s="300"/>
      <c r="N1496" s="300"/>
      <c r="O1496" s="300"/>
      <c r="P1496" s="300"/>
      <c r="Q1496" s="300"/>
      <c r="R1496" s="300"/>
      <c r="S1496" s="300"/>
      <c r="T1496" s="300"/>
      <c r="U1496" s="300"/>
      <c r="V1496" s="300"/>
      <c r="W1496" s="300"/>
      <c r="X1496" s="300"/>
      <c r="Y1496" s="300"/>
      <c r="Z1496" s="300"/>
    </row>
    <row r="1497" spans="1:26">
      <c r="A1497" s="215" t="s">
        <v>4045</v>
      </c>
      <c r="B1497" s="207">
        <v>553</v>
      </c>
      <c r="C1497" s="215" t="s">
        <v>6071</v>
      </c>
      <c r="D1497" s="215" t="s">
        <v>9749</v>
      </c>
      <c r="E1497" s="215" t="s">
        <v>9749</v>
      </c>
      <c r="F1497" s="215" t="s">
        <v>9745</v>
      </c>
      <c r="G1497" s="215" t="s">
        <v>9746</v>
      </c>
      <c r="H1497" s="215" t="s">
        <v>6500</v>
      </c>
      <c r="I1497" s="300"/>
      <c r="J1497" s="300"/>
      <c r="K1497" s="300"/>
      <c r="L1497" s="300"/>
      <c r="M1497" s="300"/>
      <c r="N1497" s="300"/>
      <c r="O1497" s="300"/>
      <c r="P1497" s="300"/>
      <c r="Q1497" s="300"/>
      <c r="R1497" s="300"/>
      <c r="S1497" s="300"/>
      <c r="T1497" s="300"/>
      <c r="U1497" s="300"/>
      <c r="V1497" s="300"/>
      <c r="W1497" s="300"/>
      <c r="X1497" s="300"/>
      <c r="Y1497" s="300"/>
      <c r="Z1497" s="300"/>
    </row>
    <row r="1498" spans="1:26">
      <c r="A1498" s="215" t="s">
        <v>4107</v>
      </c>
      <c r="B1498" s="207">
        <v>559</v>
      </c>
      <c r="C1498" s="215" t="s">
        <v>5162</v>
      </c>
      <c r="D1498" s="215" t="s">
        <v>9750</v>
      </c>
      <c r="E1498" s="215" t="s">
        <v>9750</v>
      </c>
      <c r="F1498" s="215" t="s">
        <v>9745</v>
      </c>
      <c r="G1498" s="215" t="s">
        <v>9746</v>
      </c>
      <c r="H1498" s="215" t="s">
        <v>6500</v>
      </c>
      <c r="I1498" s="300"/>
      <c r="J1498" s="300"/>
      <c r="K1498" s="300"/>
      <c r="L1498" s="300"/>
      <c r="M1498" s="300"/>
      <c r="N1498" s="300"/>
      <c r="O1498" s="300"/>
      <c r="P1498" s="300"/>
      <c r="Q1498" s="300"/>
      <c r="R1498" s="300"/>
      <c r="S1498" s="300"/>
      <c r="T1498" s="300"/>
      <c r="U1498" s="300"/>
      <c r="V1498" s="300"/>
      <c r="W1498" s="300"/>
      <c r="X1498" s="300"/>
      <c r="Y1498" s="300"/>
      <c r="Z1498" s="300"/>
    </row>
    <row r="1499" spans="1:26">
      <c r="A1499" s="215" t="s">
        <v>4348</v>
      </c>
      <c r="B1499" s="207">
        <v>2236</v>
      </c>
      <c r="C1499" s="215" t="s">
        <v>6299</v>
      </c>
      <c r="D1499" s="215" t="s">
        <v>9751</v>
      </c>
      <c r="E1499" s="215" t="s">
        <v>9752</v>
      </c>
      <c r="F1499" s="215" t="s">
        <v>9745</v>
      </c>
      <c r="G1499" s="215" t="s">
        <v>9746</v>
      </c>
      <c r="H1499" s="215" t="s">
        <v>6521</v>
      </c>
      <c r="I1499" s="300"/>
      <c r="J1499" s="300"/>
      <c r="K1499" s="300"/>
      <c r="L1499" s="300"/>
      <c r="M1499" s="300"/>
      <c r="N1499" s="300"/>
      <c r="O1499" s="300"/>
      <c r="P1499" s="300"/>
      <c r="Q1499" s="300"/>
      <c r="R1499" s="300"/>
      <c r="S1499" s="300"/>
      <c r="T1499" s="300"/>
      <c r="U1499" s="300"/>
      <c r="V1499" s="300"/>
      <c r="W1499" s="300"/>
      <c r="X1499" s="300"/>
      <c r="Y1499" s="300"/>
      <c r="Z1499" s="300"/>
    </row>
    <row r="1500" spans="1:26">
      <c r="A1500" s="215" t="s">
        <v>2735</v>
      </c>
      <c r="B1500" s="207">
        <v>5</v>
      </c>
      <c r="C1500" s="215" t="s">
        <v>4893</v>
      </c>
      <c r="D1500" s="215" t="s">
        <v>9753</v>
      </c>
      <c r="E1500" s="215" t="s">
        <v>9754</v>
      </c>
      <c r="F1500" s="215" t="s">
        <v>9755</v>
      </c>
      <c r="G1500" s="215" t="s">
        <v>9756</v>
      </c>
      <c r="H1500" s="215" t="s">
        <v>6504</v>
      </c>
      <c r="I1500" s="300"/>
      <c r="J1500" s="300"/>
      <c r="K1500" s="300"/>
      <c r="L1500" s="300"/>
      <c r="M1500" s="300"/>
      <c r="N1500" s="300"/>
      <c r="O1500" s="300"/>
      <c r="P1500" s="300"/>
      <c r="Q1500" s="300"/>
      <c r="R1500" s="300"/>
      <c r="S1500" s="300"/>
      <c r="T1500" s="300"/>
      <c r="U1500" s="300"/>
      <c r="V1500" s="300"/>
      <c r="W1500" s="300"/>
      <c r="X1500" s="300"/>
      <c r="Y1500" s="300"/>
      <c r="Z1500" s="300"/>
    </row>
    <row r="1501" spans="1:26">
      <c r="A1501" s="215" t="s">
        <v>3149</v>
      </c>
      <c r="B1501" s="207">
        <v>1290</v>
      </c>
      <c r="C1501" s="215" t="s">
        <v>5283</v>
      </c>
      <c r="D1501" s="215" t="s">
        <v>9757</v>
      </c>
      <c r="E1501" s="215" t="s">
        <v>9758</v>
      </c>
      <c r="F1501" s="215" t="s">
        <v>9755</v>
      </c>
      <c r="G1501" s="215" t="s">
        <v>9756</v>
      </c>
      <c r="H1501" s="215" t="s">
        <v>6521</v>
      </c>
      <c r="I1501" s="300"/>
      <c r="J1501" s="300"/>
      <c r="K1501" s="300"/>
      <c r="L1501" s="300"/>
      <c r="M1501" s="300"/>
      <c r="N1501" s="300"/>
      <c r="O1501" s="300"/>
      <c r="P1501" s="300"/>
      <c r="Q1501" s="300"/>
      <c r="R1501" s="300"/>
      <c r="S1501" s="300"/>
      <c r="T1501" s="300"/>
      <c r="U1501" s="300"/>
      <c r="V1501" s="300"/>
      <c r="W1501" s="300"/>
      <c r="X1501" s="300"/>
      <c r="Y1501" s="300"/>
      <c r="Z1501" s="300"/>
    </row>
    <row r="1502" spans="1:26">
      <c r="A1502" s="215" t="s">
        <v>4170</v>
      </c>
      <c r="B1502" s="207">
        <v>1293</v>
      </c>
      <c r="C1502" s="215" t="s">
        <v>9759</v>
      </c>
      <c r="D1502" s="215" t="s">
        <v>9760</v>
      </c>
      <c r="E1502" s="215" t="s">
        <v>9761</v>
      </c>
      <c r="F1502" s="215" t="s">
        <v>9755</v>
      </c>
      <c r="G1502" s="215" t="s">
        <v>9756</v>
      </c>
      <c r="H1502" s="215" t="s">
        <v>6497</v>
      </c>
      <c r="I1502" s="300"/>
      <c r="J1502" s="300"/>
      <c r="K1502" s="300"/>
      <c r="L1502" s="300"/>
      <c r="M1502" s="300"/>
      <c r="N1502" s="300"/>
      <c r="O1502" s="300"/>
      <c r="P1502" s="300"/>
      <c r="Q1502" s="300"/>
      <c r="R1502" s="300"/>
      <c r="S1502" s="300"/>
      <c r="T1502" s="300"/>
      <c r="U1502" s="300"/>
      <c r="V1502" s="300"/>
      <c r="W1502" s="300"/>
      <c r="X1502" s="300"/>
      <c r="Y1502" s="300"/>
      <c r="Z1502" s="300"/>
    </row>
    <row r="1503" spans="1:26">
      <c r="A1503" s="215" t="s">
        <v>4245</v>
      </c>
      <c r="B1503" s="207">
        <v>1712</v>
      </c>
      <c r="C1503" s="215" t="s">
        <v>9762</v>
      </c>
      <c r="D1503" s="215" t="s">
        <v>9763</v>
      </c>
      <c r="E1503" s="215" t="s">
        <v>9764</v>
      </c>
      <c r="F1503" s="215" t="s">
        <v>9755</v>
      </c>
      <c r="G1503" s="215" t="s">
        <v>9756</v>
      </c>
      <c r="H1503" s="215" t="s">
        <v>6500</v>
      </c>
      <c r="I1503" s="300"/>
      <c r="J1503" s="300"/>
      <c r="K1503" s="300"/>
      <c r="L1503" s="300"/>
      <c r="M1503" s="300"/>
      <c r="N1503" s="300"/>
      <c r="O1503" s="300"/>
      <c r="P1503" s="300"/>
      <c r="Q1503" s="300"/>
      <c r="R1503" s="300"/>
      <c r="S1503" s="300"/>
      <c r="T1503" s="300"/>
      <c r="U1503" s="300"/>
      <c r="V1503" s="300"/>
      <c r="W1503" s="300"/>
      <c r="X1503" s="300"/>
      <c r="Y1503" s="300"/>
      <c r="Z1503" s="300"/>
    </row>
    <row r="1504" spans="1:26">
      <c r="A1504" s="215" t="s">
        <v>3300</v>
      </c>
      <c r="B1504" s="207">
        <v>1970</v>
      </c>
      <c r="C1504" s="215" t="s">
        <v>5430</v>
      </c>
      <c r="D1504" s="215" t="s">
        <v>9765</v>
      </c>
      <c r="E1504" s="215" t="s">
        <v>9766</v>
      </c>
      <c r="F1504" s="215" t="s">
        <v>9755</v>
      </c>
      <c r="G1504" s="215" t="s">
        <v>9756</v>
      </c>
      <c r="H1504" s="215" t="s">
        <v>6504</v>
      </c>
      <c r="I1504" s="300"/>
      <c r="J1504" s="300"/>
      <c r="K1504" s="300"/>
      <c r="L1504" s="300"/>
      <c r="M1504" s="300"/>
      <c r="N1504" s="300"/>
      <c r="O1504" s="300"/>
      <c r="P1504" s="300"/>
      <c r="Q1504" s="300"/>
      <c r="R1504" s="300"/>
      <c r="S1504" s="300"/>
      <c r="T1504" s="300"/>
      <c r="U1504" s="300"/>
      <c r="V1504" s="300"/>
      <c r="W1504" s="300"/>
      <c r="X1504" s="300"/>
      <c r="Y1504" s="300"/>
      <c r="Z1504" s="300"/>
    </row>
    <row r="1505" spans="1:26">
      <c r="A1505" s="215" t="s">
        <v>4392</v>
      </c>
      <c r="B1505" s="207">
        <v>1593</v>
      </c>
      <c r="C1505" s="215" t="s">
        <v>6333</v>
      </c>
      <c r="D1505" s="215" t="s">
        <v>9767</v>
      </c>
      <c r="E1505" s="215" t="s">
        <v>9768</v>
      </c>
      <c r="F1505" s="215" t="s">
        <v>9769</v>
      </c>
      <c r="G1505" s="215" t="s">
        <v>9770</v>
      </c>
      <c r="H1505" s="215" t="s">
        <v>6500</v>
      </c>
      <c r="I1505" s="300"/>
      <c r="J1505" s="300"/>
      <c r="K1505" s="300"/>
      <c r="L1505" s="300"/>
      <c r="M1505" s="300"/>
      <c r="N1505" s="300"/>
      <c r="O1505" s="300"/>
      <c r="P1505" s="300"/>
      <c r="Q1505" s="300"/>
      <c r="R1505" s="300"/>
      <c r="S1505" s="300"/>
      <c r="T1505" s="300"/>
      <c r="U1505" s="300"/>
      <c r="V1505" s="300"/>
      <c r="W1505" s="300"/>
      <c r="X1505" s="300"/>
      <c r="Y1505" s="300"/>
      <c r="Z1505" s="300"/>
    </row>
    <row r="1506" spans="1:26">
      <c r="A1506" s="215" t="s">
        <v>4151</v>
      </c>
      <c r="B1506" s="207">
        <v>134</v>
      </c>
      <c r="C1506" s="215" t="s">
        <v>6140</v>
      </c>
      <c r="D1506" s="215" t="s">
        <v>9771</v>
      </c>
      <c r="E1506" s="215" t="s">
        <v>9772</v>
      </c>
      <c r="F1506" s="215" t="s">
        <v>9773</v>
      </c>
      <c r="G1506" s="215" t="s">
        <v>9774</v>
      </c>
      <c r="H1506" s="215" t="s">
        <v>6500</v>
      </c>
      <c r="I1506" s="300"/>
      <c r="J1506" s="300"/>
      <c r="K1506" s="300"/>
      <c r="L1506" s="300"/>
      <c r="M1506" s="300"/>
      <c r="N1506" s="300"/>
      <c r="O1506" s="300"/>
      <c r="P1506" s="300"/>
      <c r="Q1506" s="300"/>
      <c r="R1506" s="300"/>
      <c r="S1506" s="300"/>
      <c r="T1506" s="300"/>
      <c r="U1506" s="300"/>
      <c r="V1506" s="300"/>
      <c r="W1506" s="300"/>
      <c r="X1506" s="300"/>
      <c r="Y1506" s="300"/>
      <c r="Z1506" s="300"/>
    </row>
    <row r="1507" spans="1:26">
      <c r="A1507" s="215" t="s">
        <v>3356</v>
      </c>
      <c r="B1507" s="207">
        <v>379</v>
      </c>
      <c r="C1507" s="215" t="s">
        <v>9775</v>
      </c>
      <c r="D1507" s="215" t="s">
        <v>9776</v>
      </c>
      <c r="E1507" s="215" t="s">
        <v>9777</v>
      </c>
      <c r="F1507" s="215" t="s">
        <v>9778</v>
      </c>
      <c r="G1507" s="215" t="s">
        <v>9779</v>
      </c>
      <c r="H1507" s="215" t="s">
        <v>6504</v>
      </c>
      <c r="I1507" s="300"/>
      <c r="J1507" s="300"/>
      <c r="K1507" s="300"/>
      <c r="L1507" s="300"/>
      <c r="M1507" s="300"/>
      <c r="N1507" s="300"/>
      <c r="O1507" s="300"/>
      <c r="P1507" s="300"/>
      <c r="Q1507" s="300"/>
      <c r="R1507" s="300"/>
      <c r="S1507" s="300"/>
      <c r="T1507" s="300"/>
      <c r="U1507" s="300"/>
      <c r="V1507" s="300"/>
      <c r="W1507" s="300"/>
      <c r="X1507" s="300"/>
      <c r="Y1507" s="300"/>
      <c r="Z1507" s="300"/>
    </row>
    <row r="1508" spans="1:26">
      <c r="A1508" s="215" t="s">
        <v>3541</v>
      </c>
      <c r="B1508" s="207">
        <v>380</v>
      </c>
      <c r="C1508" s="215" t="s">
        <v>5650</v>
      </c>
      <c r="D1508" s="215" t="s">
        <v>9780</v>
      </c>
      <c r="E1508" s="215" t="s">
        <v>9781</v>
      </c>
      <c r="F1508" s="215" t="s">
        <v>9782</v>
      </c>
      <c r="G1508" s="215" t="s">
        <v>9783</v>
      </c>
      <c r="H1508" s="215" t="s">
        <v>6497</v>
      </c>
      <c r="I1508" s="300"/>
      <c r="J1508" s="300"/>
      <c r="K1508" s="300"/>
      <c r="L1508" s="300"/>
      <c r="M1508" s="300"/>
      <c r="N1508" s="300"/>
      <c r="O1508" s="300"/>
      <c r="P1508" s="300"/>
      <c r="Q1508" s="300"/>
      <c r="R1508" s="300"/>
      <c r="S1508" s="300"/>
      <c r="T1508" s="300"/>
      <c r="U1508" s="300"/>
      <c r="V1508" s="300"/>
      <c r="W1508" s="300"/>
      <c r="X1508" s="300"/>
      <c r="Y1508" s="300"/>
      <c r="Z1508" s="300"/>
    </row>
    <row r="1509" spans="1:26">
      <c r="A1509" s="215"/>
      <c r="B1509" s="207">
        <v>1354</v>
      </c>
      <c r="C1509" s="215" t="s">
        <v>9784</v>
      </c>
      <c r="D1509" s="215"/>
      <c r="E1509" s="215"/>
      <c r="F1509" s="215" t="s">
        <v>9782</v>
      </c>
      <c r="G1509" s="215" t="s">
        <v>9783</v>
      </c>
      <c r="H1509" s="215" t="s">
        <v>6548</v>
      </c>
      <c r="I1509" s="300"/>
      <c r="J1509" s="300"/>
      <c r="K1509" s="300"/>
      <c r="L1509" s="300"/>
      <c r="M1509" s="300"/>
      <c r="N1509" s="300"/>
      <c r="O1509" s="300"/>
      <c r="P1509" s="300"/>
      <c r="Q1509" s="300"/>
      <c r="R1509" s="300"/>
      <c r="S1509" s="300"/>
      <c r="T1509" s="300"/>
      <c r="U1509" s="300"/>
      <c r="V1509" s="300"/>
      <c r="W1509" s="300"/>
      <c r="X1509" s="300"/>
      <c r="Y1509" s="300"/>
      <c r="Z1509" s="300"/>
    </row>
    <row r="1510" spans="1:26">
      <c r="A1510" s="215" t="s">
        <v>9785</v>
      </c>
      <c r="B1510" s="207">
        <v>376</v>
      </c>
      <c r="C1510" s="215" t="s">
        <v>5671</v>
      </c>
      <c r="D1510" s="215" t="s">
        <v>9786</v>
      </c>
      <c r="E1510" s="215" t="s">
        <v>9787</v>
      </c>
      <c r="F1510" s="215" t="s">
        <v>9788</v>
      </c>
      <c r="G1510" s="215" t="s">
        <v>9789</v>
      </c>
      <c r="H1510" s="215" t="s">
        <v>6521</v>
      </c>
      <c r="I1510" s="300"/>
      <c r="J1510" s="300"/>
      <c r="K1510" s="300"/>
      <c r="L1510" s="300"/>
      <c r="M1510" s="300"/>
      <c r="N1510" s="300"/>
      <c r="O1510" s="300"/>
      <c r="P1510" s="300"/>
      <c r="Q1510" s="300"/>
      <c r="R1510" s="300"/>
      <c r="S1510" s="300"/>
      <c r="T1510" s="300"/>
      <c r="U1510" s="300"/>
      <c r="V1510" s="300"/>
      <c r="W1510" s="300"/>
      <c r="X1510" s="300"/>
      <c r="Y1510" s="300"/>
      <c r="Z1510" s="300"/>
    </row>
    <row r="1511" spans="1:26">
      <c r="A1511" s="215" t="s">
        <v>3150</v>
      </c>
      <c r="B1511" s="207">
        <v>512</v>
      </c>
      <c r="C1511" s="215" t="s">
        <v>5284</v>
      </c>
      <c r="D1511" s="215" t="s">
        <v>9790</v>
      </c>
      <c r="E1511" s="215" t="s">
        <v>9790</v>
      </c>
      <c r="F1511" s="215" t="s">
        <v>9791</v>
      </c>
      <c r="G1511" s="215" t="s">
        <v>9792</v>
      </c>
      <c r="H1511" s="215" t="s">
        <v>6497</v>
      </c>
      <c r="I1511" s="300"/>
      <c r="J1511" s="300"/>
      <c r="K1511" s="300"/>
      <c r="L1511" s="300"/>
      <c r="M1511" s="300"/>
      <c r="N1511" s="300"/>
      <c r="O1511" s="300"/>
      <c r="P1511" s="300"/>
      <c r="Q1511" s="300"/>
      <c r="R1511" s="300"/>
      <c r="S1511" s="300"/>
      <c r="T1511" s="300"/>
      <c r="U1511" s="300"/>
      <c r="V1511" s="300"/>
      <c r="W1511" s="300"/>
      <c r="X1511" s="300"/>
      <c r="Y1511" s="300"/>
      <c r="Z1511" s="300"/>
    </row>
    <row r="1512" spans="1:26">
      <c r="A1512" s="215" t="s">
        <v>3299</v>
      </c>
      <c r="B1512" s="207">
        <v>696</v>
      </c>
      <c r="C1512" s="215" t="s">
        <v>9793</v>
      </c>
      <c r="D1512" s="215" t="s">
        <v>9794</v>
      </c>
      <c r="E1512" s="215" t="s">
        <v>9795</v>
      </c>
      <c r="F1512" s="215" t="s">
        <v>9791</v>
      </c>
      <c r="G1512" s="215" t="s">
        <v>9792</v>
      </c>
      <c r="H1512" s="215" t="s">
        <v>6548</v>
      </c>
      <c r="I1512" s="300"/>
      <c r="J1512" s="300"/>
      <c r="K1512" s="300"/>
      <c r="L1512" s="300"/>
      <c r="M1512" s="300"/>
      <c r="N1512" s="300"/>
      <c r="O1512" s="300"/>
      <c r="P1512" s="300"/>
      <c r="Q1512" s="300"/>
      <c r="R1512" s="300"/>
      <c r="S1512" s="300"/>
      <c r="T1512" s="300"/>
      <c r="U1512" s="300"/>
      <c r="V1512" s="300"/>
      <c r="W1512" s="300"/>
      <c r="X1512" s="300"/>
      <c r="Y1512" s="300"/>
      <c r="Z1512" s="300"/>
    </row>
    <row r="1513" spans="1:26">
      <c r="A1513" s="215" t="s">
        <v>4012</v>
      </c>
      <c r="B1513" s="207">
        <v>699</v>
      </c>
      <c r="C1513" s="215" t="s">
        <v>9796</v>
      </c>
      <c r="D1513" s="215" t="s">
        <v>9797</v>
      </c>
      <c r="E1513" s="215" t="s">
        <v>9797</v>
      </c>
      <c r="F1513" s="215" t="s">
        <v>9791</v>
      </c>
      <c r="G1513" s="215" t="s">
        <v>9792</v>
      </c>
      <c r="H1513" s="215" t="s">
        <v>6500</v>
      </c>
      <c r="I1513" s="300"/>
      <c r="J1513" s="300"/>
      <c r="K1513" s="300"/>
      <c r="L1513" s="300"/>
      <c r="M1513" s="300"/>
      <c r="N1513" s="300"/>
      <c r="O1513" s="300"/>
      <c r="P1513" s="300"/>
      <c r="Q1513" s="300"/>
      <c r="R1513" s="300"/>
      <c r="S1513" s="300"/>
      <c r="T1513" s="300"/>
      <c r="U1513" s="300"/>
      <c r="V1513" s="300"/>
      <c r="W1513" s="300"/>
      <c r="X1513" s="300"/>
      <c r="Y1513" s="300"/>
      <c r="Z1513" s="300"/>
    </row>
    <row r="1514" spans="1:26">
      <c r="A1514" s="215" t="s">
        <v>4094</v>
      </c>
      <c r="B1514" s="207">
        <v>1288</v>
      </c>
      <c r="C1514" s="215" t="s">
        <v>9798</v>
      </c>
      <c r="D1514" s="215" t="s">
        <v>9799</v>
      </c>
      <c r="E1514" s="215" t="s">
        <v>9799</v>
      </c>
      <c r="F1514" s="215" t="s">
        <v>9791</v>
      </c>
      <c r="G1514" s="215" t="s">
        <v>9792</v>
      </c>
      <c r="H1514" s="215" t="s">
        <v>6497</v>
      </c>
      <c r="I1514" s="300"/>
      <c r="J1514" s="300"/>
      <c r="K1514" s="300"/>
      <c r="L1514" s="300"/>
      <c r="M1514" s="300"/>
      <c r="N1514" s="300"/>
      <c r="O1514" s="300"/>
      <c r="P1514" s="300"/>
      <c r="Q1514" s="300"/>
      <c r="R1514" s="300"/>
      <c r="S1514" s="300"/>
      <c r="T1514" s="300"/>
      <c r="U1514" s="300"/>
      <c r="V1514" s="300"/>
      <c r="W1514" s="300"/>
      <c r="X1514" s="300"/>
      <c r="Y1514" s="300"/>
      <c r="Z1514" s="300"/>
    </row>
    <row r="1515" spans="1:26">
      <c r="A1515" s="215" t="s">
        <v>4012</v>
      </c>
      <c r="B1515" s="207">
        <v>2059</v>
      </c>
      <c r="C1515" s="215" t="s">
        <v>9800</v>
      </c>
      <c r="D1515" s="215" t="s">
        <v>9801</v>
      </c>
      <c r="E1515" s="215" t="s">
        <v>9801</v>
      </c>
      <c r="F1515" s="215" t="s">
        <v>9791</v>
      </c>
      <c r="G1515" s="215" t="s">
        <v>9792</v>
      </c>
      <c r="H1515" s="215" t="s">
        <v>6548</v>
      </c>
      <c r="I1515" s="300"/>
      <c r="J1515" s="300"/>
      <c r="K1515" s="300"/>
      <c r="L1515" s="300"/>
      <c r="M1515" s="300"/>
      <c r="N1515" s="300"/>
      <c r="O1515" s="300"/>
      <c r="P1515" s="300"/>
      <c r="Q1515" s="300"/>
      <c r="R1515" s="300"/>
      <c r="S1515" s="300"/>
      <c r="T1515" s="300"/>
      <c r="U1515" s="300"/>
      <c r="V1515" s="300"/>
      <c r="W1515" s="300"/>
      <c r="X1515" s="300"/>
      <c r="Y1515" s="300"/>
      <c r="Z1515" s="300"/>
    </row>
    <row r="1516" spans="1:26">
      <c r="A1516" s="215"/>
      <c r="B1516" s="207">
        <v>2215</v>
      </c>
      <c r="C1516" s="215" t="s">
        <v>9802</v>
      </c>
      <c r="D1516" s="215" t="s">
        <v>9803</v>
      </c>
      <c r="E1516" s="215" t="s">
        <v>9803</v>
      </c>
      <c r="F1516" s="215" t="s">
        <v>9791</v>
      </c>
      <c r="G1516" s="215" t="s">
        <v>9792</v>
      </c>
      <c r="H1516" s="215" t="s">
        <v>6521</v>
      </c>
      <c r="I1516" s="300"/>
      <c r="J1516" s="300"/>
      <c r="K1516" s="300"/>
      <c r="L1516" s="300"/>
      <c r="M1516" s="300"/>
      <c r="N1516" s="300"/>
      <c r="O1516" s="300"/>
      <c r="P1516" s="300"/>
      <c r="Q1516" s="300"/>
      <c r="R1516" s="300"/>
      <c r="S1516" s="300"/>
      <c r="T1516" s="300"/>
      <c r="U1516" s="300"/>
      <c r="V1516" s="300"/>
      <c r="W1516" s="300"/>
      <c r="X1516" s="300"/>
      <c r="Y1516" s="300"/>
      <c r="Z1516" s="300"/>
    </row>
    <row r="1517" spans="1:26">
      <c r="A1517" s="215" t="s">
        <v>2642</v>
      </c>
      <c r="B1517" s="207">
        <v>2454</v>
      </c>
      <c r="C1517" s="215" t="s">
        <v>9804</v>
      </c>
      <c r="D1517" s="215" t="s">
        <v>9805</v>
      </c>
      <c r="E1517" s="215" t="s">
        <v>9806</v>
      </c>
      <c r="F1517" s="215" t="s">
        <v>9791</v>
      </c>
      <c r="G1517" s="215" t="s">
        <v>9792</v>
      </c>
      <c r="H1517" s="215" t="s">
        <v>6504</v>
      </c>
      <c r="I1517" s="300"/>
      <c r="J1517" s="300"/>
      <c r="K1517" s="300"/>
      <c r="L1517" s="300"/>
      <c r="M1517" s="300"/>
      <c r="N1517" s="300"/>
      <c r="O1517" s="300"/>
      <c r="P1517" s="300"/>
      <c r="Q1517" s="300"/>
      <c r="R1517" s="300"/>
      <c r="S1517" s="300"/>
      <c r="T1517" s="300"/>
      <c r="U1517" s="300"/>
      <c r="V1517" s="300"/>
      <c r="W1517" s="300"/>
      <c r="X1517" s="300"/>
      <c r="Y1517" s="300"/>
      <c r="Z1517" s="300"/>
    </row>
    <row r="1518" spans="1:26">
      <c r="A1518" s="215" t="s">
        <v>6882</v>
      </c>
      <c r="B1518" s="207">
        <v>389</v>
      </c>
      <c r="C1518" s="215" t="s">
        <v>9807</v>
      </c>
      <c r="D1518" s="215" t="s">
        <v>9808</v>
      </c>
      <c r="E1518" s="215" t="s">
        <v>9809</v>
      </c>
      <c r="F1518" s="215" t="s">
        <v>9810</v>
      </c>
      <c r="G1518" s="215" t="s">
        <v>9811</v>
      </c>
      <c r="H1518" s="215" t="s">
        <v>6500</v>
      </c>
      <c r="I1518" s="300"/>
      <c r="J1518" s="300"/>
      <c r="K1518" s="300"/>
      <c r="L1518" s="300"/>
      <c r="M1518" s="300"/>
      <c r="N1518" s="300"/>
      <c r="O1518" s="300"/>
      <c r="P1518" s="300"/>
      <c r="Q1518" s="300"/>
      <c r="R1518" s="300"/>
      <c r="S1518" s="300"/>
      <c r="T1518" s="300"/>
      <c r="U1518" s="300"/>
      <c r="V1518" s="300"/>
      <c r="W1518" s="300"/>
      <c r="X1518" s="300"/>
      <c r="Y1518" s="300"/>
      <c r="Z1518" s="300"/>
    </row>
    <row r="1519" spans="1:26">
      <c r="A1519" s="215" t="s">
        <v>3259</v>
      </c>
      <c r="B1519" s="207">
        <v>146</v>
      </c>
      <c r="C1519" s="215" t="s">
        <v>9812</v>
      </c>
      <c r="D1519" s="215" t="s">
        <v>9813</v>
      </c>
      <c r="E1519" s="215" t="s">
        <v>9813</v>
      </c>
      <c r="F1519" s="215" t="s">
        <v>9814</v>
      </c>
      <c r="G1519" s="215" t="s">
        <v>9815</v>
      </c>
      <c r="H1519" s="215" t="s">
        <v>6504</v>
      </c>
      <c r="I1519" s="300"/>
      <c r="J1519" s="300"/>
      <c r="K1519" s="300"/>
      <c r="L1519" s="300"/>
      <c r="M1519" s="300"/>
      <c r="N1519" s="300"/>
      <c r="O1519" s="300"/>
      <c r="P1519" s="300"/>
      <c r="Q1519" s="300"/>
      <c r="R1519" s="300"/>
      <c r="S1519" s="300"/>
      <c r="T1519" s="300"/>
      <c r="U1519" s="300"/>
      <c r="V1519" s="300"/>
      <c r="W1519" s="300"/>
      <c r="X1519" s="300"/>
      <c r="Y1519" s="300"/>
      <c r="Z1519" s="300"/>
    </row>
    <row r="1520" spans="1:26">
      <c r="A1520" s="215" t="s">
        <v>3246</v>
      </c>
      <c r="B1520" s="207">
        <v>694</v>
      </c>
      <c r="C1520" s="215" t="s">
        <v>9816</v>
      </c>
      <c r="D1520" s="215" t="s">
        <v>9817</v>
      </c>
      <c r="E1520" s="215" t="s">
        <v>9817</v>
      </c>
      <c r="F1520" s="215" t="s">
        <v>9814</v>
      </c>
      <c r="G1520" s="215" t="s">
        <v>9815</v>
      </c>
      <c r="H1520" s="215" t="s">
        <v>6497</v>
      </c>
      <c r="I1520" s="300"/>
      <c r="J1520" s="300"/>
      <c r="K1520" s="300"/>
      <c r="L1520" s="300"/>
      <c r="M1520" s="300"/>
      <c r="N1520" s="300"/>
      <c r="O1520" s="300"/>
      <c r="P1520" s="300"/>
      <c r="Q1520" s="300"/>
      <c r="R1520" s="300"/>
      <c r="S1520" s="300"/>
      <c r="T1520" s="300"/>
      <c r="U1520" s="300"/>
      <c r="V1520" s="300"/>
      <c r="W1520" s="300"/>
      <c r="X1520" s="300"/>
      <c r="Y1520" s="300"/>
      <c r="Z1520" s="300"/>
    </row>
    <row r="1521" spans="1:26">
      <c r="A1521" s="215" t="s">
        <v>3904</v>
      </c>
      <c r="B1521" s="207">
        <v>697</v>
      </c>
      <c r="C1521" s="215" t="s">
        <v>5961</v>
      </c>
      <c r="D1521" s="215" t="s">
        <v>9818</v>
      </c>
      <c r="E1521" s="215" t="s">
        <v>9819</v>
      </c>
      <c r="F1521" s="215" t="s">
        <v>9814</v>
      </c>
      <c r="G1521" s="215" t="s">
        <v>9815</v>
      </c>
      <c r="H1521" s="215" t="s">
        <v>6521</v>
      </c>
      <c r="I1521" s="300"/>
      <c r="J1521" s="300"/>
      <c r="K1521" s="300"/>
      <c r="L1521" s="300"/>
      <c r="M1521" s="300"/>
      <c r="N1521" s="300"/>
      <c r="O1521" s="300"/>
      <c r="P1521" s="300"/>
      <c r="Q1521" s="300"/>
      <c r="R1521" s="300"/>
      <c r="S1521" s="300"/>
      <c r="T1521" s="300"/>
      <c r="U1521" s="300"/>
      <c r="V1521" s="300"/>
      <c r="W1521" s="300"/>
      <c r="X1521" s="300"/>
      <c r="Y1521" s="300"/>
      <c r="Z1521" s="300"/>
    </row>
    <row r="1522" spans="1:26">
      <c r="A1522" s="215" t="s">
        <v>4267</v>
      </c>
      <c r="B1522" s="207">
        <v>698</v>
      </c>
      <c r="C1522" s="215" t="s">
        <v>6190</v>
      </c>
      <c r="D1522" s="215" t="s">
        <v>9820</v>
      </c>
      <c r="E1522" s="215" t="s">
        <v>9821</v>
      </c>
      <c r="F1522" s="215" t="s">
        <v>9814</v>
      </c>
      <c r="G1522" s="215" t="s">
        <v>9815</v>
      </c>
      <c r="H1522" s="215" t="s">
        <v>6521</v>
      </c>
      <c r="I1522" s="300"/>
      <c r="J1522" s="300"/>
      <c r="K1522" s="300"/>
      <c r="L1522" s="300"/>
      <c r="M1522" s="300"/>
      <c r="N1522" s="300"/>
      <c r="O1522" s="300"/>
      <c r="P1522" s="300"/>
      <c r="Q1522" s="300"/>
      <c r="R1522" s="300"/>
      <c r="S1522" s="300"/>
      <c r="T1522" s="300"/>
      <c r="U1522" s="300"/>
      <c r="V1522" s="300"/>
      <c r="W1522" s="300"/>
      <c r="X1522" s="300"/>
      <c r="Y1522" s="300"/>
      <c r="Z1522" s="300"/>
    </row>
    <row r="1523" spans="1:26">
      <c r="A1523" s="215" t="s">
        <v>2976</v>
      </c>
      <c r="B1523" s="207">
        <v>723</v>
      </c>
      <c r="C1523" s="215" t="s">
        <v>9822</v>
      </c>
      <c r="D1523" s="215" t="s">
        <v>9823</v>
      </c>
      <c r="E1523" s="215" t="s">
        <v>9824</v>
      </c>
      <c r="F1523" s="215" t="s">
        <v>9814</v>
      </c>
      <c r="G1523" s="215" t="s">
        <v>9815</v>
      </c>
      <c r="H1523" s="215" t="s">
        <v>6500</v>
      </c>
      <c r="I1523" s="300"/>
      <c r="J1523" s="300"/>
      <c r="K1523" s="300"/>
      <c r="L1523" s="300"/>
      <c r="M1523" s="300"/>
      <c r="N1523" s="300"/>
      <c r="O1523" s="300"/>
      <c r="P1523" s="300"/>
      <c r="Q1523" s="300"/>
      <c r="R1523" s="300"/>
      <c r="S1523" s="300"/>
      <c r="T1523" s="300"/>
      <c r="U1523" s="300"/>
      <c r="V1523" s="300"/>
      <c r="W1523" s="300"/>
      <c r="X1523" s="300"/>
      <c r="Y1523" s="300"/>
      <c r="Z1523" s="300"/>
    </row>
    <row r="1524" spans="1:26">
      <c r="A1524" s="215" t="s">
        <v>3044</v>
      </c>
      <c r="B1524" s="207">
        <v>724</v>
      </c>
      <c r="C1524" s="215" t="s">
        <v>9825</v>
      </c>
      <c r="D1524" s="215" t="s">
        <v>9826</v>
      </c>
      <c r="E1524" s="215" t="s">
        <v>9827</v>
      </c>
      <c r="F1524" s="215" t="s">
        <v>9814</v>
      </c>
      <c r="G1524" s="215" t="s">
        <v>9815</v>
      </c>
      <c r="H1524" s="215" t="s">
        <v>6504</v>
      </c>
      <c r="I1524" s="300"/>
      <c r="J1524" s="300"/>
      <c r="K1524" s="300"/>
      <c r="L1524" s="300"/>
      <c r="M1524" s="300"/>
      <c r="N1524" s="300"/>
      <c r="O1524" s="300"/>
      <c r="P1524" s="300"/>
      <c r="Q1524" s="300"/>
      <c r="R1524" s="300"/>
      <c r="S1524" s="300"/>
      <c r="T1524" s="300"/>
      <c r="U1524" s="300"/>
      <c r="V1524" s="300"/>
      <c r="W1524" s="300"/>
      <c r="X1524" s="300"/>
      <c r="Y1524" s="300"/>
      <c r="Z1524" s="300"/>
    </row>
    <row r="1525" spans="1:26">
      <c r="A1525" s="215" t="s">
        <v>3958</v>
      </c>
      <c r="B1525" s="207">
        <v>725</v>
      </c>
      <c r="C1525" s="215" t="s">
        <v>5990</v>
      </c>
      <c r="D1525" s="215" t="s">
        <v>9828</v>
      </c>
      <c r="E1525" s="215" t="s">
        <v>9829</v>
      </c>
      <c r="F1525" s="215" t="s">
        <v>9814</v>
      </c>
      <c r="G1525" s="215" t="s">
        <v>9815</v>
      </c>
      <c r="H1525" s="215" t="s">
        <v>6504</v>
      </c>
      <c r="I1525" s="300"/>
      <c r="J1525" s="300"/>
      <c r="K1525" s="300"/>
      <c r="L1525" s="300"/>
      <c r="M1525" s="300"/>
      <c r="N1525" s="300"/>
      <c r="O1525" s="300"/>
      <c r="P1525" s="300"/>
      <c r="Q1525" s="300"/>
      <c r="R1525" s="300"/>
      <c r="S1525" s="300"/>
      <c r="T1525" s="300"/>
      <c r="U1525" s="300"/>
      <c r="V1525" s="300"/>
      <c r="W1525" s="300"/>
      <c r="X1525" s="300"/>
      <c r="Y1525" s="300"/>
      <c r="Z1525" s="300"/>
    </row>
    <row r="1526" spans="1:26">
      <c r="A1526" s="215" t="s">
        <v>3408</v>
      </c>
      <c r="B1526" s="207">
        <v>726</v>
      </c>
      <c r="C1526" s="215" t="s">
        <v>5532</v>
      </c>
      <c r="D1526" s="215" t="s">
        <v>9830</v>
      </c>
      <c r="E1526" s="215" t="s">
        <v>9830</v>
      </c>
      <c r="F1526" s="215" t="s">
        <v>9814</v>
      </c>
      <c r="G1526" s="215" t="s">
        <v>9815</v>
      </c>
      <c r="H1526" s="215" t="s">
        <v>6497</v>
      </c>
      <c r="I1526" s="300"/>
      <c r="J1526" s="300"/>
      <c r="K1526" s="300"/>
      <c r="L1526" s="300"/>
      <c r="M1526" s="300"/>
      <c r="N1526" s="300"/>
      <c r="O1526" s="300"/>
      <c r="P1526" s="300"/>
      <c r="Q1526" s="300"/>
      <c r="R1526" s="300"/>
      <c r="S1526" s="300"/>
      <c r="T1526" s="300"/>
      <c r="U1526" s="300"/>
      <c r="V1526" s="300"/>
      <c r="W1526" s="300"/>
      <c r="X1526" s="300"/>
      <c r="Y1526" s="300"/>
      <c r="Z1526" s="300"/>
    </row>
    <row r="1527" spans="1:26">
      <c r="A1527" s="215" t="s">
        <v>2941</v>
      </c>
      <c r="B1527" s="207">
        <v>818</v>
      </c>
      <c r="C1527" s="215" t="s">
        <v>5100</v>
      </c>
      <c r="D1527" s="215" t="s">
        <v>9831</v>
      </c>
      <c r="E1527" s="215" t="s">
        <v>9832</v>
      </c>
      <c r="F1527" s="215" t="s">
        <v>9814</v>
      </c>
      <c r="G1527" s="215" t="s">
        <v>9815</v>
      </c>
      <c r="H1527" s="215" t="s">
        <v>6504</v>
      </c>
      <c r="I1527" s="300"/>
      <c r="J1527" s="300"/>
      <c r="K1527" s="300"/>
      <c r="L1527" s="300"/>
      <c r="M1527" s="300"/>
      <c r="N1527" s="300"/>
      <c r="O1527" s="300"/>
      <c r="P1527" s="300"/>
      <c r="Q1527" s="300"/>
      <c r="R1527" s="300"/>
      <c r="S1527" s="300"/>
      <c r="T1527" s="300"/>
      <c r="U1527" s="300"/>
      <c r="V1527" s="300"/>
      <c r="W1527" s="300"/>
      <c r="X1527" s="300"/>
      <c r="Y1527" s="300"/>
      <c r="Z1527" s="300"/>
    </row>
    <row r="1528" spans="1:26">
      <c r="A1528" s="215" t="s">
        <v>3258</v>
      </c>
      <c r="B1528" s="207">
        <v>851</v>
      </c>
      <c r="C1528" s="215" t="s">
        <v>9833</v>
      </c>
      <c r="D1528" s="215" t="s">
        <v>9834</v>
      </c>
      <c r="E1528" s="215" t="s">
        <v>9835</v>
      </c>
      <c r="F1528" s="215" t="s">
        <v>9814</v>
      </c>
      <c r="G1528" s="215" t="s">
        <v>9815</v>
      </c>
      <c r="H1528" s="215" t="s">
        <v>6500</v>
      </c>
      <c r="I1528" s="300"/>
      <c r="J1528" s="300"/>
      <c r="K1528" s="300"/>
      <c r="L1528" s="300"/>
      <c r="M1528" s="300"/>
      <c r="N1528" s="300"/>
      <c r="O1528" s="300"/>
      <c r="P1528" s="300"/>
      <c r="Q1528" s="300"/>
      <c r="R1528" s="300"/>
      <c r="S1528" s="300"/>
      <c r="T1528" s="300"/>
      <c r="U1528" s="300"/>
      <c r="V1528" s="300"/>
      <c r="W1528" s="300"/>
      <c r="X1528" s="300"/>
      <c r="Y1528" s="300"/>
      <c r="Z1528" s="300"/>
    </row>
    <row r="1529" spans="1:26">
      <c r="A1529" s="215" t="s">
        <v>4320</v>
      </c>
      <c r="B1529" s="207">
        <v>904</v>
      </c>
      <c r="C1529" s="215" t="s">
        <v>9836</v>
      </c>
      <c r="D1529" s="215" t="s">
        <v>9837</v>
      </c>
      <c r="E1529" s="215" t="s">
        <v>9838</v>
      </c>
      <c r="F1529" s="215" t="s">
        <v>9814</v>
      </c>
      <c r="G1529" s="215" t="s">
        <v>9815</v>
      </c>
      <c r="H1529" s="215" t="s">
        <v>6521</v>
      </c>
      <c r="I1529" s="300"/>
      <c r="J1529" s="300"/>
      <c r="K1529" s="300"/>
      <c r="L1529" s="300"/>
      <c r="M1529" s="300"/>
      <c r="N1529" s="300"/>
      <c r="O1529" s="300"/>
      <c r="P1529" s="300"/>
      <c r="Q1529" s="300"/>
      <c r="R1529" s="300"/>
      <c r="S1529" s="300"/>
      <c r="T1529" s="300"/>
      <c r="U1529" s="300"/>
      <c r="V1529" s="300"/>
      <c r="W1529" s="300"/>
      <c r="X1529" s="300"/>
      <c r="Y1529" s="300"/>
      <c r="Z1529" s="300"/>
    </row>
    <row r="1530" spans="1:26">
      <c r="A1530" s="215"/>
      <c r="B1530" s="207">
        <v>905</v>
      </c>
      <c r="C1530" s="215" t="s">
        <v>9839</v>
      </c>
      <c r="D1530" s="215" t="s">
        <v>9840</v>
      </c>
      <c r="E1530" s="215" t="s">
        <v>9841</v>
      </c>
      <c r="F1530" s="215" t="s">
        <v>9814</v>
      </c>
      <c r="G1530" s="215" t="s">
        <v>9815</v>
      </c>
      <c r="H1530" s="215" t="s">
        <v>6521</v>
      </c>
      <c r="I1530" s="300"/>
      <c r="J1530" s="300"/>
      <c r="K1530" s="300"/>
      <c r="L1530" s="300"/>
      <c r="M1530" s="300"/>
      <c r="N1530" s="300"/>
      <c r="O1530" s="300"/>
      <c r="P1530" s="300"/>
      <c r="Q1530" s="300"/>
      <c r="R1530" s="300"/>
      <c r="S1530" s="300"/>
      <c r="T1530" s="300"/>
      <c r="U1530" s="300"/>
      <c r="V1530" s="300"/>
      <c r="W1530" s="300"/>
      <c r="X1530" s="300"/>
      <c r="Y1530" s="300"/>
      <c r="Z1530" s="300"/>
    </row>
    <row r="1531" spans="1:26">
      <c r="A1531" s="215"/>
      <c r="B1531" s="207">
        <v>906</v>
      </c>
      <c r="C1531" s="215" t="s">
        <v>9842</v>
      </c>
      <c r="D1531" s="215" t="s">
        <v>9843</v>
      </c>
      <c r="E1531" s="215" t="s">
        <v>9844</v>
      </c>
      <c r="F1531" s="215" t="s">
        <v>9814</v>
      </c>
      <c r="G1531" s="215" t="s">
        <v>9815</v>
      </c>
      <c r="H1531" s="215" t="s">
        <v>6521</v>
      </c>
      <c r="I1531" s="300"/>
      <c r="J1531" s="300"/>
      <c r="K1531" s="300"/>
      <c r="L1531" s="300"/>
      <c r="M1531" s="300"/>
      <c r="N1531" s="300"/>
      <c r="O1531" s="300"/>
      <c r="P1531" s="300"/>
      <c r="Q1531" s="300"/>
      <c r="R1531" s="300"/>
      <c r="S1531" s="300"/>
      <c r="T1531" s="300"/>
      <c r="U1531" s="300"/>
      <c r="V1531" s="300"/>
      <c r="W1531" s="300"/>
      <c r="X1531" s="300"/>
      <c r="Y1531" s="300"/>
      <c r="Z1531" s="300"/>
    </row>
    <row r="1532" spans="1:26">
      <c r="A1532" s="215" t="s">
        <v>3950</v>
      </c>
      <c r="B1532" s="207">
        <v>907</v>
      </c>
      <c r="C1532" s="215" t="s">
        <v>9845</v>
      </c>
      <c r="D1532" s="215" t="s">
        <v>9846</v>
      </c>
      <c r="E1532" s="215" t="s">
        <v>9847</v>
      </c>
      <c r="F1532" s="215" t="s">
        <v>9814</v>
      </c>
      <c r="G1532" s="215" t="s">
        <v>9815</v>
      </c>
      <c r="H1532" s="215" t="s">
        <v>6521</v>
      </c>
      <c r="I1532" s="300"/>
      <c r="J1532" s="300"/>
      <c r="K1532" s="300"/>
      <c r="L1532" s="300"/>
      <c r="M1532" s="300"/>
      <c r="N1532" s="300"/>
      <c r="O1532" s="300"/>
      <c r="P1532" s="300"/>
      <c r="Q1532" s="300"/>
      <c r="R1532" s="300"/>
      <c r="S1532" s="300"/>
      <c r="T1532" s="300"/>
      <c r="U1532" s="300"/>
      <c r="V1532" s="300"/>
      <c r="W1532" s="300"/>
      <c r="X1532" s="300"/>
      <c r="Y1532" s="300"/>
      <c r="Z1532" s="300"/>
    </row>
    <row r="1533" spans="1:26">
      <c r="A1533" s="215"/>
      <c r="B1533" s="207">
        <v>908</v>
      </c>
      <c r="C1533" s="215" t="s">
        <v>9848</v>
      </c>
      <c r="D1533" s="215" t="s">
        <v>9849</v>
      </c>
      <c r="E1533" s="215" t="s">
        <v>9850</v>
      </c>
      <c r="F1533" s="215" t="s">
        <v>9814</v>
      </c>
      <c r="G1533" s="215" t="s">
        <v>9815</v>
      </c>
      <c r="H1533" s="215" t="s">
        <v>6500</v>
      </c>
      <c r="I1533" s="300"/>
      <c r="J1533" s="300"/>
      <c r="K1533" s="300"/>
      <c r="L1533" s="300"/>
      <c r="M1533" s="300"/>
      <c r="N1533" s="300"/>
      <c r="O1533" s="300"/>
      <c r="P1533" s="300"/>
      <c r="Q1533" s="300"/>
      <c r="R1533" s="300"/>
      <c r="S1533" s="300"/>
      <c r="T1533" s="300"/>
      <c r="U1533" s="300"/>
      <c r="V1533" s="300"/>
      <c r="W1533" s="300"/>
      <c r="X1533" s="300"/>
      <c r="Y1533" s="300"/>
      <c r="Z1533" s="300"/>
    </row>
    <row r="1534" spans="1:26">
      <c r="A1534" s="215"/>
      <c r="B1534" s="207">
        <v>909</v>
      </c>
      <c r="C1534" s="215" t="s">
        <v>9851</v>
      </c>
      <c r="D1534" s="215" t="s">
        <v>9852</v>
      </c>
      <c r="E1534" s="215" t="s">
        <v>9853</v>
      </c>
      <c r="F1534" s="215" t="s">
        <v>9814</v>
      </c>
      <c r="G1534" s="215" t="s">
        <v>9815</v>
      </c>
      <c r="H1534" s="215" t="s">
        <v>6500</v>
      </c>
      <c r="I1534" s="300"/>
      <c r="J1534" s="300"/>
      <c r="K1534" s="300"/>
      <c r="L1534" s="300"/>
      <c r="M1534" s="300"/>
      <c r="N1534" s="300"/>
      <c r="O1534" s="300"/>
      <c r="P1534" s="300"/>
      <c r="Q1534" s="300"/>
      <c r="R1534" s="300"/>
      <c r="S1534" s="300"/>
      <c r="T1534" s="300"/>
      <c r="U1534" s="300"/>
      <c r="V1534" s="300"/>
      <c r="W1534" s="300"/>
      <c r="X1534" s="300"/>
      <c r="Y1534" s="300"/>
      <c r="Z1534" s="300"/>
    </row>
    <row r="1535" spans="1:26">
      <c r="A1535" s="215"/>
      <c r="B1535" s="207">
        <v>910</v>
      </c>
      <c r="C1535" s="215" t="s">
        <v>9854</v>
      </c>
      <c r="D1535" s="215" t="s">
        <v>9855</v>
      </c>
      <c r="E1535" s="215" t="s">
        <v>9856</v>
      </c>
      <c r="F1535" s="215" t="s">
        <v>9814</v>
      </c>
      <c r="G1535" s="215" t="s">
        <v>9815</v>
      </c>
      <c r="H1535" s="215" t="s">
        <v>6500</v>
      </c>
      <c r="I1535" s="300"/>
      <c r="J1535" s="300"/>
      <c r="K1535" s="300"/>
      <c r="L1535" s="300"/>
      <c r="M1535" s="300"/>
      <c r="N1535" s="300"/>
      <c r="O1535" s="300"/>
      <c r="P1535" s="300"/>
      <c r="Q1535" s="300"/>
      <c r="R1535" s="300"/>
      <c r="S1535" s="300"/>
      <c r="T1535" s="300"/>
      <c r="U1535" s="300"/>
      <c r="V1535" s="300"/>
      <c r="W1535" s="300"/>
      <c r="X1535" s="300"/>
      <c r="Y1535" s="300"/>
      <c r="Z1535" s="300"/>
    </row>
    <row r="1536" spans="1:26">
      <c r="A1536" s="215" t="s">
        <v>3954</v>
      </c>
      <c r="B1536" s="207">
        <v>911</v>
      </c>
      <c r="C1536" s="215" t="s">
        <v>9857</v>
      </c>
      <c r="D1536" s="215" t="s">
        <v>9858</v>
      </c>
      <c r="E1536" s="215" t="s">
        <v>9859</v>
      </c>
      <c r="F1536" s="215" t="s">
        <v>9814</v>
      </c>
      <c r="G1536" s="215" t="s">
        <v>9815</v>
      </c>
      <c r="H1536" s="215" t="s">
        <v>6504</v>
      </c>
      <c r="I1536" s="300"/>
      <c r="J1536" s="300"/>
      <c r="K1536" s="300"/>
      <c r="L1536" s="300"/>
      <c r="M1536" s="300"/>
      <c r="N1536" s="300"/>
      <c r="O1536" s="300"/>
      <c r="P1536" s="300"/>
      <c r="Q1536" s="300"/>
      <c r="R1536" s="300"/>
      <c r="S1536" s="300"/>
      <c r="T1536" s="300"/>
      <c r="U1536" s="300"/>
      <c r="V1536" s="300"/>
      <c r="W1536" s="300"/>
      <c r="X1536" s="300"/>
      <c r="Y1536" s="300"/>
      <c r="Z1536" s="300"/>
    </row>
    <row r="1537" spans="1:26">
      <c r="A1537" s="215"/>
      <c r="B1537" s="207">
        <v>912</v>
      </c>
      <c r="C1537" s="215" t="s">
        <v>9860</v>
      </c>
      <c r="D1537" s="215" t="s">
        <v>9861</v>
      </c>
      <c r="E1537" s="215" t="s">
        <v>9862</v>
      </c>
      <c r="F1537" s="215" t="s">
        <v>9814</v>
      </c>
      <c r="G1537" s="215" t="s">
        <v>9815</v>
      </c>
      <c r="H1537" s="215" t="s">
        <v>6504</v>
      </c>
      <c r="I1537" s="300"/>
      <c r="J1537" s="300"/>
      <c r="K1537" s="300"/>
      <c r="L1537" s="300"/>
      <c r="M1537" s="300"/>
      <c r="N1537" s="300"/>
      <c r="O1537" s="300"/>
      <c r="P1537" s="300"/>
      <c r="Q1537" s="300"/>
      <c r="R1537" s="300"/>
      <c r="S1537" s="300"/>
      <c r="T1537" s="300"/>
      <c r="U1537" s="300"/>
      <c r="V1537" s="300"/>
      <c r="W1537" s="300"/>
      <c r="X1537" s="300"/>
      <c r="Y1537" s="300"/>
      <c r="Z1537" s="300"/>
    </row>
    <row r="1538" spans="1:26">
      <c r="A1538" s="215"/>
      <c r="B1538" s="207">
        <v>913</v>
      </c>
      <c r="C1538" s="215" t="s">
        <v>6476</v>
      </c>
      <c r="D1538" s="215" t="s">
        <v>9863</v>
      </c>
      <c r="E1538" s="215" t="s">
        <v>9864</v>
      </c>
      <c r="F1538" s="215" t="s">
        <v>9814</v>
      </c>
      <c r="G1538" s="215" t="s">
        <v>9815</v>
      </c>
      <c r="H1538" s="215" t="s">
        <v>6497</v>
      </c>
      <c r="I1538" s="300"/>
      <c r="J1538" s="300"/>
      <c r="K1538" s="300"/>
      <c r="L1538" s="300"/>
      <c r="M1538" s="300"/>
      <c r="N1538" s="300"/>
      <c r="O1538" s="300"/>
      <c r="P1538" s="300"/>
      <c r="Q1538" s="300"/>
      <c r="R1538" s="300"/>
      <c r="S1538" s="300"/>
      <c r="T1538" s="300"/>
      <c r="U1538" s="300"/>
      <c r="V1538" s="300"/>
      <c r="W1538" s="300"/>
      <c r="X1538" s="300"/>
      <c r="Y1538" s="300"/>
      <c r="Z1538" s="300"/>
    </row>
    <row r="1539" spans="1:26">
      <c r="A1539" s="215" t="s">
        <v>4263</v>
      </c>
      <c r="B1539" s="207">
        <v>914</v>
      </c>
      <c r="C1539" s="215" t="s">
        <v>6232</v>
      </c>
      <c r="D1539" s="215" t="s">
        <v>9865</v>
      </c>
      <c r="E1539" s="215" t="s">
        <v>9866</v>
      </c>
      <c r="F1539" s="215" t="s">
        <v>9814</v>
      </c>
      <c r="G1539" s="215" t="s">
        <v>9815</v>
      </c>
      <c r="H1539" s="215" t="s">
        <v>6497</v>
      </c>
      <c r="I1539" s="300"/>
      <c r="J1539" s="300"/>
      <c r="K1539" s="300"/>
      <c r="L1539" s="300"/>
      <c r="M1539" s="300"/>
      <c r="N1539" s="300"/>
      <c r="O1539" s="300"/>
      <c r="P1539" s="300"/>
      <c r="Q1539" s="300"/>
      <c r="R1539" s="300"/>
      <c r="S1539" s="300"/>
      <c r="T1539" s="300"/>
      <c r="U1539" s="300"/>
      <c r="V1539" s="300"/>
      <c r="W1539" s="300"/>
      <c r="X1539" s="300"/>
      <c r="Y1539" s="300"/>
      <c r="Z1539" s="300"/>
    </row>
    <row r="1540" spans="1:26">
      <c r="A1540" s="215" t="s">
        <v>4290</v>
      </c>
      <c r="B1540" s="207">
        <v>915</v>
      </c>
      <c r="C1540" s="215" t="s">
        <v>9867</v>
      </c>
      <c r="D1540" s="215" t="s">
        <v>9868</v>
      </c>
      <c r="E1540" s="215" t="s">
        <v>9869</v>
      </c>
      <c r="F1540" s="215" t="s">
        <v>9814</v>
      </c>
      <c r="G1540" s="215" t="s">
        <v>9815</v>
      </c>
      <c r="H1540" s="215" t="s">
        <v>6500</v>
      </c>
      <c r="I1540" s="300"/>
      <c r="J1540" s="300"/>
      <c r="K1540" s="300"/>
      <c r="L1540" s="300"/>
      <c r="M1540" s="300"/>
      <c r="N1540" s="300"/>
      <c r="O1540" s="300"/>
      <c r="P1540" s="300"/>
      <c r="Q1540" s="300"/>
      <c r="R1540" s="300"/>
      <c r="S1540" s="300"/>
      <c r="T1540" s="300"/>
      <c r="U1540" s="300"/>
      <c r="V1540" s="300"/>
      <c r="W1540" s="300"/>
      <c r="X1540" s="300"/>
      <c r="Y1540" s="300"/>
      <c r="Z1540" s="300"/>
    </row>
    <row r="1541" spans="1:26">
      <c r="A1541" s="215" t="s">
        <v>4291</v>
      </c>
      <c r="B1541" s="207">
        <v>916</v>
      </c>
      <c r="C1541" s="215" t="s">
        <v>6252</v>
      </c>
      <c r="D1541" s="215" t="s">
        <v>9870</v>
      </c>
      <c r="E1541" s="215" t="s">
        <v>9871</v>
      </c>
      <c r="F1541" s="215" t="s">
        <v>9814</v>
      </c>
      <c r="G1541" s="215" t="s">
        <v>9815</v>
      </c>
      <c r="H1541" s="215" t="s">
        <v>6504</v>
      </c>
      <c r="I1541" s="300"/>
      <c r="J1541" s="300"/>
      <c r="K1541" s="300"/>
      <c r="L1541" s="300"/>
      <c r="M1541" s="300"/>
      <c r="N1541" s="300"/>
      <c r="O1541" s="300"/>
      <c r="P1541" s="300"/>
      <c r="Q1541" s="300"/>
      <c r="R1541" s="300"/>
      <c r="S1541" s="300"/>
      <c r="T1541" s="300"/>
      <c r="U1541" s="300"/>
      <c r="V1541" s="300"/>
      <c r="W1541" s="300"/>
      <c r="X1541" s="300"/>
      <c r="Y1541" s="300"/>
      <c r="Z1541" s="300"/>
    </row>
    <row r="1542" spans="1:26">
      <c r="A1542" s="215"/>
      <c r="B1542" s="207">
        <v>917</v>
      </c>
      <c r="C1542" s="215" t="s">
        <v>6251</v>
      </c>
      <c r="D1542" s="215" t="s">
        <v>9872</v>
      </c>
      <c r="E1542" s="215" t="s">
        <v>9873</v>
      </c>
      <c r="F1542" s="215" t="s">
        <v>9814</v>
      </c>
      <c r="G1542" s="215" t="s">
        <v>9815</v>
      </c>
      <c r="H1542" s="215" t="s">
        <v>6497</v>
      </c>
      <c r="I1542" s="300"/>
      <c r="J1542" s="300"/>
      <c r="K1542" s="300"/>
      <c r="L1542" s="300"/>
      <c r="M1542" s="300"/>
      <c r="N1542" s="300"/>
      <c r="O1542" s="300"/>
      <c r="P1542" s="300"/>
      <c r="Q1542" s="300"/>
      <c r="R1542" s="300"/>
      <c r="S1542" s="300"/>
      <c r="T1542" s="300"/>
      <c r="U1542" s="300"/>
      <c r="V1542" s="300"/>
      <c r="W1542" s="300"/>
      <c r="X1542" s="300"/>
      <c r="Y1542" s="300"/>
      <c r="Z1542" s="300"/>
    </row>
    <row r="1543" spans="1:26">
      <c r="A1543" s="215" t="s">
        <v>4260</v>
      </c>
      <c r="B1543" s="207">
        <v>918</v>
      </c>
      <c r="C1543" s="215" t="s">
        <v>9874</v>
      </c>
      <c r="D1543" s="215" t="s">
        <v>9875</v>
      </c>
      <c r="E1543" s="215" t="s">
        <v>9876</v>
      </c>
      <c r="F1543" s="215" t="s">
        <v>9814</v>
      </c>
      <c r="G1543" s="215" t="s">
        <v>9815</v>
      </c>
      <c r="H1543" s="215" t="s">
        <v>6504</v>
      </c>
      <c r="I1543" s="300"/>
      <c r="J1543" s="300"/>
      <c r="K1543" s="300"/>
      <c r="L1543" s="300"/>
      <c r="M1543" s="300"/>
      <c r="N1543" s="300"/>
      <c r="O1543" s="300"/>
      <c r="P1543" s="300"/>
      <c r="Q1543" s="300"/>
      <c r="R1543" s="300"/>
      <c r="S1543" s="300"/>
      <c r="T1543" s="300"/>
      <c r="U1543" s="300"/>
      <c r="V1543" s="300"/>
      <c r="W1543" s="300"/>
      <c r="X1543" s="300"/>
      <c r="Y1543" s="300"/>
      <c r="Z1543" s="300"/>
    </row>
    <row r="1544" spans="1:26">
      <c r="A1544" s="215" t="s">
        <v>4271</v>
      </c>
      <c r="B1544" s="207">
        <v>919</v>
      </c>
      <c r="C1544" s="215" t="s">
        <v>9877</v>
      </c>
      <c r="D1544" s="215" t="s">
        <v>9878</v>
      </c>
      <c r="E1544" s="215" t="s">
        <v>9879</v>
      </c>
      <c r="F1544" s="215" t="s">
        <v>9814</v>
      </c>
      <c r="G1544" s="215" t="s">
        <v>9815</v>
      </c>
      <c r="H1544" s="215" t="s">
        <v>6521</v>
      </c>
      <c r="I1544" s="300"/>
      <c r="J1544" s="300"/>
      <c r="K1544" s="300"/>
      <c r="L1544" s="300"/>
      <c r="M1544" s="300"/>
      <c r="N1544" s="300"/>
      <c r="O1544" s="300"/>
      <c r="P1544" s="300"/>
      <c r="Q1544" s="300"/>
      <c r="R1544" s="300"/>
      <c r="S1544" s="300"/>
      <c r="T1544" s="300"/>
      <c r="U1544" s="300"/>
      <c r="V1544" s="300"/>
      <c r="W1544" s="300"/>
      <c r="X1544" s="300"/>
      <c r="Y1544" s="300"/>
      <c r="Z1544" s="300"/>
    </row>
    <row r="1545" spans="1:26">
      <c r="A1545" s="215" t="s">
        <v>4235</v>
      </c>
      <c r="B1545" s="207">
        <v>920</v>
      </c>
      <c r="C1545" s="215" t="s">
        <v>9880</v>
      </c>
      <c r="D1545" s="215" t="s">
        <v>9881</v>
      </c>
      <c r="E1545" s="215" t="s">
        <v>9882</v>
      </c>
      <c r="F1545" s="215" t="s">
        <v>9814</v>
      </c>
      <c r="G1545" s="215" t="s">
        <v>9815</v>
      </c>
      <c r="H1545" s="215" t="s">
        <v>6497</v>
      </c>
      <c r="I1545" s="300"/>
      <c r="J1545" s="300"/>
      <c r="K1545" s="300"/>
      <c r="L1545" s="300"/>
      <c r="M1545" s="300"/>
      <c r="N1545" s="300"/>
      <c r="O1545" s="300"/>
      <c r="P1545" s="300"/>
      <c r="Q1545" s="300"/>
      <c r="R1545" s="300"/>
      <c r="S1545" s="300"/>
      <c r="T1545" s="300"/>
      <c r="U1545" s="300"/>
      <c r="V1545" s="300"/>
      <c r="W1545" s="300"/>
      <c r="X1545" s="300"/>
      <c r="Y1545" s="300"/>
      <c r="Z1545" s="300"/>
    </row>
    <row r="1546" spans="1:26">
      <c r="A1546" s="215" t="s">
        <v>4223</v>
      </c>
      <c r="B1546" s="207">
        <v>921</v>
      </c>
      <c r="C1546" s="215" t="s">
        <v>9883</v>
      </c>
      <c r="D1546" s="215" t="s">
        <v>6203</v>
      </c>
      <c r="E1546" s="215" t="s">
        <v>9884</v>
      </c>
      <c r="F1546" s="215" t="s">
        <v>9814</v>
      </c>
      <c r="G1546" s="215" t="s">
        <v>9815</v>
      </c>
      <c r="H1546" s="215" t="s">
        <v>6500</v>
      </c>
      <c r="I1546" s="300"/>
      <c r="J1546" s="300"/>
      <c r="K1546" s="300"/>
      <c r="L1546" s="300"/>
      <c r="M1546" s="300"/>
      <c r="N1546" s="300"/>
      <c r="O1546" s="300"/>
      <c r="P1546" s="300"/>
      <c r="Q1546" s="300"/>
      <c r="R1546" s="300"/>
      <c r="S1546" s="300"/>
      <c r="T1546" s="300"/>
      <c r="U1546" s="300"/>
      <c r="V1546" s="300"/>
      <c r="W1546" s="300"/>
      <c r="X1546" s="300"/>
      <c r="Y1546" s="300"/>
      <c r="Z1546" s="300"/>
    </row>
    <row r="1547" spans="1:26">
      <c r="A1547" s="215" t="s">
        <v>4295</v>
      </c>
      <c r="B1547" s="207">
        <v>922</v>
      </c>
      <c r="C1547" s="215" t="s">
        <v>9885</v>
      </c>
      <c r="D1547" s="215" t="s">
        <v>9886</v>
      </c>
      <c r="E1547" s="215" t="s">
        <v>9887</v>
      </c>
      <c r="F1547" s="215" t="s">
        <v>9814</v>
      </c>
      <c r="G1547" s="215" t="s">
        <v>9815</v>
      </c>
      <c r="H1547" s="215" t="s">
        <v>6521</v>
      </c>
      <c r="I1547" s="300"/>
      <c r="J1547" s="300"/>
      <c r="K1547" s="300"/>
      <c r="L1547" s="300"/>
      <c r="M1547" s="300"/>
      <c r="N1547" s="300"/>
      <c r="O1547" s="300"/>
      <c r="P1547" s="300"/>
      <c r="Q1547" s="300"/>
      <c r="R1547" s="300"/>
      <c r="S1547" s="300"/>
      <c r="T1547" s="300"/>
      <c r="U1547" s="300"/>
      <c r="V1547" s="300"/>
      <c r="W1547" s="300"/>
      <c r="X1547" s="300"/>
      <c r="Y1547" s="300"/>
      <c r="Z1547" s="300"/>
    </row>
    <row r="1548" spans="1:26">
      <c r="A1548" s="215" t="s">
        <v>4297</v>
      </c>
      <c r="B1548" s="207">
        <v>923</v>
      </c>
      <c r="C1548" s="215" t="s">
        <v>9888</v>
      </c>
      <c r="D1548" s="215" t="s">
        <v>9889</v>
      </c>
      <c r="E1548" s="215" t="s">
        <v>9890</v>
      </c>
      <c r="F1548" s="215" t="s">
        <v>9814</v>
      </c>
      <c r="G1548" s="215" t="s">
        <v>9815</v>
      </c>
      <c r="H1548" s="215" t="s">
        <v>6500</v>
      </c>
      <c r="I1548" s="300"/>
      <c r="J1548" s="300"/>
      <c r="K1548" s="300"/>
      <c r="L1548" s="300"/>
      <c r="M1548" s="300"/>
      <c r="N1548" s="300"/>
      <c r="O1548" s="300"/>
      <c r="P1548" s="300"/>
      <c r="Q1548" s="300"/>
      <c r="R1548" s="300"/>
      <c r="S1548" s="300"/>
      <c r="T1548" s="300"/>
      <c r="U1548" s="300"/>
      <c r="V1548" s="300"/>
      <c r="W1548" s="300"/>
      <c r="X1548" s="300"/>
      <c r="Y1548" s="300"/>
      <c r="Z1548" s="300"/>
    </row>
    <row r="1549" spans="1:26">
      <c r="A1549" s="215"/>
      <c r="B1549" s="207">
        <v>924</v>
      </c>
      <c r="C1549" s="215" t="s">
        <v>9891</v>
      </c>
      <c r="D1549" s="215" t="s">
        <v>9892</v>
      </c>
      <c r="E1549" s="215" t="s">
        <v>9893</v>
      </c>
      <c r="F1549" s="215" t="s">
        <v>9814</v>
      </c>
      <c r="G1549" s="215" t="s">
        <v>9815</v>
      </c>
      <c r="H1549" s="215" t="s">
        <v>6497</v>
      </c>
      <c r="I1549" s="300"/>
      <c r="J1549" s="300"/>
      <c r="K1549" s="300"/>
      <c r="L1549" s="300"/>
      <c r="M1549" s="300"/>
      <c r="N1549" s="300"/>
      <c r="O1549" s="300"/>
      <c r="P1549" s="300"/>
      <c r="Q1549" s="300"/>
      <c r="R1549" s="300"/>
      <c r="S1549" s="300"/>
      <c r="T1549" s="300"/>
      <c r="U1549" s="300"/>
      <c r="V1549" s="300"/>
      <c r="W1549" s="300"/>
      <c r="X1549" s="300"/>
      <c r="Y1549" s="300"/>
      <c r="Z1549" s="300"/>
    </row>
    <row r="1550" spans="1:26">
      <c r="A1550" s="215" t="s">
        <v>3889</v>
      </c>
      <c r="B1550" s="207">
        <v>925</v>
      </c>
      <c r="C1550" s="215" t="s">
        <v>9894</v>
      </c>
      <c r="D1550" s="215" t="s">
        <v>9895</v>
      </c>
      <c r="E1550" s="215" t="s">
        <v>9896</v>
      </c>
      <c r="F1550" s="215" t="s">
        <v>9814</v>
      </c>
      <c r="G1550" s="215" t="s">
        <v>9815</v>
      </c>
      <c r="H1550" s="215" t="s">
        <v>6521</v>
      </c>
      <c r="I1550" s="300"/>
      <c r="J1550" s="300"/>
      <c r="K1550" s="300"/>
      <c r="L1550" s="300"/>
      <c r="M1550" s="300"/>
      <c r="N1550" s="300"/>
      <c r="O1550" s="300"/>
      <c r="P1550" s="300"/>
      <c r="Q1550" s="300"/>
      <c r="R1550" s="300"/>
      <c r="S1550" s="300"/>
      <c r="T1550" s="300"/>
      <c r="U1550" s="300"/>
      <c r="V1550" s="300"/>
      <c r="W1550" s="300"/>
      <c r="X1550" s="300"/>
      <c r="Y1550" s="300"/>
      <c r="Z1550" s="300"/>
    </row>
    <row r="1551" spans="1:26">
      <c r="A1551" s="215" t="s">
        <v>3939</v>
      </c>
      <c r="B1551" s="207">
        <v>926</v>
      </c>
      <c r="C1551" s="215" t="s">
        <v>9897</v>
      </c>
      <c r="D1551" s="215" t="s">
        <v>9898</v>
      </c>
      <c r="E1551" s="215" t="s">
        <v>9899</v>
      </c>
      <c r="F1551" s="215" t="s">
        <v>9814</v>
      </c>
      <c r="G1551" s="215" t="s">
        <v>9815</v>
      </c>
      <c r="H1551" s="215" t="s">
        <v>6500</v>
      </c>
      <c r="I1551" s="300"/>
      <c r="J1551" s="300"/>
      <c r="K1551" s="300"/>
      <c r="L1551" s="300"/>
      <c r="M1551" s="300"/>
      <c r="N1551" s="300"/>
      <c r="O1551" s="300"/>
      <c r="P1551" s="300"/>
      <c r="Q1551" s="300"/>
      <c r="R1551" s="300"/>
      <c r="S1551" s="300"/>
      <c r="T1551" s="300"/>
      <c r="U1551" s="300"/>
      <c r="V1551" s="300"/>
      <c r="W1551" s="300"/>
      <c r="X1551" s="300"/>
      <c r="Y1551" s="300"/>
      <c r="Z1551" s="300"/>
    </row>
    <row r="1552" spans="1:26">
      <c r="A1552" s="215" t="s">
        <v>3866</v>
      </c>
      <c r="B1552" s="207">
        <v>927</v>
      </c>
      <c r="C1552" s="215" t="s">
        <v>9900</v>
      </c>
      <c r="D1552" s="215" t="s">
        <v>9901</v>
      </c>
      <c r="E1552" s="215" t="s">
        <v>9901</v>
      </c>
      <c r="F1552" s="215" t="s">
        <v>9814</v>
      </c>
      <c r="G1552" s="215" t="s">
        <v>9815</v>
      </c>
      <c r="H1552" s="215" t="s">
        <v>6521</v>
      </c>
      <c r="I1552" s="300"/>
      <c r="J1552" s="300"/>
      <c r="K1552" s="300"/>
      <c r="L1552" s="300"/>
      <c r="M1552" s="300"/>
      <c r="N1552" s="300"/>
      <c r="O1552" s="300"/>
      <c r="P1552" s="300"/>
      <c r="Q1552" s="300"/>
      <c r="R1552" s="300"/>
      <c r="S1552" s="300"/>
      <c r="T1552" s="300"/>
      <c r="U1552" s="300"/>
      <c r="V1552" s="300"/>
      <c r="W1552" s="300"/>
      <c r="X1552" s="300"/>
      <c r="Y1552" s="300"/>
      <c r="Z1552" s="300"/>
    </row>
    <row r="1553" spans="1:26">
      <c r="A1553" s="215"/>
      <c r="B1553" s="207">
        <v>928</v>
      </c>
      <c r="C1553" s="215" t="s">
        <v>9902</v>
      </c>
      <c r="D1553" s="215" t="s">
        <v>9903</v>
      </c>
      <c r="E1553" s="215" t="s">
        <v>9903</v>
      </c>
      <c r="F1553" s="215" t="s">
        <v>9814</v>
      </c>
      <c r="G1553" s="215" t="s">
        <v>9815</v>
      </c>
      <c r="H1553" s="215" t="s">
        <v>6500</v>
      </c>
      <c r="I1553" s="300"/>
      <c r="J1553" s="300"/>
      <c r="K1553" s="300"/>
      <c r="L1553" s="300"/>
      <c r="M1553" s="300"/>
      <c r="N1553" s="300"/>
      <c r="O1553" s="300"/>
      <c r="P1553" s="300"/>
      <c r="Q1553" s="300"/>
      <c r="R1553" s="300"/>
      <c r="S1553" s="300"/>
      <c r="T1553" s="300"/>
      <c r="U1553" s="300"/>
      <c r="V1553" s="300"/>
      <c r="W1553" s="300"/>
      <c r="X1553" s="300"/>
      <c r="Y1553" s="300"/>
      <c r="Z1553" s="300"/>
    </row>
    <row r="1554" spans="1:26">
      <c r="A1554" s="215"/>
      <c r="B1554" s="207">
        <v>929</v>
      </c>
      <c r="C1554" s="215" t="s">
        <v>9904</v>
      </c>
      <c r="D1554" s="215" t="s">
        <v>9905</v>
      </c>
      <c r="E1554" s="215" t="s">
        <v>9906</v>
      </c>
      <c r="F1554" s="215" t="s">
        <v>9814</v>
      </c>
      <c r="G1554" s="215" t="s">
        <v>9815</v>
      </c>
      <c r="H1554" s="215" t="s">
        <v>6521</v>
      </c>
      <c r="I1554" s="300"/>
      <c r="J1554" s="300"/>
      <c r="K1554" s="300"/>
      <c r="L1554" s="300"/>
      <c r="M1554" s="300"/>
      <c r="N1554" s="300"/>
      <c r="O1554" s="300"/>
      <c r="P1554" s="300"/>
      <c r="Q1554" s="300"/>
      <c r="R1554" s="300"/>
      <c r="S1554" s="300"/>
      <c r="T1554" s="300"/>
      <c r="U1554" s="300"/>
      <c r="V1554" s="300"/>
      <c r="W1554" s="300"/>
      <c r="X1554" s="300"/>
      <c r="Y1554" s="300"/>
      <c r="Z1554" s="300"/>
    </row>
    <row r="1555" spans="1:26">
      <c r="A1555" s="215" t="s">
        <v>3867</v>
      </c>
      <c r="B1555" s="207">
        <v>930</v>
      </c>
      <c r="C1555" s="215" t="s">
        <v>9907</v>
      </c>
      <c r="D1555" s="215" t="s">
        <v>9908</v>
      </c>
      <c r="E1555" s="215" t="s">
        <v>9909</v>
      </c>
      <c r="F1555" s="215" t="s">
        <v>9814</v>
      </c>
      <c r="G1555" s="215" t="s">
        <v>9815</v>
      </c>
      <c r="H1555" s="215" t="s">
        <v>6521</v>
      </c>
      <c r="I1555" s="300"/>
      <c r="J1555" s="300"/>
      <c r="K1555" s="300"/>
      <c r="L1555" s="300"/>
      <c r="M1555" s="300"/>
      <c r="N1555" s="300"/>
      <c r="O1555" s="300"/>
      <c r="P1555" s="300"/>
      <c r="Q1555" s="300"/>
      <c r="R1555" s="300"/>
      <c r="S1555" s="300"/>
      <c r="T1555" s="300"/>
      <c r="U1555" s="300"/>
      <c r="V1555" s="300"/>
      <c r="W1555" s="300"/>
      <c r="X1555" s="300"/>
      <c r="Y1555" s="300"/>
      <c r="Z1555" s="300"/>
    </row>
    <row r="1556" spans="1:26">
      <c r="A1556" s="215"/>
      <c r="B1556" s="207">
        <v>931</v>
      </c>
      <c r="C1556" s="215" t="s">
        <v>9910</v>
      </c>
      <c r="D1556" s="215" t="s">
        <v>9911</v>
      </c>
      <c r="E1556" s="215" t="s">
        <v>9911</v>
      </c>
      <c r="F1556" s="215" t="s">
        <v>9814</v>
      </c>
      <c r="G1556" s="215" t="s">
        <v>9815</v>
      </c>
      <c r="H1556" s="215" t="s">
        <v>6504</v>
      </c>
      <c r="I1556" s="300"/>
      <c r="J1556" s="300"/>
      <c r="K1556" s="300"/>
      <c r="L1556" s="300"/>
      <c r="M1556" s="300"/>
      <c r="N1556" s="300"/>
      <c r="O1556" s="300"/>
      <c r="P1556" s="300"/>
      <c r="Q1556" s="300"/>
      <c r="R1556" s="300"/>
      <c r="S1556" s="300"/>
      <c r="T1556" s="300"/>
      <c r="U1556" s="300"/>
      <c r="V1556" s="300"/>
      <c r="W1556" s="300"/>
      <c r="X1556" s="300"/>
      <c r="Y1556" s="300"/>
      <c r="Z1556" s="300"/>
    </row>
    <row r="1557" spans="1:26">
      <c r="A1557" s="215" t="s">
        <v>3864</v>
      </c>
      <c r="B1557" s="207">
        <v>932</v>
      </c>
      <c r="C1557" s="215" t="s">
        <v>9912</v>
      </c>
      <c r="D1557" s="215" t="s">
        <v>9913</v>
      </c>
      <c r="E1557" s="215" t="s">
        <v>9914</v>
      </c>
      <c r="F1557" s="215" t="s">
        <v>9814</v>
      </c>
      <c r="G1557" s="215" t="s">
        <v>9815</v>
      </c>
      <c r="H1557" s="215" t="s">
        <v>6500</v>
      </c>
      <c r="I1557" s="300"/>
      <c r="J1557" s="300"/>
      <c r="K1557" s="300"/>
      <c r="L1557" s="300"/>
      <c r="M1557" s="300"/>
      <c r="N1557" s="300"/>
      <c r="O1557" s="300"/>
      <c r="P1557" s="300"/>
      <c r="Q1557" s="300"/>
      <c r="R1557" s="300"/>
      <c r="S1557" s="300"/>
      <c r="T1557" s="300"/>
      <c r="U1557" s="300"/>
      <c r="V1557" s="300"/>
      <c r="W1557" s="300"/>
      <c r="X1557" s="300"/>
      <c r="Y1557" s="300"/>
      <c r="Z1557" s="300"/>
    </row>
    <row r="1558" spans="1:26">
      <c r="A1558" s="215"/>
      <c r="B1558" s="207">
        <v>933</v>
      </c>
      <c r="C1558" s="215" t="s">
        <v>9915</v>
      </c>
      <c r="D1558" s="215" t="s">
        <v>9916</v>
      </c>
      <c r="E1558" s="215" t="s">
        <v>9917</v>
      </c>
      <c r="F1558" s="215" t="s">
        <v>9814</v>
      </c>
      <c r="G1558" s="215" t="s">
        <v>9815</v>
      </c>
      <c r="H1558" s="215" t="s">
        <v>6504</v>
      </c>
      <c r="I1558" s="300"/>
      <c r="J1558" s="300"/>
      <c r="K1558" s="300"/>
      <c r="L1558" s="300"/>
      <c r="M1558" s="300"/>
      <c r="N1558" s="300"/>
      <c r="O1558" s="300"/>
      <c r="P1558" s="300"/>
      <c r="Q1558" s="300"/>
      <c r="R1558" s="300"/>
      <c r="S1558" s="300"/>
      <c r="T1558" s="300"/>
      <c r="U1558" s="300"/>
      <c r="V1558" s="300"/>
      <c r="W1558" s="300"/>
      <c r="X1558" s="300"/>
      <c r="Y1558" s="300"/>
      <c r="Z1558" s="300"/>
    </row>
    <row r="1559" spans="1:26">
      <c r="A1559" s="215" t="s">
        <v>3865</v>
      </c>
      <c r="B1559" s="207">
        <v>934</v>
      </c>
      <c r="C1559" s="215" t="s">
        <v>9918</v>
      </c>
      <c r="D1559" s="215" t="s">
        <v>9919</v>
      </c>
      <c r="E1559" s="215" t="s">
        <v>9919</v>
      </c>
      <c r="F1559" s="215" t="s">
        <v>9814</v>
      </c>
      <c r="G1559" s="215" t="s">
        <v>9815</v>
      </c>
      <c r="H1559" s="215" t="s">
        <v>6504</v>
      </c>
      <c r="I1559" s="300"/>
      <c r="J1559" s="300"/>
      <c r="K1559" s="300"/>
      <c r="L1559" s="300"/>
      <c r="M1559" s="300"/>
      <c r="N1559" s="300"/>
      <c r="O1559" s="300"/>
      <c r="P1559" s="300"/>
      <c r="Q1559" s="300"/>
      <c r="R1559" s="300"/>
      <c r="S1559" s="300"/>
      <c r="T1559" s="300"/>
      <c r="U1559" s="300"/>
      <c r="V1559" s="300"/>
      <c r="W1559" s="300"/>
      <c r="X1559" s="300"/>
      <c r="Y1559" s="300"/>
      <c r="Z1559" s="300"/>
    </row>
    <row r="1560" spans="1:26">
      <c r="A1560" s="215" t="s">
        <v>3870</v>
      </c>
      <c r="B1560" s="207">
        <v>935</v>
      </c>
      <c r="C1560" s="215" t="s">
        <v>9920</v>
      </c>
      <c r="D1560" s="215" t="s">
        <v>9921</v>
      </c>
      <c r="E1560" s="215" t="s">
        <v>9922</v>
      </c>
      <c r="F1560" s="215" t="s">
        <v>9814</v>
      </c>
      <c r="G1560" s="215" t="s">
        <v>9815</v>
      </c>
      <c r="H1560" s="215" t="s">
        <v>6504</v>
      </c>
      <c r="I1560" s="300"/>
      <c r="J1560" s="300"/>
      <c r="K1560" s="300"/>
      <c r="L1560" s="300"/>
      <c r="M1560" s="300"/>
      <c r="N1560" s="300"/>
      <c r="O1560" s="300"/>
      <c r="P1560" s="300"/>
      <c r="Q1560" s="300"/>
      <c r="R1560" s="300"/>
      <c r="S1560" s="300"/>
      <c r="T1560" s="300"/>
      <c r="U1560" s="300"/>
      <c r="V1560" s="300"/>
      <c r="W1560" s="300"/>
      <c r="X1560" s="300"/>
      <c r="Y1560" s="300"/>
      <c r="Z1560" s="300"/>
    </row>
    <row r="1561" spans="1:26">
      <c r="A1561" s="215"/>
      <c r="B1561" s="207">
        <v>936</v>
      </c>
      <c r="C1561" s="215" t="s">
        <v>5683</v>
      </c>
      <c r="D1561" s="215" t="s">
        <v>9923</v>
      </c>
      <c r="E1561" s="215" t="s">
        <v>9923</v>
      </c>
      <c r="F1561" s="215" t="s">
        <v>9814</v>
      </c>
      <c r="G1561" s="215" t="s">
        <v>9815</v>
      </c>
      <c r="H1561" s="215" t="s">
        <v>6500</v>
      </c>
      <c r="I1561" s="300"/>
      <c r="J1561" s="300"/>
      <c r="K1561" s="300"/>
      <c r="L1561" s="300"/>
      <c r="M1561" s="300"/>
      <c r="N1561" s="300"/>
      <c r="O1561" s="300"/>
      <c r="P1561" s="300"/>
      <c r="Q1561" s="300"/>
      <c r="R1561" s="300"/>
      <c r="S1561" s="300"/>
      <c r="T1561" s="300"/>
      <c r="U1561" s="300"/>
      <c r="V1561" s="300"/>
      <c r="W1561" s="300"/>
      <c r="X1561" s="300"/>
      <c r="Y1561" s="300"/>
      <c r="Z1561" s="300"/>
    </row>
    <row r="1562" spans="1:26">
      <c r="A1562" s="215" t="s">
        <v>3831</v>
      </c>
      <c r="B1562" s="207">
        <v>937</v>
      </c>
      <c r="C1562" s="215" t="s">
        <v>5909</v>
      </c>
      <c r="D1562" s="215" t="s">
        <v>9924</v>
      </c>
      <c r="E1562" s="215" t="s">
        <v>9924</v>
      </c>
      <c r="F1562" s="215" t="s">
        <v>9814</v>
      </c>
      <c r="G1562" s="215" t="s">
        <v>9815</v>
      </c>
      <c r="H1562" s="215" t="s">
        <v>6504</v>
      </c>
      <c r="I1562" s="300"/>
      <c r="J1562" s="300"/>
      <c r="K1562" s="300"/>
      <c r="L1562" s="300"/>
      <c r="M1562" s="300"/>
      <c r="N1562" s="300"/>
      <c r="O1562" s="300"/>
      <c r="P1562" s="300"/>
      <c r="Q1562" s="300"/>
      <c r="R1562" s="300"/>
      <c r="S1562" s="300"/>
      <c r="T1562" s="300"/>
      <c r="U1562" s="300"/>
      <c r="V1562" s="300"/>
      <c r="W1562" s="300"/>
      <c r="X1562" s="300"/>
      <c r="Y1562" s="300"/>
      <c r="Z1562" s="300"/>
    </row>
    <row r="1563" spans="1:26">
      <c r="A1563" s="215" t="s">
        <v>3254</v>
      </c>
      <c r="B1563" s="207">
        <v>939</v>
      </c>
      <c r="C1563" s="215" t="s">
        <v>9925</v>
      </c>
      <c r="D1563" s="215" t="s">
        <v>9926</v>
      </c>
      <c r="E1563" s="215" t="s">
        <v>9926</v>
      </c>
      <c r="F1563" s="215" t="s">
        <v>9814</v>
      </c>
      <c r="G1563" s="215" t="s">
        <v>9815</v>
      </c>
      <c r="H1563" s="215" t="s">
        <v>6521</v>
      </c>
      <c r="I1563" s="300"/>
      <c r="J1563" s="300"/>
      <c r="K1563" s="300"/>
      <c r="L1563" s="300"/>
      <c r="M1563" s="300"/>
      <c r="N1563" s="300"/>
      <c r="O1563" s="300"/>
      <c r="P1563" s="300"/>
      <c r="Q1563" s="300"/>
      <c r="R1563" s="300"/>
      <c r="S1563" s="300"/>
      <c r="T1563" s="300"/>
      <c r="U1563" s="300"/>
      <c r="V1563" s="300"/>
      <c r="W1563" s="300"/>
      <c r="X1563" s="300"/>
      <c r="Y1563" s="300"/>
      <c r="Z1563" s="300"/>
    </row>
    <row r="1564" spans="1:26">
      <c r="A1564" s="215"/>
      <c r="B1564" s="207">
        <v>940</v>
      </c>
      <c r="C1564" s="215" t="s">
        <v>9927</v>
      </c>
      <c r="D1564" s="215" t="s">
        <v>9928</v>
      </c>
      <c r="E1564" s="215" t="s">
        <v>9928</v>
      </c>
      <c r="F1564" s="215" t="s">
        <v>9814</v>
      </c>
      <c r="G1564" s="215" t="s">
        <v>9815</v>
      </c>
      <c r="H1564" s="215" t="s">
        <v>6500</v>
      </c>
      <c r="I1564" s="300"/>
      <c r="J1564" s="300"/>
      <c r="K1564" s="300"/>
      <c r="L1564" s="300"/>
      <c r="M1564" s="300"/>
      <c r="N1564" s="300"/>
      <c r="O1564" s="300"/>
      <c r="P1564" s="300"/>
      <c r="Q1564" s="300"/>
      <c r="R1564" s="300"/>
      <c r="S1564" s="300"/>
      <c r="T1564" s="300"/>
      <c r="U1564" s="300"/>
      <c r="V1564" s="300"/>
      <c r="W1564" s="300"/>
      <c r="X1564" s="300"/>
      <c r="Y1564" s="300"/>
      <c r="Z1564" s="300"/>
    </row>
    <row r="1565" spans="1:26">
      <c r="A1565" s="215"/>
      <c r="B1565" s="207">
        <v>941</v>
      </c>
      <c r="C1565" s="215" t="s">
        <v>9929</v>
      </c>
      <c r="D1565" s="215" t="s">
        <v>9930</v>
      </c>
      <c r="E1565" s="215" t="s">
        <v>9930</v>
      </c>
      <c r="F1565" s="215" t="s">
        <v>9814</v>
      </c>
      <c r="G1565" s="215" t="s">
        <v>9815</v>
      </c>
      <c r="H1565" s="215" t="s">
        <v>6500</v>
      </c>
      <c r="I1565" s="300"/>
      <c r="J1565" s="300"/>
      <c r="K1565" s="300"/>
      <c r="L1565" s="300"/>
      <c r="M1565" s="300"/>
      <c r="N1565" s="300"/>
      <c r="O1565" s="300"/>
      <c r="P1565" s="300"/>
      <c r="Q1565" s="300"/>
      <c r="R1565" s="300"/>
      <c r="S1565" s="300"/>
      <c r="T1565" s="300"/>
      <c r="U1565" s="300"/>
      <c r="V1565" s="300"/>
      <c r="W1565" s="300"/>
      <c r="X1565" s="300"/>
      <c r="Y1565" s="300"/>
      <c r="Z1565" s="300"/>
    </row>
    <row r="1566" spans="1:26">
      <c r="A1566" s="215" t="s">
        <v>4574</v>
      </c>
      <c r="B1566" s="207">
        <v>942</v>
      </c>
      <c r="C1566" s="215" t="s">
        <v>9931</v>
      </c>
      <c r="D1566" s="215" t="s">
        <v>9932</v>
      </c>
      <c r="E1566" s="215" t="s">
        <v>9933</v>
      </c>
      <c r="F1566" s="215" t="s">
        <v>9814</v>
      </c>
      <c r="G1566" s="215" t="s">
        <v>9815</v>
      </c>
      <c r="H1566" s="215" t="s">
        <v>6497</v>
      </c>
      <c r="I1566" s="300"/>
      <c r="J1566" s="300"/>
      <c r="K1566" s="300"/>
      <c r="L1566" s="300"/>
      <c r="M1566" s="300"/>
      <c r="N1566" s="300"/>
      <c r="O1566" s="300"/>
      <c r="P1566" s="300"/>
      <c r="Q1566" s="300"/>
      <c r="R1566" s="300"/>
      <c r="S1566" s="300"/>
      <c r="T1566" s="300"/>
      <c r="U1566" s="300"/>
      <c r="V1566" s="300"/>
      <c r="W1566" s="300"/>
      <c r="X1566" s="300"/>
      <c r="Y1566" s="300"/>
      <c r="Z1566" s="300"/>
    </row>
    <row r="1567" spans="1:26">
      <c r="A1567" s="215" t="s">
        <v>4577</v>
      </c>
      <c r="B1567" s="207">
        <v>943</v>
      </c>
      <c r="C1567" s="215" t="s">
        <v>9934</v>
      </c>
      <c r="D1567" s="215" t="s">
        <v>9935</v>
      </c>
      <c r="E1567" s="215" t="s">
        <v>9936</v>
      </c>
      <c r="F1567" s="215" t="s">
        <v>9814</v>
      </c>
      <c r="G1567" s="215" t="s">
        <v>9815</v>
      </c>
      <c r="H1567" s="215" t="s">
        <v>6497</v>
      </c>
      <c r="I1567" s="300"/>
      <c r="J1567" s="300"/>
      <c r="K1567" s="300"/>
      <c r="L1567" s="300"/>
      <c r="M1567" s="300"/>
      <c r="N1567" s="300"/>
      <c r="O1567" s="300"/>
      <c r="P1567" s="300"/>
      <c r="Q1567" s="300"/>
      <c r="R1567" s="300"/>
      <c r="S1567" s="300"/>
      <c r="T1567" s="300"/>
      <c r="U1567" s="300"/>
      <c r="V1567" s="300"/>
      <c r="W1567" s="300"/>
      <c r="X1567" s="300"/>
      <c r="Y1567" s="300"/>
      <c r="Z1567" s="300"/>
    </row>
    <row r="1568" spans="1:26">
      <c r="A1568" s="215" t="s">
        <v>4573</v>
      </c>
      <c r="B1568" s="207">
        <v>944</v>
      </c>
      <c r="C1568" s="215" t="s">
        <v>9937</v>
      </c>
      <c r="D1568" s="215" t="s">
        <v>9938</v>
      </c>
      <c r="E1568" s="215" t="s">
        <v>9939</v>
      </c>
      <c r="F1568" s="215" t="s">
        <v>9814</v>
      </c>
      <c r="G1568" s="215" t="s">
        <v>9815</v>
      </c>
      <c r="H1568" s="215" t="s">
        <v>6497</v>
      </c>
      <c r="I1568" s="300"/>
      <c r="J1568" s="300"/>
      <c r="K1568" s="300"/>
      <c r="L1568" s="300"/>
      <c r="M1568" s="300"/>
      <c r="N1568" s="300"/>
      <c r="O1568" s="300"/>
      <c r="P1568" s="300"/>
      <c r="Q1568" s="300"/>
      <c r="R1568" s="300"/>
      <c r="S1568" s="300"/>
      <c r="T1568" s="300"/>
      <c r="U1568" s="300"/>
      <c r="V1568" s="300"/>
      <c r="W1568" s="300"/>
      <c r="X1568" s="300"/>
      <c r="Y1568" s="300"/>
      <c r="Z1568" s="300"/>
    </row>
    <row r="1569" spans="1:26">
      <c r="A1569" s="215" t="s">
        <v>4571</v>
      </c>
      <c r="B1569" s="207">
        <v>945</v>
      </c>
      <c r="C1569" s="215" t="s">
        <v>9940</v>
      </c>
      <c r="D1569" s="215" t="s">
        <v>9941</v>
      </c>
      <c r="E1569" s="215" t="s">
        <v>9942</v>
      </c>
      <c r="F1569" s="215" t="s">
        <v>9814</v>
      </c>
      <c r="G1569" s="215" t="s">
        <v>9815</v>
      </c>
      <c r="H1569" s="215" t="s">
        <v>6504</v>
      </c>
      <c r="I1569" s="300"/>
      <c r="J1569" s="300"/>
      <c r="K1569" s="300"/>
      <c r="L1569" s="300"/>
      <c r="M1569" s="300"/>
      <c r="N1569" s="300"/>
      <c r="O1569" s="300"/>
      <c r="P1569" s="300"/>
      <c r="Q1569" s="300"/>
      <c r="R1569" s="300"/>
      <c r="S1569" s="300"/>
      <c r="T1569" s="300"/>
      <c r="U1569" s="300"/>
      <c r="V1569" s="300"/>
      <c r="W1569" s="300"/>
      <c r="X1569" s="300"/>
      <c r="Y1569" s="300"/>
      <c r="Z1569" s="300"/>
    </row>
    <row r="1570" spans="1:26">
      <c r="A1570" s="215"/>
      <c r="B1570" s="207">
        <v>946</v>
      </c>
      <c r="C1570" s="215" t="s">
        <v>9943</v>
      </c>
      <c r="D1570" s="215" t="s">
        <v>9944</v>
      </c>
      <c r="E1570" s="215" t="s">
        <v>9945</v>
      </c>
      <c r="F1570" s="215" t="s">
        <v>9814</v>
      </c>
      <c r="G1570" s="215" t="s">
        <v>9815</v>
      </c>
      <c r="H1570" s="215" t="s">
        <v>6504</v>
      </c>
      <c r="I1570" s="300"/>
      <c r="J1570" s="300"/>
      <c r="K1570" s="300"/>
      <c r="L1570" s="300"/>
      <c r="M1570" s="300"/>
      <c r="N1570" s="300"/>
      <c r="O1570" s="300"/>
      <c r="P1570" s="300"/>
      <c r="Q1570" s="300"/>
      <c r="R1570" s="300"/>
      <c r="S1570" s="300"/>
      <c r="T1570" s="300"/>
      <c r="U1570" s="300"/>
      <c r="V1570" s="300"/>
      <c r="W1570" s="300"/>
      <c r="X1570" s="300"/>
      <c r="Y1570" s="300"/>
      <c r="Z1570" s="300"/>
    </row>
    <row r="1571" spans="1:26">
      <c r="A1571" s="215"/>
      <c r="B1571" s="207">
        <v>947</v>
      </c>
      <c r="C1571" s="215" t="s">
        <v>9946</v>
      </c>
      <c r="D1571" s="215" t="s">
        <v>9947</v>
      </c>
      <c r="E1571" s="215" t="s">
        <v>9948</v>
      </c>
      <c r="F1571" s="215" t="s">
        <v>9814</v>
      </c>
      <c r="G1571" s="215" t="s">
        <v>9815</v>
      </c>
      <c r="H1571" s="215" t="s">
        <v>6504</v>
      </c>
      <c r="I1571" s="300"/>
      <c r="J1571" s="300"/>
      <c r="K1571" s="300"/>
      <c r="L1571" s="300"/>
      <c r="M1571" s="300"/>
      <c r="N1571" s="300"/>
      <c r="O1571" s="300"/>
      <c r="P1571" s="300"/>
      <c r="Q1571" s="300"/>
      <c r="R1571" s="300"/>
      <c r="S1571" s="300"/>
      <c r="T1571" s="300"/>
      <c r="U1571" s="300"/>
      <c r="V1571" s="300"/>
      <c r="W1571" s="300"/>
      <c r="X1571" s="300"/>
      <c r="Y1571" s="300"/>
      <c r="Z1571" s="300"/>
    </row>
    <row r="1572" spans="1:26">
      <c r="A1572" s="215"/>
      <c r="B1572" s="207">
        <v>948</v>
      </c>
      <c r="C1572" s="215" t="s">
        <v>9949</v>
      </c>
      <c r="D1572" s="215" t="s">
        <v>9950</v>
      </c>
      <c r="E1572" s="215" t="s">
        <v>9951</v>
      </c>
      <c r="F1572" s="215" t="s">
        <v>9814</v>
      </c>
      <c r="G1572" s="215" t="s">
        <v>9815</v>
      </c>
      <c r="H1572" s="215" t="s">
        <v>6500</v>
      </c>
      <c r="I1572" s="300"/>
      <c r="J1572" s="300"/>
      <c r="K1572" s="300"/>
      <c r="L1572" s="300"/>
      <c r="M1572" s="300"/>
      <c r="N1572" s="300"/>
      <c r="O1572" s="300"/>
      <c r="P1572" s="300"/>
      <c r="Q1572" s="300"/>
      <c r="R1572" s="300"/>
      <c r="S1572" s="300"/>
      <c r="T1572" s="300"/>
      <c r="U1572" s="300"/>
      <c r="V1572" s="300"/>
      <c r="W1572" s="300"/>
      <c r="X1572" s="300"/>
      <c r="Y1572" s="300"/>
      <c r="Z1572" s="300"/>
    </row>
    <row r="1573" spans="1:26">
      <c r="A1573" s="215"/>
      <c r="B1573" s="207">
        <v>949</v>
      </c>
      <c r="C1573" s="215" t="s">
        <v>9952</v>
      </c>
      <c r="D1573" s="215" t="s">
        <v>9953</v>
      </c>
      <c r="E1573" s="215" t="s">
        <v>9954</v>
      </c>
      <c r="F1573" s="215" t="s">
        <v>9814</v>
      </c>
      <c r="G1573" s="215" t="s">
        <v>9815</v>
      </c>
      <c r="H1573" s="215" t="s">
        <v>6500</v>
      </c>
      <c r="I1573" s="300"/>
      <c r="J1573" s="300"/>
      <c r="K1573" s="300"/>
      <c r="L1573" s="300"/>
      <c r="M1573" s="300"/>
      <c r="N1573" s="300"/>
      <c r="O1573" s="300"/>
      <c r="P1573" s="300"/>
      <c r="Q1573" s="300"/>
      <c r="R1573" s="300"/>
      <c r="S1573" s="300"/>
      <c r="T1573" s="300"/>
      <c r="U1573" s="300"/>
      <c r="V1573" s="300"/>
      <c r="W1573" s="300"/>
      <c r="X1573" s="300"/>
      <c r="Y1573" s="300"/>
      <c r="Z1573" s="300"/>
    </row>
    <row r="1574" spans="1:26">
      <c r="A1574" s="215"/>
      <c r="B1574" s="207">
        <v>950</v>
      </c>
      <c r="C1574" s="215" t="s">
        <v>9955</v>
      </c>
      <c r="D1574" s="215" t="s">
        <v>9956</v>
      </c>
      <c r="E1574" s="215" t="s">
        <v>9957</v>
      </c>
      <c r="F1574" s="215" t="s">
        <v>9814</v>
      </c>
      <c r="G1574" s="215" t="s">
        <v>9815</v>
      </c>
      <c r="H1574" s="215" t="s">
        <v>6500</v>
      </c>
      <c r="I1574" s="300"/>
      <c r="J1574" s="300"/>
      <c r="K1574" s="300"/>
      <c r="L1574" s="300"/>
      <c r="M1574" s="300"/>
      <c r="N1574" s="300"/>
      <c r="O1574" s="300"/>
      <c r="P1574" s="300"/>
      <c r="Q1574" s="300"/>
      <c r="R1574" s="300"/>
      <c r="S1574" s="300"/>
      <c r="T1574" s="300"/>
      <c r="U1574" s="300"/>
      <c r="V1574" s="300"/>
      <c r="W1574" s="300"/>
      <c r="X1574" s="300"/>
      <c r="Y1574" s="300"/>
      <c r="Z1574" s="300"/>
    </row>
    <row r="1575" spans="1:26">
      <c r="A1575" s="215"/>
      <c r="B1575" s="207">
        <v>951</v>
      </c>
      <c r="C1575" s="215" t="s">
        <v>9958</v>
      </c>
      <c r="D1575" s="215" t="s">
        <v>9959</v>
      </c>
      <c r="E1575" s="215" t="s">
        <v>9960</v>
      </c>
      <c r="F1575" s="215" t="s">
        <v>9814</v>
      </c>
      <c r="G1575" s="215" t="s">
        <v>9815</v>
      </c>
      <c r="H1575" s="215" t="s">
        <v>6500</v>
      </c>
      <c r="I1575" s="300"/>
      <c r="J1575" s="300"/>
      <c r="K1575" s="300"/>
      <c r="L1575" s="300"/>
      <c r="M1575" s="300"/>
      <c r="N1575" s="300"/>
      <c r="O1575" s="300"/>
      <c r="P1575" s="300"/>
      <c r="Q1575" s="300"/>
      <c r="R1575" s="300"/>
      <c r="S1575" s="300"/>
      <c r="T1575" s="300"/>
      <c r="U1575" s="300"/>
      <c r="V1575" s="300"/>
      <c r="W1575" s="300"/>
      <c r="X1575" s="300"/>
      <c r="Y1575" s="300"/>
      <c r="Z1575" s="300"/>
    </row>
    <row r="1576" spans="1:26">
      <c r="A1576" s="215"/>
      <c r="B1576" s="207">
        <v>952</v>
      </c>
      <c r="C1576" s="215" t="s">
        <v>9961</v>
      </c>
      <c r="D1576" s="215" t="s">
        <v>9962</v>
      </c>
      <c r="E1576" s="215" t="s">
        <v>9963</v>
      </c>
      <c r="F1576" s="215" t="s">
        <v>9814</v>
      </c>
      <c r="G1576" s="215" t="s">
        <v>9815</v>
      </c>
      <c r="H1576" s="215" t="s">
        <v>6500</v>
      </c>
      <c r="I1576" s="300"/>
      <c r="J1576" s="300"/>
      <c r="K1576" s="300"/>
      <c r="L1576" s="300"/>
      <c r="M1576" s="300"/>
      <c r="N1576" s="300"/>
      <c r="O1576" s="300"/>
      <c r="P1576" s="300"/>
      <c r="Q1576" s="300"/>
      <c r="R1576" s="300"/>
      <c r="S1576" s="300"/>
      <c r="T1576" s="300"/>
      <c r="U1576" s="300"/>
      <c r="V1576" s="300"/>
      <c r="W1576" s="300"/>
      <c r="X1576" s="300"/>
      <c r="Y1576" s="300"/>
      <c r="Z1576" s="300"/>
    </row>
    <row r="1577" spans="1:26">
      <c r="A1577" s="215"/>
      <c r="B1577" s="207">
        <v>953</v>
      </c>
      <c r="C1577" s="215" t="s">
        <v>9964</v>
      </c>
      <c r="D1577" s="215" t="s">
        <v>9965</v>
      </c>
      <c r="E1577" s="215" t="s">
        <v>9966</v>
      </c>
      <c r="F1577" s="215" t="s">
        <v>9814</v>
      </c>
      <c r="G1577" s="215" t="s">
        <v>9815</v>
      </c>
      <c r="H1577" s="215" t="s">
        <v>6500</v>
      </c>
      <c r="I1577" s="300"/>
      <c r="J1577" s="300"/>
      <c r="K1577" s="300"/>
      <c r="L1577" s="300"/>
      <c r="M1577" s="300"/>
      <c r="N1577" s="300"/>
      <c r="O1577" s="300"/>
      <c r="P1577" s="300"/>
      <c r="Q1577" s="300"/>
      <c r="R1577" s="300"/>
      <c r="S1577" s="300"/>
      <c r="T1577" s="300"/>
      <c r="U1577" s="300"/>
      <c r="V1577" s="300"/>
      <c r="W1577" s="300"/>
      <c r="X1577" s="300"/>
      <c r="Y1577" s="300"/>
      <c r="Z1577" s="300"/>
    </row>
    <row r="1578" spans="1:26">
      <c r="A1578" s="215" t="s">
        <v>4572</v>
      </c>
      <c r="B1578" s="207">
        <v>954</v>
      </c>
      <c r="C1578" s="215" t="s">
        <v>9967</v>
      </c>
      <c r="D1578" s="215" t="s">
        <v>9968</v>
      </c>
      <c r="E1578" s="215" t="s">
        <v>9969</v>
      </c>
      <c r="F1578" s="215" t="s">
        <v>9814</v>
      </c>
      <c r="G1578" s="215" t="s">
        <v>9815</v>
      </c>
      <c r="H1578" s="215" t="s">
        <v>6500</v>
      </c>
      <c r="I1578" s="300"/>
      <c r="J1578" s="300"/>
      <c r="K1578" s="300"/>
      <c r="L1578" s="300"/>
      <c r="M1578" s="300"/>
      <c r="N1578" s="300"/>
      <c r="O1578" s="300"/>
      <c r="P1578" s="300"/>
      <c r="Q1578" s="300"/>
      <c r="R1578" s="300"/>
      <c r="S1578" s="300"/>
      <c r="T1578" s="300"/>
      <c r="U1578" s="300"/>
      <c r="V1578" s="300"/>
      <c r="W1578" s="300"/>
      <c r="X1578" s="300"/>
      <c r="Y1578" s="300"/>
      <c r="Z1578" s="300"/>
    </row>
    <row r="1579" spans="1:26">
      <c r="A1579" s="215"/>
      <c r="B1579" s="207">
        <v>955</v>
      </c>
      <c r="C1579" s="215" t="s">
        <v>9970</v>
      </c>
      <c r="D1579" s="215" t="s">
        <v>9971</v>
      </c>
      <c r="E1579" s="215" t="s">
        <v>9972</v>
      </c>
      <c r="F1579" s="215" t="s">
        <v>9814</v>
      </c>
      <c r="G1579" s="215" t="s">
        <v>9815</v>
      </c>
      <c r="H1579" s="215" t="s">
        <v>6500</v>
      </c>
      <c r="I1579" s="300"/>
      <c r="J1579" s="300"/>
      <c r="K1579" s="300"/>
      <c r="L1579" s="300"/>
      <c r="M1579" s="300"/>
      <c r="N1579" s="300"/>
      <c r="O1579" s="300"/>
      <c r="P1579" s="300"/>
      <c r="Q1579" s="300"/>
      <c r="R1579" s="300"/>
      <c r="S1579" s="300"/>
      <c r="T1579" s="300"/>
      <c r="U1579" s="300"/>
      <c r="V1579" s="300"/>
      <c r="W1579" s="300"/>
      <c r="X1579" s="300"/>
      <c r="Y1579" s="300"/>
      <c r="Z1579" s="300"/>
    </row>
    <row r="1580" spans="1:26">
      <c r="A1580" s="215" t="s">
        <v>3013</v>
      </c>
      <c r="B1580" s="207">
        <v>956</v>
      </c>
      <c r="C1580" s="215" t="s">
        <v>9973</v>
      </c>
      <c r="D1580" s="215" t="s">
        <v>9974</v>
      </c>
      <c r="E1580" s="215" t="s">
        <v>9975</v>
      </c>
      <c r="F1580" s="215" t="s">
        <v>9814</v>
      </c>
      <c r="G1580" s="215" t="s">
        <v>9815</v>
      </c>
      <c r="H1580" s="215" t="s">
        <v>6500</v>
      </c>
      <c r="I1580" s="300"/>
      <c r="J1580" s="300"/>
      <c r="K1580" s="300"/>
      <c r="L1580" s="300"/>
      <c r="M1580" s="300"/>
      <c r="N1580" s="300"/>
      <c r="O1580" s="300"/>
      <c r="P1580" s="300"/>
      <c r="Q1580" s="300"/>
      <c r="R1580" s="300"/>
      <c r="S1580" s="300"/>
      <c r="T1580" s="300"/>
      <c r="U1580" s="300"/>
      <c r="V1580" s="300"/>
      <c r="W1580" s="300"/>
      <c r="X1580" s="300"/>
      <c r="Y1580" s="300"/>
      <c r="Z1580" s="300"/>
    </row>
    <row r="1581" spans="1:26">
      <c r="A1581" s="215" t="s">
        <v>3012</v>
      </c>
      <c r="B1581" s="207">
        <v>957</v>
      </c>
      <c r="C1581" s="215" t="s">
        <v>9976</v>
      </c>
      <c r="D1581" s="215" t="s">
        <v>9977</v>
      </c>
      <c r="E1581" s="215" t="s">
        <v>9978</v>
      </c>
      <c r="F1581" s="215" t="s">
        <v>9814</v>
      </c>
      <c r="G1581" s="215" t="s">
        <v>9815</v>
      </c>
      <c r="H1581" s="215" t="s">
        <v>6500</v>
      </c>
      <c r="I1581" s="300"/>
      <c r="J1581" s="300"/>
      <c r="K1581" s="300"/>
      <c r="L1581" s="300"/>
      <c r="M1581" s="300"/>
      <c r="N1581" s="300"/>
      <c r="O1581" s="300"/>
      <c r="P1581" s="300"/>
      <c r="Q1581" s="300"/>
      <c r="R1581" s="300"/>
      <c r="S1581" s="300"/>
      <c r="T1581" s="300"/>
      <c r="U1581" s="300"/>
      <c r="V1581" s="300"/>
      <c r="W1581" s="300"/>
      <c r="X1581" s="300"/>
      <c r="Y1581" s="300"/>
      <c r="Z1581" s="300"/>
    </row>
    <row r="1582" spans="1:26">
      <c r="A1582" s="215"/>
      <c r="B1582" s="207">
        <v>966</v>
      </c>
      <c r="C1582" s="215" t="s">
        <v>9979</v>
      </c>
      <c r="D1582" s="215" t="s">
        <v>9980</v>
      </c>
      <c r="E1582" s="215" t="s">
        <v>9981</v>
      </c>
      <c r="F1582" s="215" t="s">
        <v>9814</v>
      </c>
      <c r="G1582" s="215" t="s">
        <v>9815</v>
      </c>
      <c r="H1582" s="215" t="s">
        <v>6504</v>
      </c>
      <c r="I1582" s="300"/>
      <c r="J1582" s="300"/>
      <c r="K1582" s="300"/>
      <c r="L1582" s="300"/>
      <c r="M1582" s="300"/>
      <c r="N1582" s="300"/>
      <c r="O1582" s="300"/>
      <c r="P1582" s="300"/>
      <c r="Q1582" s="300"/>
      <c r="R1582" s="300"/>
      <c r="S1582" s="300"/>
      <c r="T1582" s="300"/>
      <c r="U1582" s="300"/>
      <c r="V1582" s="300"/>
      <c r="W1582" s="300"/>
      <c r="X1582" s="300"/>
      <c r="Y1582" s="300"/>
      <c r="Z1582" s="300"/>
    </row>
    <row r="1583" spans="1:26">
      <c r="A1583" s="215"/>
      <c r="B1583" s="207">
        <v>967</v>
      </c>
      <c r="C1583" s="215" t="s">
        <v>9982</v>
      </c>
      <c r="D1583" s="215" t="s">
        <v>9983</v>
      </c>
      <c r="E1583" s="215" t="s">
        <v>9984</v>
      </c>
      <c r="F1583" s="215" t="s">
        <v>9814</v>
      </c>
      <c r="G1583" s="215" t="s">
        <v>9815</v>
      </c>
      <c r="H1583" s="215" t="s">
        <v>6504</v>
      </c>
      <c r="I1583" s="300"/>
      <c r="J1583" s="300"/>
      <c r="K1583" s="300"/>
      <c r="L1583" s="300"/>
      <c r="M1583" s="300"/>
      <c r="N1583" s="300"/>
      <c r="O1583" s="300"/>
      <c r="P1583" s="300"/>
      <c r="Q1583" s="300"/>
      <c r="R1583" s="300"/>
      <c r="S1583" s="300"/>
      <c r="T1583" s="300"/>
      <c r="U1583" s="300"/>
      <c r="V1583" s="300"/>
      <c r="W1583" s="300"/>
      <c r="X1583" s="300"/>
      <c r="Y1583" s="300"/>
      <c r="Z1583" s="300"/>
    </row>
    <row r="1584" spans="1:26">
      <c r="A1584" s="215"/>
      <c r="B1584" s="207">
        <v>968</v>
      </c>
      <c r="C1584" s="215" t="s">
        <v>9985</v>
      </c>
      <c r="D1584" s="215" t="s">
        <v>9986</v>
      </c>
      <c r="E1584" s="215" t="s">
        <v>9987</v>
      </c>
      <c r="F1584" s="215" t="s">
        <v>9814</v>
      </c>
      <c r="G1584" s="215" t="s">
        <v>9815</v>
      </c>
      <c r="H1584" s="215" t="s">
        <v>6504</v>
      </c>
      <c r="I1584" s="300"/>
      <c r="J1584" s="300"/>
      <c r="K1584" s="300"/>
      <c r="L1584" s="300"/>
      <c r="M1584" s="300"/>
      <c r="N1584" s="300"/>
      <c r="O1584" s="300"/>
      <c r="P1584" s="300"/>
      <c r="Q1584" s="300"/>
      <c r="R1584" s="300"/>
      <c r="S1584" s="300"/>
      <c r="T1584" s="300"/>
      <c r="U1584" s="300"/>
      <c r="V1584" s="300"/>
      <c r="W1584" s="300"/>
      <c r="X1584" s="300"/>
      <c r="Y1584" s="300"/>
      <c r="Z1584" s="300"/>
    </row>
    <row r="1585" spans="1:26">
      <c r="A1585" s="215"/>
      <c r="B1585" s="207">
        <v>969</v>
      </c>
      <c r="C1585" s="215" t="s">
        <v>9988</v>
      </c>
      <c r="D1585" s="215" t="s">
        <v>9989</v>
      </c>
      <c r="E1585" s="215" t="s">
        <v>9990</v>
      </c>
      <c r="F1585" s="215" t="s">
        <v>9814</v>
      </c>
      <c r="G1585" s="215" t="s">
        <v>9815</v>
      </c>
      <c r="H1585" s="215" t="s">
        <v>6504</v>
      </c>
      <c r="I1585" s="300"/>
      <c r="J1585" s="300"/>
      <c r="K1585" s="300"/>
      <c r="L1585" s="300"/>
      <c r="M1585" s="300"/>
      <c r="N1585" s="300"/>
      <c r="O1585" s="300"/>
      <c r="P1585" s="300"/>
      <c r="Q1585" s="300"/>
      <c r="R1585" s="300"/>
      <c r="S1585" s="300"/>
      <c r="T1585" s="300"/>
      <c r="U1585" s="300"/>
      <c r="V1585" s="300"/>
      <c r="W1585" s="300"/>
      <c r="X1585" s="300"/>
      <c r="Y1585" s="300"/>
      <c r="Z1585" s="300"/>
    </row>
    <row r="1586" spans="1:26">
      <c r="A1586" s="215"/>
      <c r="B1586" s="207">
        <v>970</v>
      </c>
      <c r="C1586" s="215" t="s">
        <v>9991</v>
      </c>
      <c r="D1586" s="215" t="s">
        <v>9992</v>
      </c>
      <c r="E1586" s="215" t="s">
        <v>9993</v>
      </c>
      <c r="F1586" s="215" t="s">
        <v>9814</v>
      </c>
      <c r="G1586" s="215" t="s">
        <v>9815</v>
      </c>
      <c r="H1586" s="215" t="s">
        <v>6500</v>
      </c>
      <c r="I1586" s="300"/>
      <c r="J1586" s="300"/>
      <c r="K1586" s="300"/>
      <c r="L1586" s="300"/>
      <c r="M1586" s="300"/>
      <c r="N1586" s="300"/>
      <c r="O1586" s="300"/>
      <c r="P1586" s="300"/>
      <c r="Q1586" s="300"/>
      <c r="R1586" s="300"/>
      <c r="S1586" s="300"/>
      <c r="T1586" s="300"/>
      <c r="U1586" s="300"/>
      <c r="V1586" s="300"/>
      <c r="W1586" s="300"/>
      <c r="X1586" s="300"/>
      <c r="Y1586" s="300"/>
      <c r="Z1586" s="300"/>
    </row>
    <row r="1587" spans="1:26">
      <c r="A1587" s="215"/>
      <c r="B1587" s="207">
        <v>971</v>
      </c>
      <c r="C1587" s="215" t="s">
        <v>9994</v>
      </c>
      <c r="D1587" s="215" t="s">
        <v>9995</v>
      </c>
      <c r="E1587" s="215" t="s">
        <v>9996</v>
      </c>
      <c r="F1587" s="215" t="s">
        <v>9814</v>
      </c>
      <c r="G1587" s="215" t="s">
        <v>9815</v>
      </c>
      <c r="H1587" s="215" t="s">
        <v>6500</v>
      </c>
      <c r="I1587" s="300"/>
      <c r="J1587" s="300"/>
      <c r="K1587" s="300"/>
      <c r="L1587" s="300"/>
      <c r="M1587" s="300"/>
      <c r="N1587" s="300"/>
      <c r="O1587" s="300"/>
      <c r="P1587" s="300"/>
      <c r="Q1587" s="300"/>
      <c r="R1587" s="300"/>
      <c r="S1587" s="300"/>
      <c r="T1587" s="300"/>
      <c r="U1587" s="300"/>
      <c r="V1587" s="300"/>
      <c r="W1587" s="300"/>
      <c r="X1587" s="300"/>
      <c r="Y1587" s="300"/>
      <c r="Z1587" s="300"/>
    </row>
    <row r="1588" spans="1:26">
      <c r="A1588" s="215"/>
      <c r="B1588" s="207">
        <v>972</v>
      </c>
      <c r="C1588" s="215" t="s">
        <v>9997</v>
      </c>
      <c r="D1588" s="215" t="s">
        <v>9998</v>
      </c>
      <c r="E1588" s="215" t="s">
        <v>9999</v>
      </c>
      <c r="F1588" s="215" t="s">
        <v>9814</v>
      </c>
      <c r="G1588" s="215" t="s">
        <v>9815</v>
      </c>
      <c r="H1588" s="215" t="s">
        <v>6500</v>
      </c>
      <c r="I1588" s="300"/>
      <c r="J1588" s="300"/>
      <c r="K1588" s="300"/>
      <c r="L1588" s="300"/>
      <c r="M1588" s="300"/>
      <c r="N1588" s="300"/>
      <c r="O1588" s="300"/>
      <c r="P1588" s="300"/>
      <c r="Q1588" s="300"/>
      <c r="R1588" s="300"/>
      <c r="S1588" s="300"/>
      <c r="T1588" s="300"/>
      <c r="U1588" s="300"/>
      <c r="V1588" s="300"/>
      <c r="W1588" s="300"/>
      <c r="X1588" s="300"/>
      <c r="Y1588" s="300"/>
      <c r="Z1588" s="300"/>
    </row>
    <row r="1589" spans="1:26">
      <c r="A1589" s="215"/>
      <c r="B1589" s="207">
        <v>973</v>
      </c>
      <c r="C1589" s="215" t="s">
        <v>10000</v>
      </c>
      <c r="D1589" s="215" t="s">
        <v>10001</v>
      </c>
      <c r="E1589" s="215" t="s">
        <v>5781</v>
      </c>
      <c r="F1589" s="215" t="s">
        <v>9814</v>
      </c>
      <c r="G1589" s="215" t="s">
        <v>9815</v>
      </c>
      <c r="H1589" s="215" t="s">
        <v>6500</v>
      </c>
      <c r="I1589" s="300"/>
      <c r="J1589" s="300"/>
      <c r="K1589" s="300"/>
      <c r="L1589" s="300"/>
      <c r="M1589" s="300"/>
      <c r="N1589" s="300"/>
      <c r="O1589" s="300"/>
      <c r="P1589" s="300"/>
      <c r="Q1589" s="300"/>
      <c r="R1589" s="300"/>
      <c r="S1589" s="300"/>
      <c r="T1589" s="300"/>
      <c r="U1589" s="300"/>
      <c r="V1589" s="300"/>
      <c r="W1589" s="300"/>
      <c r="X1589" s="300"/>
      <c r="Y1589" s="300"/>
      <c r="Z1589" s="300"/>
    </row>
    <row r="1590" spans="1:26">
      <c r="A1590" s="215"/>
      <c r="B1590" s="207">
        <v>974</v>
      </c>
      <c r="C1590" s="215" t="s">
        <v>10002</v>
      </c>
      <c r="D1590" s="215" t="s">
        <v>10003</v>
      </c>
      <c r="E1590" s="215" t="s">
        <v>10004</v>
      </c>
      <c r="F1590" s="215" t="s">
        <v>9814</v>
      </c>
      <c r="G1590" s="215" t="s">
        <v>9815</v>
      </c>
      <c r="H1590" s="215" t="s">
        <v>6500</v>
      </c>
      <c r="I1590" s="300"/>
      <c r="J1590" s="300"/>
      <c r="K1590" s="300"/>
      <c r="L1590" s="300"/>
      <c r="M1590" s="300"/>
      <c r="N1590" s="300"/>
      <c r="O1590" s="300"/>
      <c r="P1590" s="300"/>
      <c r="Q1590" s="300"/>
      <c r="R1590" s="300"/>
      <c r="S1590" s="300"/>
      <c r="T1590" s="300"/>
      <c r="U1590" s="300"/>
      <c r="V1590" s="300"/>
      <c r="W1590" s="300"/>
      <c r="X1590" s="300"/>
      <c r="Y1590" s="300"/>
      <c r="Z1590" s="300"/>
    </row>
    <row r="1591" spans="1:26">
      <c r="A1591" s="215"/>
      <c r="B1591" s="207">
        <v>975</v>
      </c>
      <c r="C1591" s="215" t="s">
        <v>10005</v>
      </c>
      <c r="D1591" s="215" t="s">
        <v>10006</v>
      </c>
      <c r="E1591" s="215" t="s">
        <v>10007</v>
      </c>
      <c r="F1591" s="215" t="s">
        <v>9814</v>
      </c>
      <c r="G1591" s="215" t="s">
        <v>9815</v>
      </c>
      <c r="H1591" s="215" t="s">
        <v>6500</v>
      </c>
      <c r="I1591" s="300"/>
      <c r="J1591" s="300"/>
      <c r="K1591" s="300"/>
      <c r="L1591" s="300"/>
      <c r="M1591" s="300"/>
      <c r="N1591" s="300"/>
      <c r="O1591" s="300"/>
      <c r="P1591" s="300"/>
      <c r="Q1591" s="300"/>
      <c r="R1591" s="300"/>
      <c r="S1591" s="300"/>
      <c r="T1591" s="300"/>
      <c r="U1591" s="300"/>
      <c r="V1591" s="300"/>
      <c r="W1591" s="300"/>
      <c r="X1591" s="300"/>
      <c r="Y1591" s="300"/>
      <c r="Z1591" s="300"/>
    </row>
    <row r="1592" spans="1:26">
      <c r="A1592" s="215"/>
      <c r="B1592" s="207">
        <v>976</v>
      </c>
      <c r="C1592" s="215" t="s">
        <v>10008</v>
      </c>
      <c r="D1592" s="215" t="s">
        <v>10009</v>
      </c>
      <c r="E1592" s="215" t="s">
        <v>10010</v>
      </c>
      <c r="F1592" s="215" t="s">
        <v>9814</v>
      </c>
      <c r="G1592" s="215" t="s">
        <v>9815</v>
      </c>
      <c r="H1592" s="215" t="s">
        <v>6500</v>
      </c>
      <c r="I1592" s="300"/>
      <c r="J1592" s="300"/>
      <c r="K1592" s="300"/>
      <c r="L1592" s="300"/>
      <c r="M1592" s="300"/>
      <c r="N1592" s="300"/>
      <c r="O1592" s="300"/>
      <c r="P1592" s="300"/>
      <c r="Q1592" s="300"/>
      <c r="R1592" s="300"/>
      <c r="S1592" s="300"/>
      <c r="T1592" s="300"/>
      <c r="U1592" s="300"/>
      <c r="V1592" s="300"/>
      <c r="W1592" s="300"/>
      <c r="X1592" s="300"/>
      <c r="Y1592" s="300"/>
      <c r="Z1592" s="300"/>
    </row>
    <row r="1593" spans="1:26">
      <c r="A1593" s="215"/>
      <c r="B1593" s="207">
        <v>980</v>
      </c>
      <c r="C1593" s="215" t="s">
        <v>10011</v>
      </c>
      <c r="D1593" s="215" t="s">
        <v>10012</v>
      </c>
      <c r="E1593" s="215" t="s">
        <v>10013</v>
      </c>
      <c r="F1593" s="215" t="s">
        <v>9814</v>
      </c>
      <c r="G1593" s="215" t="s">
        <v>9815</v>
      </c>
      <c r="H1593" s="215" t="s">
        <v>6504</v>
      </c>
      <c r="I1593" s="300"/>
      <c r="J1593" s="300"/>
      <c r="K1593" s="300"/>
      <c r="L1593" s="300"/>
      <c r="M1593" s="300"/>
      <c r="N1593" s="300"/>
      <c r="O1593" s="300"/>
      <c r="P1593" s="300"/>
      <c r="Q1593" s="300"/>
      <c r="R1593" s="300"/>
      <c r="S1593" s="300"/>
      <c r="T1593" s="300"/>
      <c r="U1593" s="300"/>
      <c r="V1593" s="300"/>
      <c r="W1593" s="300"/>
      <c r="X1593" s="300"/>
      <c r="Y1593" s="300"/>
      <c r="Z1593" s="300"/>
    </row>
    <row r="1594" spans="1:26">
      <c r="A1594" s="215"/>
      <c r="B1594" s="207">
        <v>982</v>
      </c>
      <c r="C1594" s="215" t="s">
        <v>6257</v>
      </c>
      <c r="D1594" s="215" t="s">
        <v>10014</v>
      </c>
      <c r="E1594" s="215" t="s">
        <v>10015</v>
      </c>
      <c r="F1594" s="215" t="s">
        <v>9814</v>
      </c>
      <c r="G1594" s="215" t="s">
        <v>9815</v>
      </c>
      <c r="H1594" s="215" t="s">
        <v>6521</v>
      </c>
      <c r="I1594" s="300"/>
      <c r="J1594" s="300"/>
      <c r="K1594" s="300"/>
      <c r="L1594" s="300"/>
      <c r="M1594" s="300"/>
      <c r="N1594" s="300"/>
      <c r="O1594" s="300"/>
      <c r="P1594" s="300"/>
      <c r="Q1594" s="300"/>
      <c r="R1594" s="300"/>
      <c r="S1594" s="300"/>
      <c r="T1594" s="300"/>
      <c r="U1594" s="300"/>
      <c r="V1594" s="300"/>
      <c r="W1594" s="300"/>
      <c r="X1594" s="300"/>
      <c r="Y1594" s="300"/>
      <c r="Z1594" s="300"/>
    </row>
    <row r="1595" spans="1:26">
      <c r="A1595" s="215"/>
      <c r="B1595" s="207">
        <v>990</v>
      </c>
      <c r="C1595" s="215" t="s">
        <v>10016</v>
      </c>
      <c r="D1595" s="215" t="s">
        <v>10017</v>
      </c>
      <c r="E1595" s="215" t="s">
        <v>10018</v>
      </c>
      <c r="F1595" s="215" t="s">
        <v>9814</v>
      </c>
      <c r="G1595" s="215" t="s">
        <v>9815</v>
      </c>
      <c r="H1595" s="215" t="s">
        <v>6521</v>
      </c>
      <c r="I1595" s="300"/>
      <c r="J1595" s="300"/>
      <c r="K1595" s="300"/>
      <c r="L1595" s="300"/>
      <c r="M1595" s="300"/>
      <c r="N1595" s="300"/>
      <c r="O1595" s="300"/>
      <c r="P1595" s="300"/>
      <c r="Q1595" s="300"/>
      <c r="R1595" s="300"/>
      <c r="S1595" s="300"/>
      <c r="T1595" s="300"/>
      <c r="U1595" s="300"/>
      <c r="V1595" s="300"/>
      <c r="W1595" s="300"/>
      <c r="X1595" s="300"/>
      <c r="Y1595" s="300"/>
      <c r="Z1595" s="300"/>
    </row>
    <row r="1596" spans="1:26">
      <c r="A1596" s="215" t="s">
        <v>4207</v>
      </c>
      <c r="B1596" s="207">
        <v>991</v>
      </c>
      <c r="C1596" s="215" t="s">
        <v>10019</v>
      </c>
      <c r="D1596" s="215" t="s">
        <v>10020</v>
      </c>
      <c r="E1596" s="215" t="s">
        <v>10021</v>
      </c>
      <c r="F1596" s="215" t="s">
        <v>9814</v>
      </c>
      <c r="G1596" s="215" t="s">
        <v>9815</v>
      </c>
      <c r="H1596" s="215" t="s">
        <v>6521</v>
      </c>
      <c r="I1596" s="300"/>
      <c r="J1596" s="300"/>
      <c r="K1596" s="300"/>
      <c r="L1596" s="300"/>
      <c r="M1596" s="300"/>
      <c r="N1596" s="300"/>
      <c r="O1596" s="300"/>
      <c r="P1596" s="300"/>
      <c r="Q1596" s="300"/>
      <c r="R1596" s="300"/>
      <c r="S1596" s="300"/>
      <c r="T1596" s="300"/>
      <c r="U1596" s="300"/>
      <c r="V1596" s="300"/>
      <c r="W1596" s="300"/>
      <c r="X1596" s="300"/>
      <c r="Y1596" s="300"/>
      <c r="Z1596" s="300"/>
    </row>
    <row r="1597" spans="1:26">
      <c r="A1597" s="215"/>
      <c r="B1597" s="207">
        <v>992</v>
      </c>
      <c r="C1597" s="215" t="s">
        <v>10022</v>
      </c>
      <c r="D1597" s="215" t="s">
        <v>10023</v>
      </c>
      <c r="E1597" s="215" t="s">
        <v>10024</v>
      </c>
      <c r="F1597" s="215" t="s">
        <v>9814</v>
      </c>
      <c r="G1597" s="215" t="s">
        <v>9815</v>
      </c>
      <c r="H1597" s="215" t="s">
        <v>6521</v>
      </c>
      <c r="I1597" s="300"/>
      <c r="J1597" s="300"/>
      <c r="K1597" s="300"/>
      <c r="L1597" s="300"/>
      <c r="M1597" s="300"/>
      <c r="N1597" s="300"/>
      <c r="O1597" s="300"/>
      <c r="P1597" s="300"/>
      <c r="Q1597" s="300"/>
      <c r="R1597" s="300"/>
      <c r="S1597" s="300"/>
      <c r="T1597" s="300"/>
      <c r="U1597" s="300"/>
      <c r="V1597" s="300"/>
      <c r="W1597" s="300"/>
      <c r="X1597" s="300"/>
      <c r="Y1597" s="300"/>
      <c r="Z1597" s="300"/>
    </row>
    <row r="1598" spans="1:26">
      <c r="A1598" s="215"/>
      <c r="B1598" s="207">
        <v>993</v>
      </c>
      <c r="C1598" s="215" t="s">
        <v>10025</v>
      </c>
      <c r="D1598" s="215" t="s">
        <v>10026</v>
      </c>
      <c r="E1598" s="215" t="s">
        <v>10027</v>
      </c>
      <c r="F1598" s="215" t="s">
        <v>9814</v>
      </c>
      <c r="G1598" s="215" t="s">
        <v>9815</v>
      </c>
      <c r="H1598" s="215" t="s">
        <v>6521</v>
      </c>
      <c r="I1598" s="300"/>
      <c r="J1598" s="300"/>
      <c r="K1598" s="300"/>
      <c r="L1598" s="300"/>
      <c r="M1598" s="300"/>
      <c r="N1598" s="300"/>
      <c r="O1598" s="300"/>
      <c r="P1598" s="300"/>
      <c r="Q1598" s="300"/>
      <c r="R1598" s="300"/>
      <c r="S1598" s="300"/>
      <c r="T1598" s="300"/>
      <c r="U1598" s="300"/>
      <c r="V1598" s="300"/>
      <c r="W1598" s="300"/>
      <c r="X1598" s="300"/>
      <c r="Y1598" s="300"/>
      <c r="Z1598" s="300"/>
    </row>
    <row r="1599" spans="1:26">
      <c r="A1599" s="215"/>
      <c r="B1599" s="207">
        <v>994</v>
      </c>
      <c r="C1599" s="215" t="s">
        <v>10028</v>
      </c>
      <c r="D1599" s="215" t="s">
        <v>10029</v>
      </c>
      <c r="E1599" s="215" t="s">
        <v>10030</v>
      </c>
      <c r="F1599" s="215" t="s">
        <v>9814</v>
      </c>
      <c r="G1599" s="215" t="s">
        <v>9815</v>
      </c>
      <c r="H1599" s="215" t="s">
        <v>6521</v>
      </c>
      <c r="I1599" s="300"/>
      <c r="J1599" s="300"/>
      <c r="K1599" s="300"/>
      <c r="L1599" s="300"/>
      <c r="M1599" s="300"/>
      <c r="N1599" s="300"/>
      <c r="O1599" s="300"/>
      <c r="P1599" s="300"/>
      <c r="Q1599" s="300"/>
      <c r="R1599" s="300"/>
      <c r="S1599" s="300"/>
      <c r="T1599" s="300"/>
      <c r="U1599" s="300"/>
      <c r="V1599" s="300"/>
      <c r="W1599" s="300"/>
      <c r="X1599" s="300"/>
      <c r="Y1599" s="300"/>
      <c r="Z1599" s="300"/>
    </row>
    <row r="1600" spans="1:26">
      <c r="A1600" s="215" t="s">
        <v>10031</v>
      </c>
      <c r="B1600" s="207">
        <v>1016</v>
      </c>
      <c r="C1600" s="215" t="s">
        <v>10032</v>
      </c>
      <c r="D1600" s="215" t="s">
        <v>10033</v>
      </c>
      <c r="E1600" s="215" t="s">
        <v>10034</v>
      </c>
      <c r="F1600" s="215" t="s">
        <v>9814</v>
      </c>
      <c r="G1600" s="215" t="s">
        <v>9815</v>
      </c>
      <c r="H1600" s="215" t="s">
        <v>6521</v>
      </c>
      <c r="I1600" s="300"/>
      <c r="J1600" s="300"/>
      <c r="K1600" s="300"/>
      <c r="L1600" s="300"/>
      <c r="M1600" s="300"/>
      <c r="N1600" s="300"/>
      <c r="O1600" s="300"/>
      <c r="P1600" s="300"/>
      <c r="Q1600" s="300"/>
      <c r="R1600" s="300"/>
      <c r="S1600" s="300"/>
      <c r="T1600" s="300"/>
      <c r="U1600" s="300"/>
      <c r="V1600" s="300"/>
      <c r="W1600" s="300"/>
      <c r="X1600" s="300"/>
      <c r="Y1600" s="300"/>
      <c r="Z1600" s="300"/>
    </row>
    <row r="1601" spans="1:26">
      <c r="A1601" s="215"/>
      <c r="B1601" s="207">
        <v>1017</v>
      </c>
      <c r="C1601" s="215" t="s">
        <v>10035</v>
      </c>
      <c r="D1601" s="215" t="s">
        <v>10036</v>
      </c>
      <c r="E1601" s="215" t="s">
        <v>10037</v>
      </c>
      <c r="F1601" s="215" t="s">
        <v>9814</v>
      </c>
      <c r="G1601" s="215" t="s">
        <v>9815</v>
      </c>
      <c r="H1601" s="215" t="s">
        <v>6521</v>
      </c>
      <c r="I1601" s="300"/>
      <c r="J1601" s="300"/>
      <c r="K1601" s="300"/>
      <c r="L1601" s="300"/>
      <c r="M1601" s="300"/>
      <c r="N1601" s="300"/>
      <c r="O1601" s="300"/>
      <c r="P1601" s="300"/>
      <c r="Q1601" s="300"/>
      <c r="R1601" s="300"/>
      <c r="S1601" s="300"/>
      <c r="T1601" s="300"/>
      <c r="U1601" s="300"/>
      <c r="V1601" s="300"/>
      <c r="W1601" s="300"/>
      <c r="X1601" s="300"/>
      <c r="Y1601" s="300"/>
      <c r="Z1601" s="300"/>
    </row>
    <row r="1602" spans="1:26">
      <c r="A1602" s="215" t="s">
        <v>3019</v>
      </c>
      <c r="B1602" s="207">
        <v>1018</v>
      </c>
      <c r="C1602" s="215" t="s">
        <v>10038</v>
      </c>
      <c r="D1602" s="215" t="s">
        <v>10039</v>
      </c>
      <c r="E1602" s="215" t="s">
        <v>10040</v>
      </c>
      <c r="F1602" s="215" t="s">
        <v>9814</v>
      </c>
      <c r="G1602" s="215" t="s">
        <v>9815</v>
      </c>
      <c r="H1602" s="215" t="s">
        <v>6521</v>
      </c>
      <c r="I1602" s="300"/>
      <c r="J1602" s="300"/>
      <c r="K1602" s="300"/>
      <c r="L1602" s="300"/>
      <c r="M1602" s="300"/>
      <c r="N1602" s="300"/>
      <c r="O1602" s="300"/>
      <c r="P1602" s="300"/>
      <c r="Q1602" s="300"/>
      <c r="R1602" s="300"/>
      <c r="S1602" s="300"/>
      <c r="T1602" s="300"/>
      <c r="U1602" s="300"/>
      <c r="V1602" s="300"/>
      <c r="W1602" s="300"/>
      <c r="X1602" s="300"/>
      <c r="Y1602" s="300"/>
      <c r="Z1602" s="300"/>
    </row>
    <row r="1603" spans="1:26">
      <c r="A1603" s="215" t="s">
        <v>3020</v>
      </c>
      <c r="B1603" s="207">
        <v>1029</v>
      </c>
      <c r="C1603" s="215" t="s">
        <v>10041</v>
      </c>
      <c r="D1603" s="215" t="s">
        <v>10042</v>
      </c>
      <c r="E1603" s="215" t="s">
        <v>10043</v>
      </c>
      <c r="F1603" s="215" t="s">
        <v>9814</v>
      </c>
      <c r="G1603" s="215" t="s">
        <v>9815</v>
      </c>
      <c r="H1603" s="215" t="s">
        <v>6500</v>
      </c>
      <c r="I1603" s="300"/>
      <c r="J1603" s="300"/>
      <c r="K1603" s="300"/>
      <c r="L1603" s="300"/>
      <c r="M1603" s="300"/>
      <c r="N1603" s="300"/>
      <c r="O1603" s="300"/>
      <c r="P1603" s="300"/>
      <c r="Q1603" s="300"/>
      <c r="R1603" s="300"/>
      <c r="S1603" s="300"/>
      <c r="T1603" s="300"/>
      <c r="U1603" s="300"/>
      <c r="V1603" s="300"/>
      <c r="W1603" s="300"/>
      <c r="X1603" s="300"/>
      <c r="Y1603" s="300"/>
      <c r="Z1603" s="300"/>
    </row>
    <row r="1604" spans="1:26">
      <c r="A1604" s="215" t="s">
        <v>4059</v>
      </c>
      <c r="B1604" s="207">
        <v>1080</v>
      </c>
      <c r="C1604" s="215" t="s">
        <v>6079</v>
      </c>
      <c r="D1604" s="215" t="s">
        <v>10044</v>
      </c>
      <c r="E1604" s="215" t="s">
        <v>10044</v>
      </c>
      <c r="F1604" s="215" t="s">
        <v>9814</v>
      </c>
      <c r="G1604" s="215" t="s">
        <v>9815</v>
      </c>
      <c r="H1604" s="215" t="s">
        <v>6521</v>
      </c>
      <c r="I1604" s="300"/>
      <c r="J1604" s="300"/>
      <c r="K1604" s="300"/>
      <c r="L1604" s="300"/>
      <c r="M1604" s="300"/>
      <c r="N1604" s="300"/>
      <c r="O1604" s="300"/>
      <c r="P1604" s="300"/>
      <c r="Q1604" s="300"/>
      <c r="R1604" s="300"/>
      <c r="S1604" s="300"/>
      <c r="T1604" s="300"/>
      <c r="U1604" s="300"/>
      <c r="V1604" s="300"/>
      <c r="W1604" s="300"/>
      <c r="X1604" s="300"/>
      <c r="Y1604" s="300"/>
      <c r="Z1604" s="300"/>
    </row>
    <row r="1605" spans="1:26">
      <c r="A1605" s="215" t="s">
        <v>3387</v>
      </c>
      <c r="B1605" s="207">
        <v>1081</v>
      </c>
      <c r="C1605" s="215" t="s">
        <v>10045</v>
      </c>
      <c r="D1605" s="215" t="s">
        <v>10046</v>
      </c>
      <c r="E1605" s="215" t="s">
        <v>10047</v>
      </c>
      <c r="F1605" s="215" t="s">
        <v>9814</v>
      </c>
      <c r="G1605" s="215" t="s">
        <v>9815</v>
      </c>
      <c r="H1605" s="215" t="s">
        <v>6497</v>
      </c>
      <c r="I1605" s="300"/>
      <c r="J1605" s="300"/>
      <c r="K1605" s="300"/>
      <c r="L1605" s="300"/>
      <c r="M1605" s="300"/>
      <c r="N1605" s="300"/>
      <c r="O1605" s="300"/>
      <c r="P1605" s="300"/>
      <c r="Q1605" s="300"/>
      <c r="R1605" s="300"/>
      <c r="S1605" s="300"/>
      <c r="T1605" s="300"/>
      <c r="U1605" s="300"/>
      <c r="V1605" s="300"/>
      <c r="W1605" s="300"/>
      <c r="X1605" s="300"/>
      <c r="Y1605" s="300"/>
      <c r="Z1605" s="300"/>
    </row>
    <row r="1606" spans="1:26">
      <c r="A1606" s="215" t="s">
        <v>2991</v>
      </c>
      <c r="B1606" s="207">
        <v>1262</v>
      </c>
      <c r="C1606" s="215" t="s">
        <v>10048</v>
      </c>
      <c r="D1606" s="215" t="s">
        <v>10049</v>
      </c>
      <c r="E1606" s="215" t="s">
        <v>10050</v>
      </c>
      <c r="F1606" s="215" t="s">
        <v>9814</v>
      </c>
      <c r="G1606" s="215" t="s">
        <v>9815</v>
      </c>
      <c r="H1606" s="215" t="s">
        <v>6504</v>
      </c>
      <c r="I1606" s="300"/>
      <c r="J1606" s="300"/>
      <c r="K1606" s="300"/>
      <c r="L1606" s="300"/>
      <c r="M1606" s="300"/>
      <c r="N1606" s="300"/>
      <c r="O1606" s="300"/>
      <c r="P1606" s="300"/>
      <c r="Q1606" s="300"/>
      <c r="R1606" s="300"/>
      <c r="S1606" s="300"/>
      <c r="T1606" s="300"/>
      <c r="U1606" s="300"/>
      <c r="V1606" s="300"/>
      <c r="W1606" s="300"/>
      <c r="X1606" s="300"/>
      <c r="Y1606" s="300"/>
      <c r="Z1606" s="300"/>
    </row>
    <row r="1607" spans="1:26">
      <c r="A1607" s="215"/>
      <c r="B1607" s="207">
        <v>1263</v>
      </c>
      <c r="C1607" s="215" t="s">
        <v>10051</v>
      </c>
      <c r="D1607" s="215" t="s">
        <v>10052</v>
      </c>
      <c r="E1607" s="215" t="s">
        <v>10053</v>
      </c>
      <c r="F1607" s="215" t="s">
        <v>9814</v>
      </c>
      <c r="G1607" s="215" t="s">
        <v>9815</v>
      </c>
      <c r="H1607" s="215" t="s">
        <v>6504</v>
      </c>
      <c r="I1607" s="300"/>
      <c r="J1607" s="300"/>
      <c r="K1607" s="300"/>
      <c r="L1607" s="300"/>
      <c r="M1607" s="300"/>
      <c r="N1607" s="300"/>
      <c r="O1607" s="300"/>
      <c r="P1607" s="300"/>
      <c r="Q1607" s="300"/>
      <c r="R1607" s="300"/>
      <c r="S1607" s="300"/>
      <c r="T1607" s="300"/>
      <c r="U1607" s="300"/>
      <c r="V1607" s="300"/>
      <c r="W1607" s="300"/>
      <c r="X1607" s="300"/>
      <c r="Y1607" s="300"/>
      <c r="Z1607" s="300"/>
    </row>
    <row r="1608" spans="1:26">
      <c r="A1608" s="215" t="s">
        <v>2991</v>
      </c>
      <c r="B1608" s="207">
        <v>1264</v>
      </c>
      <c r="C1608" s="215" t="s">
        <v>10054</v>
      </c>
      <c r="D1608" s="215" t="s">
        <v>10055</v>
      </c>
      <c r="E1608" s="215" t="s">
        <v>10056</v>
      </c>
      <c r="F1608" s="215" t="s">
        <v>9814</v>
      </c>
      <c r="G1608" s="215" t="s">
        <v>9815</v>
      </c>
      <c r="H1608" s="215" t="s">
        <v>6504</v>
      </c>
      <c r="I1608" s="300"/>
      <c r="J1608" s="300"/>
      <c r="K1608" s="300"/>
      <c r="L1608" s="300"/>
      <c r="M1608" s="300"/>
      <c r="N1608" s="300"/>
      <c r="O1608" s="300"/>
      <c r="P1608" s="300"/>
      <c r="Q1608" s="300"/>
      <c r="R1608" s="300"/>
      <c r="S1608" s="300"/>
      <c r="T1608" s="300"/>
      <c r="U1608" s="300"/>
      <c r="V1608" s="300"/>
      <c r="W1608" s="300"/>
      <c r="X1608" s="300"/>
      <c r="Y1608" s="300"/>
      <c r="Z1608" s="300"/>
    </row>
    <row r="1609" spans="1:26">
      <c r="A1609" s="215" t="s">
        <v>3289</v>
      </c>
      <c r="B1609" s="207">
        <v>1265</v>
      </c>
      <c r="C1609" s="215" t="s">
        <v>5419</v>
      </c>
      <c r="D1609" s="215" t="s">
        <v>10057</v>
      </c>
      <c r="E1609" s="215" t="s">
        <v>10058</v>
      </c>
      <c r="F1609" s="215" t="s">
        <v>9814</v>
      </c>
      <c r="G1609" s="215" t="s">
        <v>9815</v>
      </c>
      <c r="H1609" s="215" t="s">
        <v>6497</v>
      </c>
      <c r="I1609" s="300"/>
      <c r="J1609" s="300"/>
      <c r="K1609" s="300"/>
      <c r="L1609" s="300"/>
      <c r="M1609" s="300"/>
      <c r="N1609" s="300"/>
      <c r="O1609" s="300"/>
      <c r="P1609" s="300"/>
      <c r="Q1609" s="300"/>
      <c r="R1609" s="300"/>
      <c r="S1609" s="300"/>
      <c r="T1609" s="300"/>
      <c r="U1609" s="300"/>
      <c r="V1609" s="300"/>
      <c r="W1609" s="300"/>
      <c r="X1609" s="300"/>
      <c r="Y1609" s="300"/>
      <c r="Z1609" s="300"/>
    </row>
    <row r="1610" spans="1:26">
      <c r="A1610" s="215"/>
      <c r="B1610" s="207">
        <v>1266</v>
      </c>
      <c r="C1610" s="215" t="s">
        <v>10059</v>
      </c>
      <c r="D1610" s="215" t="s">
        <v>10060</v>
      </c>
      <c r="E1610" s="215" t="s">
        <v>10061</v>
      </c>
      <c r="F1610" s="215" t="s">
        <v>9814</v>
      </c>
      <c r="G1610" s="215" t="s">
        <v>9815</v>
      </c>
      <c r="H1610" s="215" t="s">
        <v>6504</v>
      </c>
      <c r="I1610" s="300"/>
      <c r="J1610" s="300"/>
      <c r="K1610" s="300"/>
      <c r="L1610" s="300"/>
      <c r="M1610" s="300"/>
      <c r="N1610" s="300"/>
      <c r="O1610" s="300"/>
      <c r="P1610" s="300"/>
      <c r="Q1610" s="300"/>
      <c r="R1610" s="300"/>
      <c r="S1610" s="300"/>
      <c r="T1610" s="300"/>
      <c r="U1610" s="300"/>
      <c r="V1610" s="300"/>
      <c r="W1610" s="300"/>
      <c r="X1610" s="300"/>
      <c r="Y1610" s="300"/>
      <c r="Z1610" s="300"/>
    </row>
    <row r="1611" spans="1:26">
      <c r="A1611" s="215" t="s">
        <v>3956</v>
      </c>
      <c r="B1611" s="207">
        <v>1267</v>
      </c>
      <c r="C1611" s="215" t="s">
        <v>10062</v>
      </c>
      <c r="D1611" s="215" t="s">
        <v>10063</v>
      </c>
      <c r="E1611" s="215" t="s">
        <v>10064</v>
      </c>
      <c r="F1611" s="215" t="s">
        <v>9814</v>
      </c>
      <c r="G1611" s="215" t="s">
        <v>9815</v>
      </c>
      <c r="H1611" s="215" t="s">
        <v>6504</v>
      </c>
      <c r="I1611" s="300"/>
      <c r="J1611" s="300"/>
      <c r="K1611" s="300"/>
      <c r="L1611" s="300"/>
      <c r="M1611" s="300"/>
      <c r="N1611" s="300"/>
      <c r="O1611" s="300"/>
      <c r="P1611" s="300"/>
      <c r="Q1611" s="300"/>
      <c r="R1611" s="300"/>
      <c r="S1611" s="300"/>
      <c r="T1611" s="300"/>
      <c r="U1611" s="300"/>
      <c r="V1611" s="300"/>
      <c r="W1611" s="300"/>
      <c r="X1611" s="300"/>
      <c r="Y1611" s="300"/>
      <c r="Z1611" s="300"/>
    </row>
    <row r="1612" spans="1:26">
      <c r="A1612" s="215"/>
      <c r="B1612" s="207">
        <v>1268</v>
      </c>
      <c r="C1612" s="215" t="s">
        <v>10065</v>
      </c>
      <c r="D1612" s="215" t="s">
        <v>10066</v>
      </c>
      <c r="E1612" s="215" t="s">
        <v>10067</v>
      </c>
      <c r="F1612" s="215" t="s">
        <v>9814</v>
      </c>
      <c r="G1612" s="215" t="s">
        <v>9815</v>
      </c>
      <c r="H1612" s="215" t="s">
        <v>6521</v>
      </c>
      <c r="I1612" s="300"/>
      <c r="J1612" s="300"/>
      <c r="K1612" s="300"/>
      <c r="L1612" s="300"/>
      <c r="M1612" s="300"/>
      <c r="N1612" s="300"/>
      <c r="O1612" s="300"/>
      <c r="P1612" s="300"/>
      <c r="Q1612" s="300"/>
      <c r="R1612" s="300"/>
      <c r="S1612" s="300"/>
      <c r="T1612" s="300"/>
      <c r="U1612" s="300"/>
      <c r="V1612" s="300"/>
      <c r="W1612" s="300"/>
      <c r="X1612" s="300"/>
      <c r="Y1612" s="300"/>
      <c r="Z1612" s="300"/>
    </row>
    <row r="1613" spans="1:26">
      <c r="A1613" s="215" t="s">
        <v>3949</v>
      </c>
      <c r="B1613" s="207">
        <v>1269</v>
      </c>
      <c r="C1613" s="215" t="s">
        <v>10068</v>
      </c>
      <c r="D1613" s="215" t="s">
        <v>10069</v>
      </c>
      <c r="E1613" s="215" t="s">
        <v>10070</v>
      </c>
      <c r="F1613" s="215" t="s">
        <v>9814</v>
      </c>
      <c r="G1613" s="215" t="s">
        <v>9815</v>
      </c>
      <c r="H1613" s="215" t="s">
        <v>6521</v>
      </c>
      <c r="I1613" s="300"/>
      <c r="J1613" s="300"/>
      <c r="K1613" s="300"/>
      <c r="L1613" s="300"/>
      <c r="M1613" s="300"/>
      <c r="N1613" s="300"/>
      <c r="O1613" s="300"/>
      <c r="P1613" s="300"/>
      <c r="Q1613" s="300"/>
      <c r="R1613" s="300"/>
      <c r="S1613" s="300"/>
      <c r="T1613" s="300"/>
      <c r="U1613" s="300"/>
      <c r="V1613" s="300"/>
      <c r="W1613" s="300"/>
      <c r="X1613" s="300"/>
      <c r="Y1613" s="300"/>
      <c r="Z1613" s="300"/>
    </row>
    <row r="1614" spans="1:26">
      <c r="A1614" s="215"/>
      <c r="B1614" s="207">
        <v>1270</v>
      </c>
      <c r="C1614" s="215" t="s">
        <v>10071</v>
      </c>
      <c r="D1614" s="215" t="s">
        <v>10072</v>
      </c>
      <c r="E1614" s="215" t="s">
        <v>10073</v>
      </c>
      <c r="F1614" s="215" t="s">
        <v>9814</v>
      </c>
      <c r="G1614" s="215" t="s">
        <v>9815</v>
      </c>
      <c r="H1614" s="215" t="s">
        <v>6521</v>
      </c>
      <c r="I1614" s="300"/>
      <c r="J1614" s="300"/>
      <c r="K1614" s="300"/>
      <c r="L1614" s="300"/>
      <c r="M1614" s="300"/>
      <c r="N1614" s="300"/>
      <c r="O1614" s="300"/>
      <c r="P1614" s="300"/>
      <c r="Q1614" s="300"/>
      <c r="R1614" s="300"/>
      <c r="S1614" s="300"/>
      <c r="T1614" s="300"/>
      <c r="U1614" s="300"/>
      <c r="V1614" s="300"/>
      <c r="W1614" s="300"/>
      <c r="X1614" s="300"/>
      <c r="Y1614" s="300"/>
      <c r="Z1614" s="300"/>
    </row>
    <row r="1615" spans="1:26">
      <c r="A1615" s="215" t="s">
        <v>3576</v>
      </c>
      <c r="B1615" s="207">
        <v>1271</v>
      </c>
      <c r="C1615" s="215" t="s">
        <v>10074</v>
      </c>
      <c r="D1615" s="215" t="s">
        <v>10075</v>
      </c>
      <c r="E1615" s="215" t="s">
        <v>10076</v>
      </c>
      <c r="F1615" s="215" t="s">
        <v>9814</v>
      </c>
      <c r="G1615" s="215" t="s">
        <v>9815</v>
      </c>
      <c r="H1615" s="215" t="s">
        <v>6521</v>
      </c>
      <c r="I1615" s="300"/>
      <c r="J1615" s="300"/>
      <c r="K1615" s="300"/>
      <c r="L1615" s="300"/>
      <c r="M1615" s="300"/>
      <c r="N1615" s="300"/>
      <c r="O1615" s="300"/>
      <c r="P1615" s="300"/>
      <c r="Q1615" s="300"/>
      <c r="R1615" s="300"/>
      <c r="S1615" s="300"/>
      <c r="T1615" s="300"/>
      <c r="U1615" s="300"/>
      <c r="V1615" s="300"/>
      <c r="W1615" s="300"/>
      <c r="X1615" s="300"/>
      <c r="Y1615" s="300"/>
      <c r="Z1615" s="300"/>
    </row>
    <row r="1616" spans="1:26">
      <c r="A1616" s="215" t="s">
        <v>4404</v>
      </c>
      <c r="B1616" s="207">
        <v>1272</v>
      </c>
      <c r="C1616" s="215" t="s">
        <v>10077</v>
      </c>
      <c r="D1616" s="215" t="s">
        <v>10078</v>
      </c>
      <c r="E1616" s="215" t="s">
        <v>10079</v>
      </c>
      <c r="F1616" s="215" t="s">
        <v>9814</v>
      </c>
      <c r="G1616" s="215" t="s">
        <v>9815</v>
      </c>
      <c r="H1616" s="215" t="s">
        <v>6521</v>
      </c>
      <c r="I1616" s="300"/>
      <c r="J1616" s="300"/>
      <c r="K1616" s="300"/>
      <c r="L1616" s="300"/>
      <c r="M1616" s="300"/>
      <c r="N1616" s="300"/>
      <c r="O1616" s="300"/>
      <c r="P1616" s="300"/>
      <c r="Q1616" s="300"/>
      <c r="R1616" s="300"/>
      <c r="S1616" s="300"/>
      <c r="T1616" s="300"/>
      <c r="U1616" s="300"/>
      <c r="V1616" s="300"/>
      <c r="W1616" s="300"/>
      <c r="X1616" s="300"/>
      <c r="Y1616" s="300"/>
      <c r="Z1616" s="300"/>
    </row>
    <row r="1617" spans="1:26">
      <c r="A1617" s="215"/>
      <c r="B1617" s="207">
        <v>1273</v>
      </c>
      <c r="C1617" s="215" t="s">
        <v>10080</v>
      </c>
      <c r="D1617" s="215" t="s">
        <v>10081</v>
      </c>
      <c r="E1617" s="215" t="s">
        <v>10082</v>
      </c>
      <c r="F1617" s="215" t="s">
        <v>9814</v>
      </c>
      <c r="G1617" s="215" t="s">
        <v>9815</v>
      </c>
      <c r="H1617" s="215" t="s">
        <v>6521</v>
      </c>
      <c r="I1617" s="300"/>
      <c r="J1617" s="300"/>
      <c r="K1617" s="300"/>
      <c r="L1617" s="300"/>
      <c r="M1617" s="300"/>
      <c r="N1617" s="300"/>
      <c r="O1617" s="300"/>
      <c r="P1617" s="300"/>
      <c r="Q1617" s="300"/>
      <c r="R1617" s="300"/>
      <c r="S1617" s="300"/>
      <c r="T1617" s="300"/>
      <c r="U1617" s="300"/>
      <c r="V1617" s="300"/>
      <c r="W1617" s="300"/>
      <c r="X1617" s="300"/>
      <c r="Y1617" s="300"/>
      <c r="Z1617" s="300"/>
    </row>
    <row r="1618" spans="1:26">
      <c r="A1618" s="215" t="s">
        <v>3719</v>
      </c>
      <c r="B1618" s="207">
        <v>1274</v>
      </c>
      <c r="C1618" s="215" t="s">
        <v>10083</v>
      </c>
      <c r="D1618" s="215" t="s">
        <v>10084</v>
      </c>
      <c r="E1618" s="215" t="s">
        <v>10085</v>
      </c>
      <c r="F1618" s="215" t="s">
        <v>9814</v>
      </c>
      <c r="G1618" s="215" t="s">
        <v>9815</v>
      </c>
      <c r="H1618" s="215" t="s">
        <v>6521</v>
      </c>
      <c r="I1618" s="300"/>
      <c r="J1618" s="300"/>
      <c r="K1618" s="300"/>
      <c r="L1618" s="300"/>
      <c r="M1618" s="300"/>
      <c r="N1618" s="300"/>
      <c r="O1618" s="300"/>
      <c r="P1618" s="300"/>
      <c r="Q1618" s="300"/>
      <c r="R1618" s="300"/>
      <c r="S1618" s="300"/>
      <c r="T1618" s="300"/>
      <c r="U1618" s="300"/>
      <c r="V1618" s="300"/>
      <c r="W1618" s="300"/>
      <c r="X1618" s="300"/>
      <c r="Y1618" s="300"/>
      <c r="Z1618" s="300"/>
    </row>
    <row r="1619" spans="1:26">
      <c r="A1619" s="215" t="s">
        <v>3581</v>
      </c>
      <c r="B1619" s="207">
        <v>1277</v>
      </c>
      <c r="C1619" s="215" t="s">
        <v>5684</v>
      </c>
      <c r="D1619" s="215" t="s">
        <v>10086</v>
      </c>
      <c r="E1619" s="215" t="s">
        <v>10087</v>
      </c>
      <c r="F1619" s="215" t="s">
        <v>9814</v>
      </c>
      <c r="G1619" s="215" t="s">
        <v>9815</v>
      </c>
      <c r="H1619" s="215" t="s">
        <v>6521</v>
      </c>
      <c r="I1619" s="300"/>
      <c r="J1619" s="300"/>
      <c r="K1619" s="300"/>
      <c r="L1619" s="300"/>
      <c r="M1619" s="300"/>
      <c r="N1619" s="300"/>
      <c r="O1619" s="300"/>
      <c r="P1619" s="300"/>
      <c r="Q1619" s="300"/>
      <c r="R1619" s="300"/>
      <c r="S1619" s="300"/>
      <c r="T1619" s="300"/>
      <c r="U1619" s="300"/>
      <c r="V1619" s="300"/>
      <c r="W1619" s="300"/>
      <c r="X1619" s="300"/>
      <c r="Y1619" s="300"/>
      <c r="Z1619" s="300"/>
    </row>
    <row r="1620" spans="1:26">
      <c r="A1620" s="215" t="s">
        <v>3578</v>
      </c>
      <c r="B1620" s="207">
        <v>1278</v>
      </c>
      <c r="C1620" s="215" t="s">
        <v>5682</v>
      </c>
      <c r="D1620" s="215" t="s">
        <v>10088</v>
      </c>
      <c r="E1620" s="215" t="s">
        <v>10089</v>
      </c>
      <c r="F1620" s="215" t="s">
        <v>9814</v>
      </c>
      <c r="G1620" s="215" t="s">
        <v>9815</v>
      </c>
      <c r="H1620" s="215" t="s">
        <v>6521</v>
      </c>
      <c r="I1620" s="300"/>
      <c r="J1620" s="300"/>
      <c r="K1620" s="300"/>
      <c r="L1620" s="300"/>
      <c r="M1620" s="300"/>
      <c r="N1620" s="300"/>
      <c r="O1620" s="300"/>
      <c r="P1620" s="300"/>
      <c r="Q1620" s="300"/>
      <c r="R1620" s="300"/>
      <c r="S1620" s="300"/>
      <c r="T1620" s="300"/>
      <c r="U1620" s="300"/>
      <c r="V1620" s="300"/>
      <c r="W1620" s="300"/>
      <c r="X1620" s="300"/>
      <c r="Y1620" s="300"/>
      <c r="Z1620" s="300"/>
    </row>
    <row r="1621" spans="1:26">
      <c r="A1621" s="215" t="s">
        <v>4401</v>
      </c>
      <c r="B1621" s="207">
        <v>1279</v>
      </c>
      <c r="C1621" s="215" t="s">
        <v>10090</v>
      </c>
      <c r="D1621" s="215" t="s">
        <v>10091</v>
      </c>
      <c r="E1621" s="215" t="s">
        <v>10092</v>
      </c>
      <c r="F1621" s="215" t="s">
        <v>9814</v>
      </c>
      <c r="G1621" s="215" t="s">
        <v>9815</v>
      </c>
      <c r="H1621" s="215" t="s">
        <v>6521</v>
      </c>
      <c r="I1621" s="300"/>
      <c r="J1621" s="300"/>
      <c r="K1621" s="300"/>
      <c r="L1621" s="300"/>
      <c r="M1621" s="300"/>
      <c r="N1621" s="300"/>
      <c r="O1621" s="300"/>
      <c r="P1621" s="300"/>
      <c r="Q1621" s="300"/>
      <c r="R1621" s="300"/>
      <c r="S1621" s="300"/>
      <c r="T1621" s="300"/>
      <c r="U1621" s="300"/>
      <c r="V1621" s="300"/>
      <c r="W1621" s="300"/>
      <c r="X1621" s="300"/>
      <c r="Y1621" s="300"/>
      <c r="Z1621" s="300"/>
    </row>
    <row r="1622" spans="1:26">
      <c r="A1622" s="215"/>
      <c r="B1622" s="207">
        <v>1280</v>
      </c>
      <c r="C1622" s="215" t="s">
        <v>10093</v>
      </c>
      <c r="D1622" s="215" t="s">
        <v>10094</v>
      </c>
      <c r="E1622" s="215" t="s">
        <v>10095</v>
      </c>
      <c r="F1622" s="215" t="s">
        <v>9814</v>
      </c>
      <c r="G1622" s="215" t="s">
        <v>9815</v>
      </c>
      <c r="H1622" s="215" t="s">
        <v>6521</v>
      </c>
      <c r="I1622" s="300"/>
      <c r="J1622" s="300"/>
      <c r="K1622" s="300"/>
      <c r="L1622" s="300"/>
      <c r="M1622" s="300"/>
      <c r="N1622" s="300"/>
      <c r="O1622" s="300"/>
      <c r="P1622" s="300"/>
      <c r="Q1622" s="300"/>
      <c r="R1622" s="300"/>
      <c r="S1622" s="300"/>
      <c r="T1622" s="300"/>
      <c r="U1622" s="300"/>
      <c r="V1622" s="300"/>
      <c r="W1622" s="300"/>
      <c r="X1622" s="300"/>
      <c r="Y1622" s="300"/>
      <c r="Z1622" s="300"/>
    </row>
    <row r="1623" spans="1:26">
      <c r="A1623" s="215"/>
      <c r="B1623" s="207">
        <v>1281</v>
      </c>
      <c r="C1623" s="215" t="s">
        <v>10096</v>
      </c>
      <c r="D1623" s="215" t="s">
        <v>10097</v>
      </c>
      <c r="E1623" s="215" t="s">
        <v>10098</v>
      </c>
      <c r="F1623" s="215" t="s">
        <v>9814</v>
      </c>
      <c r="G1623" s="215" t="s">
        <v>9815</v>
      </c>
      <c r="H1623" s="215" t="s">
        <v>6521</v>
      </c>
      <c r="I1623" s="300"/>
      <c r="J1623" s="300"/>
      <c r="K1623" s="300"/>
      <c r="L1623" s="300"/>
      <c r="M1623" s="300"/>
      <c r="N1623" s="300"/>
      <c r="O1623" s="300"/>
      <c r="P1623" s="300"/>
      <c r="Q1623" s="300"/>
      <c r="R1623" s="300"/>
      <c r="S1623" s="300"/>
      <c r="T1623" s="300"/>
      <c r="U1623" s="300"/>
      <c r="V1623" s="300"/>
      <c r="W1623" s="300"/>
      <c r="X1623" s="300"/>
      <c r="Y1623" s="300"/>
      <c r="Z1623" s="300"/>
    </row>
    <row r="1624" spans="1:26">
      <c r="A1624" s="215"/>
      <c r="B1624" s="207">
        <v>1282</v>
      </c>
      <c r="C1624" s="215" t="s">
        <v>10099</v>
      </c>
      <c r="D1624" s="215" t="s">
        <v>10100</v>
      </c>
      <c r="E1624" s="215" t="s">
        <v>10101</v>
      </c>
      <c r="F1624" s="215" t="s">
        <v>9814</v>
      </c>
      <c r="G1624" s="215" t="s">
        <v>9815</v>
      </c>
      <c r="H1624" s="215" t="s">
        <v>6521</v>
      </c>
      <c r="I1624" s="300"/>
      <c r="J1624" s="300"/>
      <c r="K1624" s="300"/>
      <c r="L1624" s="300"/>
      <c r="M1624" s="300"/>
      <c r="N1624" s="300"/>
      <c r="O1624" s="300"/>
      <c r="P1624" s="300"/>
      <c r="Q1624" s="300"/>
      <c r="R1624" s="300"/>
      <c r="S1624" s="300"/>
      <c r="T1624" s="300"/>
      <c r="U1624" s="300"/>
      <c r="V1624" s="300"/>
      <c r="W1624" s="300"/>
      <c r="X1624" s="300"/>
      <c r="Y1624" s="300"/>
      <c r="Z1624" s="300"/>
    </row>
    <row r="1625" spans="1:26">
      <c r="A1625" s="215"/>
      <c r="B1625" s="207">
        <v>1283</v>
      </c>
      <c r="C1625" s="215" t="s">
        <v>10102</v>
      </c>
      <c r="D1625" s="215" t="s">
        <v>10103</v>
      </c>
      <c r="E1625" s="215" t="s">
        <v>10104</v>
      </c>
      <c r="F1625" s="215" t="s">
        <v>9814</v>
      </c>
      <c r="G1625" s="215" t="s">
        <v>9815</v>
      </c>
      <c r="H1625" s="215" t="s">
        <v>6521</v>
      </c>
      <c r="I1625" s="300"/>
      <c r="J1625" s="300"/>
      <c r="K1625" s="300"/>
      <c r="L1625" s="300"/>
      <c r="M1625" s="300"/>
      <c r="N1625" s="300"/>
      <c r="O1625" s="300"/>
      <c r="P1625" s="300"/>
      <c r="Q1625" s="300"/>
      <c r="R1625" s="300"/>
      <c r="S1625" s="300"/>
      <c r="T1625" s="300"/>
      <c r="U1625" s="300"/>
      <c r="V1625" s="300"/>
      <c r="W1625" s="300"/>
      <c r="X1625" s="300"/>
      <c r="Y1625" s="300"/>
      <c r="Z1625" s="300"/>
    </row>
    <row r="1626" spans="1:26">
      <c r="A1626" s="215" t="s">
        <v>3580</v>
      </c>
      <c r="B1626" s="207">
        <v>1284</v>
      </c>
      <c r="C1626" s="215" t="s">
        <v>10105</v>
      </c>
      <c r="D1626" s="215" t="s">
        <v>10106</v>
      </c>
      <c r="E1626" s="215" t="s">
        <v>10107</v>
      </c>
      <c r="F1626" s="215" t="s">
        <v>9814</v>
      </c>
      <c r="G1626" s="215" t="s">
        <v>9815</v>
      </c>
      <c r="H1626" s="215" t="s">
        <v>6500</v>
      </c>
      <c r="I1626" s="300"/>
      <c r="J1626" s="300"/>
      <c r="K1626" s="300"/>
      <c r="L1626" s="300"/>
      <c r="M1626" s="300"/>
      <c r="N1626" s="300"/>
      <c r="O1626" s="300"/>
      <c r="P1626" s="300"/>
      <c r="Q1626" s="300"/>
      <c r="R1626" s="300"/>
      <c r="S1626" s="300"/>
      <c r="T1626" s="300"/>
      <c r="U1626" s="300"/>
      <c r="V1626" s="300"/>
      <c r="W1626" s="300"/>
      <c r="X1626" s="300"/>
      <c r="Y1626" s="300"/>
      <c r="Z1626" s="300"/>
    </row>
    <row r="1627" spans="1:26">
      <c r="A1627" s="215" t="s">
        <v>4403</v>
      </c>
      <c r="B1627" s="207">
        <v>1285</v>
      </c>
      <c r="C1627" s="215" t="s">
        <v>10108</v>
      </c>
      <c r="D1627" s="215" t="s">
        <v>10109</v>
      </c>
      <c r="E1627" s="215" t="s">
        <v>10110</v>
      </c>
      <c r="F1627" s="215" t="s">
        <v>9814</v>
      </c>
      <c r="G1627" s="215" t="s">
        <v>9815</v>
      </c>
      <c r="H1627" s="215" t="s">
        <v>6521</v>
      </c>
      <c r="I1627" s="300"/>
      <c r="J1627" s="300"/>
      <c r="K1627" s="300"/>
      <c r="L1627" s="300"/>
      <c r="M1627" s="300"/>
      <c r="N1627" s="300"/>
      <c r="O1627" s="300"/>
      <c r="P1627" s="300"/>
      <c r="Q1627" s="300"/>
      <c r="R1627" s="300"/>
      <c r="S1627" s="300"/>
      <c r="T1627" s="300"/>
      <c r="U1627" s="300"/>
      <c r="V1627" s="300"/>
      <c r="W1627" s="300"/>
      <c r="X1627" s="300"/>
      <c r="Y1627" s="300"/>
      <c r="Z1627" s="300"/>
    </row>
    <row r="1628" spans="1:26">
      <c r="A1628" s="215" t="s">
        <v>4404</v>
      </c>
      <c r="B1628" s="207">
        <v>1286</v>
      </c>
      <c r="C1628" s="215" t="s">
        <v>10111</v>
      </c>
      <c r="D1628" s="215" t="s">
        <v>10112</v>
      </c>
      <c r="E1628" s="215" t="s">
        <v>10113</v>
      </c>
      <c r="F1628" s="215" t="s">
        <v>9814</v>
      </c>
      <c r="G1628" s="215" t="s">
        <v>9815</v>
      </c>
      <c r="H1628" s="215" t="s">
        <v>6521</v>
      </c>
      <c r="I1628" s="300"/>
      <c r="J1628" s="300"/>
      <c r="K1628" s="300"/>
      <c r="L1628" s="300"/>
      <c r="M1628" s="300"/>
      <c r="N1628" s="300"/>
      <c r="O1628" s="300"/>
      <c r="P1628" s="300"/>
      <c r="Q1628" s="300"/>
      <c r="R1628" s="300"/>
      <c r="S1628" s="300"/>
      <c r="T1628" s="300"/>
      <c r="U1628" s="300"/>
      <c r="V1628" s="300"/>
      <c r="W1628" s="300"/>
      <c r="X1628" s="300"/>
      <c r="Y1628" s="300"/>
      <c r="Z1628" s="300"/>
    </row>
    <row r="1629" spans="1:26">
      <c r="A1629" s="215" t="s">
        <v>3576</v>
      </c>
      <c r="B1629" s="207">
        <v>1287</v>
      </c>
      <c r="C1629" s="215" t="s">
        <v>10114</v>
      </c>
      <c r="D1629" s="215" t="s">
        <v>10115</v>
      </c>
      <c r="E1629" s="215" t="s">
        <v>10116</v>
      </c>
      <c r="F1629" s="215" t="s">
        <v>9814</v>
      </c>
      <c r="G1629" s="215" t="s">
        <v>9815</v>
      </c>
      <c r="H1629" s="215" t="s">
        <v>6521</v>
      </c>
      <c r="I1629" s="300"/>
      <c r="J1629" s="300"/>
      <c r="K1629" s="300"/>
      <c r="L1629" s="300"/>
      <c r="M1629" s="300"/>
      <c r="N1629" s="300"/>
      <c r="O1629" s="300"/>
      <c r="P1629" s="300"/>
      <c r="Q1629" s="300"/>
      <c r="R1629" s="300"/>
      <c r="S1629" s="300"/>
      <c r="T1629" s="300"/>
      <c r="U1629" s="300"/>
      <c r="V1629" s="300"/>
      <c r="W1629" s="300"/>
      <c r="X1629" s="300"/>
      <c r="Y1629" s="300"/>
      <c r="Z1629" s="300"/>
    </row>
    <row r="1630" spans="1:26">
      <c r="A1630" s="215" t="s">
        <v>3503</v>
      </c>
      <c r="B1630" s="207">
        <v>1355</v>
      </c>
      <c r="C1630" s="215" t="s">
        <v>5610</v>
      </c>
      <c r="D1630" s="215" t="s">
        <v>10117</v>
      </c>
      <c r="E1630" s="215" t="s">
        <v>10118</v>
      </c>
      <c r="F1630" s="215" t="s">
        <v>9814</v>
      </c>
      <c r="G1630" s="215" t="s">
        <v>9815</v>
      </c>
      <c r="H1630" s="215" t="s">
        <v>6497</v>
      </c>
      <c r="I1630" s="300"/>
      <c r="J1630" s="300"/>
      <c r="K1630" s="300"/>
      <c r="L1630" s="300"/>
      <c r="M1630" s="300"/>
      <c r="N1630" s="300"/>
      <c r="O1630" s="300"/>
      <c r="P1630" s="300"/>
      <c r="Q1630" s="300"/>
      <c r="R1630" s="300"/>
      <c r="S1630" s="300"/>
      <c r="T1630" s="300"/>
      <c r="U1630" s="300"/>
      <c r="V1630" s="300"/>
      <c r="W1630" s="300"/>
      <c r="X1630" s="300"/>
      <c r="Y1630" s="300"/>
      <c r="Z1630" s="300"/>
    </row>
    <row r="1631" spans="1:26">
      <c r="A1631" s="215" t="s">
        <v>2943</v>
      </c>
      <c r="B1631" s="207">
        <v>1356</v>
      </c>
      <c r="C1631" s="215" t="s">
        <v>10119</v>
      </c>
      <c r="D1631" s="215" t="s">
        <v>10120</v>
      </c>
      <c r="E1631" s="215" t="s">
        <v>10121</v>
      </c>
      <c r="F1631" s="215" t="s">
        <v>9814</v>
      </c>
      <c r="G1631" s="215" t="s">
        <v>9815</v>
      </c>
      <c r="H1631" s="215" t="s">
        <v>6504</v>
      </c>
      <c r="I1631" s="300"/>
      <c r="J1631" s="300"/>
      <c r="K1631" s="300"/>
      <c r="L1631" s="300"/>
      <c r="M1631" s="300"/>
      <c r="N1631" s="300"/>
      <c r="O1631" s="300"/>
      <c r="P1631" s="300"/>
      <c r="Q1631" s="300"/>
      <c r="R1631" s="300"/>
      <c r="S1631" s="300"/>
      <c r="T1631" s="300"/>
      <c r="U1631" s="300"/>
      <c r="V1631" s="300"/>
      <c r="W1631" s="300"/>
      <c r="X1631" s="300"/>
      <c r="Y1631" s="300"/>
      <c r="Z1631" s="300"/>
    </row>
    <row r="1632" spans="1:26">
      <c r="A1632" s="215" t="s">
        <v>3425</v>
      </c>
      <c r="B1632" s="207">
        <v>1357</v>
      </c>
      <c r="C1632" s="215" t="s">
        <v>10122</v>
      </c>
      <c r="D1632" s="215" t="s">
        <v>10123</v>
      </c>
      <c r="E1632" s="215" t="s">
        <v>10124</v>
      </c>
      <c r="F1632" s="215" t="s">
        <v>9814</v>
      </c>
      <c r="G1632" s="215" t="s">
        <v>9815</v>
      </c>
      <c r="H1632" s="215" t="s">
        <v>6521</v>
      </c>
      <c r="I1632" s="300"/>
      <c r="J1632" s="300"/>
      <c r="K1632" s="300"/>
      <c r="L1632" s="300"/>
      <c r="M1632" s="300"/>
      <c r="N1632" s="300"/>
      <c r="O1632" s="300"/>
      <c r="P1632" s="300"/>
      <c r="Q1632" s="300"/>
      <c r="R1632" s="300"/>
      <c r="S1632" s="300"/>
      <c r="T1632" s="300"/>
      <c r="U1632" s="300"/>
      <c r="V1632" s="300"/>
      <c r="W1632" s="300"/>
      <c r="X1632" s="300"/>
      <c r="Y1632" s="300"/>
      <c r="Z1632" s="300"/>
    </row>
    <row r="1633" spans="1:26">
      <c r="A1633" s="215" t="s">
        <v>3612</v>
      </c>
      <c r="B1633" s="207">
        <v>1358</v>
      </c>
      <c r="C1633" s="215" t="s">
        <v>10125</v>
      </c>
      <c r="D1633" s="215" t="s">
        <v>10126</v>
      </c>
      <c r="E1633" s="215" t="s">
        <v>10127</v>
      </c>
      <c r="F1633" s="215" t="s">
        <v>9814</v>
      </c>
      <c r="G1633" s="215" t="s">
        <v>9815</v>
      </c>
      <c r="H1633" s="215" t="s">
        <v>6497</v>
      </c>
      <c r="I1633" s="300"/>
      <c r="J1633" s="300"/>
      <c r="K1633" s="300"/>
      <c r="L1633" s="300"/>
      <c r="M1633" s="300"/>
      <c r="N1633" s="300"/>
      <c r="O1633" s="300"/>
      <c r="P1633" s="300"/>
      <c r="Q1633" s="300"/>
      <c r="R1633" s="300"/>
      <c r="S1633" s="300"/>
      <c r="T1633" s="300"/>
      <c r="U1633" s="300"/>
      <c r="V1633" s="300"/>
      <c r="W1633" s="300"/>
      <c r="X1633" s="300"/>
      <c r="Y1633" s="300"/>
      <c r="Z1633" s="300"/>
    </row>
    <row r="1634" spans="1:26">
      <c r="A1634" s="215"/>
      <c r="B1634" s="207">
        <v>1359</v>
      </c>
      <c r="C1634" s="215" t="s">
        <v>10128</v>
      </c>
      <c r="D1634" s="215" t="s">
        <v>10129</v>
      </c>
      <c r="E1634" s="215" t="s">
        <v>10130</v>
      </c>
      <c r="F1634" s="215" t="s">
        <v>9814</v>
      </c>
      <c r="G1634" s="215" t="s">
        <v>9815</v>
      </c>
      <c r="H1634" s="215" t="s">
        <v>6497</v>
      </c>
      <c r="I1634" s="300"/>
      <c r="J1634" s="300"/>
      <c r="K1634" s="300"/>
      <c r="L1634" s="300"/>
      <c r="M1634" s="300"/>
      <c r="N1634" s="300"/>
      <c r="O1634" s="300"/>
      <c r="P1634" s="300"/>
      <c r="Q1634" s="300"/>
      <c r="R1634" s="300"/>
      <c r="S1634" s="300"/>
      <c r="T1634" s="300"/>
      <c r="U1634" s="300"/>
      <c r="V1634" s="300"/>
      <c r="W1634" s="300"/>
      <c r="X1634" s="300"/>
      <c r="Y1634" s="300"/>
      <c r="Z1634" s="300"/>
    </row>
    <row r="1635" spans="1:26">
      <c r="A1635" s="215" t="s">
        <v>8788</v>
      </c>
      <c r="B1635" s="207">
        <v>1360</v>
      </c>
      <c r="C1635" s="215" t="s">
        <v>10131</v>
      </c>
      <c r="D1635" s="215" t="s">
        <v>10132</v>
      </c>
      <c r="E1635" s="215" t="s">
        <v>10133</v>
      </c>
      <c r="F1635" s="215" t="s">
        <v>9814</v>
      </c>
      <c r="G1635" s="215" t="s">
        <v>9815</v>
      </c>
      <c r="H1635" s="215" t="s">
        <v>6497</v>
      </c>
      <c r="I1635" s="300"/>
      <c r="J1635" s="300"/>
      <c r="K1635" s="300"/>
      <c r="L1635" s="300"/>
      <c r="M1635" s="300"/>
      <c r="N1635" s="300"/>
      <c r="O1635" s="300"/>
      <c r="P1635" s="300"/>
      <c r="Q1635" s="300"/>
      <c r="R1635" s="300"/>
      <c r="S1635" s="300"/>
      <c r="T1635" s="300"/>
      <c r="U1635" s="300"/>
      <c r="V1635" s="300"/>
      <c r="W1635" s="300"/>
      <c r="X1635" s="300"/>
      <c r="Y1635" s="300"/>
      <c r="Z1635" s="300"/>
    </row>
    <row r="1636" spans="1:26">
      <c r="A1636" s="215" t="s">
        <v>3981</v>
      </c>
      <c r="B1636" s="207">
        <v>1366</v>
      </c>
      <c r="C1636" s="215" t="s">
        <v>10134</v>
      </c>
      <c r="D1636" s="215" t="s">
        <v>10135</v>
      </c>
      <c r="E1636" s="215" t="s">
        <v>10136</v>
      </c>
      <c r="F1636" s="215" t="s">
        <v>9814</v>
      </c>
      <c r="G1636" s="215" t="s">
        <v>9815</v>
      </c>
      <c r="H1636" s="215" t="s">
        <v>6500</v>
      </c>
      <c r="I1636" s="300"/>
      <c r="J1636" s="300"/>
      <c r="K1636" s="300"/>
      <c r="L1636" s="300"/>
      <c r="M1636" s="300"/>
      <c r="N1636" s="300"/>
      <c r="O1636" s="300"/>
      <c r="P1636" s="300"/>
      <c r="Q1636" s="300"/>
      <c r="R1636" s="300"/>
      <c r="S1636" s="300"/>
      <c r="T1636" s="300"/>
      <c r="U1636" s="300"/>
      <c r="V1636" s="300"/>
      <c r="W1636" s="300"/>
      <c r="X1636" s="300"/>
      <c r="Y1636" s="300"/>
      <c r="Z1636" s="300"/>
    </row>
    <row r="1637" spans="1:26">
      <c r="A1637" s="215"/>
      <c r="B1637" s="207">
        <v>1367</v>
      </c>
      <c r="C1637" s="215" t="s">
        <v>10137</v>
      </c>
      <c r="D1637" s="215" t="s">
        <v>10138</v>
      </c>
      <c r="E1637" s="215" t="s">
        <v>10139</v>
      </c>
      <c r="F1637" s="215" t="s">
        <v>9814</v>
      </c>
      <c r="G1637" s="215" t="s">
        <v>9815</v>
      </c>
      <c r="H1637" s="215" t="s">
        <v>6497</v>
      </c>
      <c r="I1637" s="300"/>
      <c r="J1637" s="300"/>
      <c r="K1637" s="300"/>
      <c r="L1637" s="300"/>
      <c r="M1637" s="300"/>
      <c r="N1637" s="300"/>
      <c r="O1637" s="300"/>
      <c r="P1637" s="300"/>
      <c r="Q1637" s="300"/>
      <c r="R1637" s="300"/>
      <c r="S1637" s="300"/>
      <c r="T1637" s="300"/>
      <c r="U1637" s="300"/>
      <c r="V1637" s="300"/>
      <c r="W1637" s="300"/>
      <c r="X1637" s="300"/>
      <c r="Y1637" s="300"/>
      <c r="Z1637" s="300"/>
    </row>
    <row r="1638" spans="1:26">
      <c r="A1638" s="215" t="s">
        <v>4321</v>
      </c>
      <c r="B1638" s="207">
        <v>1368</v>
      </c>
      <c r="C1638" s="215" t="s">
        <v>6277</v>
      </c>
      <c r="D1638" s="215" t="s">
        <v>10140</v>
      </c>
      <c r="E1638" s="215" t="s">
        <v>10141</v>
      </c>
      <c r="F1638" s="215" t="s">
        <v>9814</v>
      </c>
      <c r="G1638" s="215" t="s">
        <v>9815</v>
      </c>
      <c r="H1638" s="215" t="s">
        <v>6504</v>
      </c>
      <c r="I1638" s="300"/>
      <c r="J1638" s="300"/>
      <c r="K1638" s="300"/>
      <c r="L1638" s="300"/>
      <c r="M1638" s="300"/>
      <c r="N1638" s="300"/>
      <c r="O1638" s="300"/>
      <c r="P1638" s="300"/>
      <c r="Q1638" s="300"/>
      <c r="R1638" s="300"/>
      <c r="S1638" s="300"/>
      <c r="T1638" s="300"/>
      <c r="U1638" s="300"/>
      <c r="V1638" s="300"/>
      <c r="W1638" s="300"/>
      <c r="X1638" s="300"/>
      <c r="Y1638" s="300"/>
      <c r="Z1638" s="300"/>
    </row>
    <row r="1639" spans="1:26">
      <c r="A1639" s="215"/>
      <c r="B1639" s="207">
        <v>1369</v>
      </c>
      <c r="C1639" s="215" t="s">
        <v>10142</v>
      </c>
      <c r="D1639" s="215" t="s">
        <v>10143</v>
      </c>
      <c r="E1639" s="215" t="s">
        <v>10144</v>
      </c>
      <c r="F1639" s="215" t="s">
        <v>9814</v>
      </c>
      <c r="G1639" s="215" t="s">
        <v>9815</v>
      </c>
      <c r="H1639" s="215" t="s">
        <v>6504</v>
      </c>
      <c r="I1639" s="300"/>
      <c r="J1639" s="300"/>
      <c r="K1639" s="300"/>
      <c r="L1639" s="300"/>
      <c r="M1639" s="300"/>
      <c r="N1639" s="300"/>
      <c r="O1639" s="300"/>
      <c r="P1639" s="300"/>
      <c r="Q1639" s="300"/>
      <c r="R1639" s="300"/>
      <c r="S1639" s="300"/>
      <c r="T1639" s="300"/>
      <c r="U1639" s="300"/>
      <c r="V1639" s="300"/>
      <c r="W1639" s="300"/>
      <c r="X1639" s="300"/>
      <c r="Y1639" s="300"/>
      <c r="Z1639" s="300"/>
    </row>
    <row r="1640" spans="1:26">
      <c r="A1640" s="215"/>
      <c r="B1640" s="207">
        <v>1370</v>
      </c>
      <c r="C1640" s="215" t="s">
        <v>10145</v>
      </c>
      <c r="D1640" s="215" t="s">
        <v>10146</v>
      </c>
      <c r="E1640" s="215" t="s">
        <v>10147</v>
      </c>
      <c r="F1640" s="215" t="s">
        <v>9814</v>
      </c>
      <c r="G1640" s="215" t="s">
        <v>9815</v>
      </c>
      <c r="H1640" s="215" t="s">
        <v>6497</v>
      </c>
      <c r="I1640" s="300"/>
      <c r="J1640" s="300"/>
      <c r="K1640" s="300"/>
      <c r="L1640" s="300"/>
      <c r="M1640" s="300"/>
      <c r="N1640" s="300"/>
      <c r="O1640" s="300"/>
      <c r="P1640" s="300"/>
      <c r="Q1640" s="300"/>
      <c r="R1640" s="300"/>
      <c r="S1640" s="300"/>
      <c r="T1640" s="300"/>
      <c r="U1640" s="300"/>
      <c r="V1640" s="300"/>
      <c r="W1640" s="300"/>
      <c r="X1640" s="300"/>
      <c r="Y1640" s="300"/>
      <c r="Z1640" s="300"/>
    </row>
    <row r="1641" spans="1:26">
      <c r="A1641" s="215"/>
      <c r="B1641" s="207">
        <v>1371</v>
      </c>
      <c r="C1641" s="215" t="s">
        <v>10148</v>
      </c>
      <c r="D1641" s="215" t="s">
        <v>10149</v>
      </c>
      <c r="E1641" s="215" t="s">
        <v>10150</v>
      </c>
      <c r="F1641" s="215" t="s">
        <v>9814</v>
      </c>
      <c r="G1641" s="215" t="s">
        <v>9815</v>
      </c>
      <c r="H1641" s="215" t="s">
        <v>6497</v>
      </c>
      <c r="I1641" s="300"/>
      <c r="J1641" s="300"/>
      <c r="K1641" s="300"/>
      <c r="L1641" s="300"/>
      <c r="M1641" s="300"/>
      <c r="N1641" s="300"/>
      <c r="O1641" s="300"/>
      <c r="P1641" s="300"/>
      <c r="Q1641" s="300"/>
      <c r="R1641" s="300"/>
      <c r="S1641" s="300"/>
      <c r="T1641" s="300"/>
      <c r="U1641" s="300"/>
      <c r="V1641" s="300"/>
      <c r="W1641" s="300"/>
      <c r="X1641" s="300"/>
      <c r="Y1641" s="300"/>
      <c r="Z1641" s="300"/>
    </row>
    <row r="1642" spans="1:26">
      <c r="A1642" s="215" t="s">
        <v>3852</v>
      </c>
      <c r="B1642" s="207">
        <v>1480</v>
      </c>
      <c r="C1642" s="215" t="s">
        <v>10151</v>
      </c>
      <c r="D1642" s="215" t="s">
        <v>10152</v>
      </c>
      <c r="E1642" s="215" t="s">
        <v>10153</v>
      </c>
      <c r="F1642" s="215" t="s">
        <v>9814</v>
      </c>
      <c r="G1642" s="215" t="s">
        <v>9815</v>
      </c>
      <c r="H1642" s="215" t="s">
        <v>6500</v>
      </c>
      <c r="I1642" s="300"/>
      <c r="J1642" s="300"/>
      <c r="K1642" s="300"/>
      <c r="L1642" s="300"/>
      <c r="M1642" s="300"/>
      <c r="N1642" s="300"/>
      <c r="O1642" s="300"/>
      <c r="P1642" s="300"/>
      <c r="Q1642" s="300"/>
      <c r="R1642" s="300"/>
      <c r="S1642" s="300"/>
      <c r="T1642" s="300"/>
      <c r="U1642" s="300"/>
      <c r="V1642" s="300"/>
      <c r="W1642" s="300"/>
      <c r="X1642" s="300"/>
      <c r="Y1642" s="300"/>
      <c r="Z1642" s="300"/>
    </row>
    <row r="1643" spans="1:26">
      <c r="A1643" s="215" t="s">
        <v>3917</v>
      </c>
      <c r="B1643" s="207">
        <v>1481</v>
      </c>
      <c r="C1643" s="215" t="s">
        <v>10154</v>
      </c>
      <c r="D1643" s="215" t="s">
        <v>10155</v>
      </c>
      <c r="E1643" s="215" t="s">
        <v>10156</v>
      </c>
      <c r="F1643" s="215" t="s">
        <v>9814</v>
      </c>
      <c r="G1643" s="215" t="s">
        <v>9815</v>
      </c>
      <c r="H1643" s="215" t="s">
        <v>6500</v>
      </c>
      <c r="I1643" s="300"/>
      <c r="J1643" s="300"/>
      <c r="K1643" s="300"/>
      <c r="L1643" s="300"/>
      <c r="M1643" s="300"/>
      <c r="N1643" s="300"/>
      <c r="O1643" s="300"/>
      <c r="P1643" s="300"/>
      <c r="Q1643" s="300"/>
      <c r="R1643" s="300"/>
      <c r="S1643" s="300"/>
      <c r="T1643" s="300"/>
      <c r="U1643" s="300"/>
      <c r="V1643" s="300"/>
      <c r="W1643" s="300"/>
      <c r="X1643" s="300"/>
      <c r="Y1643" s="300"/>
      <c r="Z1643" s="300"/>
    </row>
    <row r="1644" spans="1:26">
      <c r="A1644" s="215"/>
      <c r="B1644" s="207">
        <v>1482</v>
      </c>
      <c r="C1644" s="215" t="s">
        <v>10157</v>
      </c>
      <c r="D1644" s="215" t="s">
        <v>10158</v>
      </c>
      <c r="E1644" s="215" t="s">
        <v>10159</v>
      </c>
      <c r="F1644" s="215" t="s">
        <v>9814</v>
      </c>
      <c r="G1644" s="215" t="s">
        <v>9815</v>
      </c>
      <c r="H1644" s="215" t="s">
        <v>6504</v>
      </c>
      <c r="I1644" s="300"/>
      <c r="J1644" s="300"/>
      <c r="K1644" s="300"/>
      <c r="L1644" s="300"/>
      <c r="M1644" s="300"/>
      <c r="N1644" s="300"/>
      <c r="O1644" s="300"/>
      <c r="P1644" s="300"/>
      <c r="Q1644" s="300"/>
      <c r="R1644" s="300"/>
      <c r="S1644" s="300"/>
      <c r="T1644" s="300"/>
      <c r="U1644" s="300"/>
      <c r="V1644" s="300"/>
      <c r="W1644" s="300"/>
      <c r="X1644" s="300"/>
      <c r="Y1644" s="300"/>
      <c r="Z1644" s="300"/>
    </row>
    <row r="1645" spans="1:26">
      <c r="A1645" s="215" t="s">
        <v>4262</v>
      </c>
      <c r="B1645" s="207">
        <v>1483</v>
      </c>
      <c r="C1645" s="215" t="s">
        <v>10160</v>
      </c>
      <c r="D1645" s="215" t="s">
        <v>10161</v>
      </c>
      <c r="E1645" s="215" t="s">
        <v>10162</v>
      </c>
      <c r="F1645" s="215" t="s">
        <v>9814</v>
      </c>
      <c r="G1645" s="215" t="s">
        <v>9815</v>
      </c>
      <c r="H1645" s="215" t="s">
        <v>6521</v>
      </c>
      <c r="I1645" s="300"/>
      <c r="J1645" s="300"/>
      <c r="K1645" s="300"/>
      <c r="L1645" s="300"/>
      <c r="M1645" s="300"/>
      <c r="N1645" s="300"/>
      <c r="O1645" s="300"/>
      <c r="P1645" s="300"/>
      <c r="Q1645" s="300"/>
      <c r="R1645" s="300"/>
      <c r="S1645" s="300"/>
      <c r="T1645" s="300"/>
      <c r="U1645" s="300"/>
      <c r="V1645" s="300"/>
      <c r="W1645" s="300"/>
      <c r="X1645" s="300"/>
      <c r="Y1645" s="300"/>
      <c r="Z1645" s="300"/>
    </row>
    <row r="1646" spans="1:26">
      <c r="A1646" s="215" t="s">
        <v>10163</v>
      </c>
      <c r="B1646" s="207">
        <v>1484</v>
      </c>
      <c r="C1646" s="215" t="s">
        <v>10164</v>
      </c>
      <c r="D1646" s="215" t="s">
        <v>10165</v>
      </c>
      <c r="E1646" s="215" t="s">
        <v>10166</v>
      </c>
      <c r="F1646" s="215" t="s">
        <v>9814</v>
      </c>
      <c r="G1646" s="215" t="s">
        <v>9815</v>
      </c>
      <c r="H1646" s="215" t="s">
        <v>6521</v>
      </c>
      <c r="I1646" s="300"/>
      <c r="J1646" s="300"/>
      <c r="K1646" s="300"/>
      <c r="L1646" s="300"/>
      <c r="M1646" s="300"/>
      <c r="N1646" s="300"/>
      <c r="O1646" s="300"/>
      <c r="P1646" s="300"/>
      <c r="Q1646" s="300"/>
      <c r="R1646" s="300"/>
      <c r="S1646" s="300"/>
      <c r="T1646" s="300"/>
      <c r="U1646" s="300"/>
      <c r="V1646" s="300"/>
      <c r="W1646" s="300"/>
      <c r="X1646" s="300"/>
      <c r="Y1646" s="300"/>
      <c r="Z1646" s="300"/>
    </row>
    <row r="1647" spans="1:26">
      <c r="A1647" s="215"/>
      <c r="B1647" s="207">
        <v>1485</v>
      </c>
      <c r="C1647" s="215" t="s">
        <v>10167</v>
      </c>
      <c r="D1647" s="215" t="s">
        <v>10168</v>
      </c>
      <c r="E1647" s="215" t="s">
        <v>10168</v>
      </c>
      <c r="F1647" s="215" t="s">
        <v>9814</v>
      </c>
      <c r="G1647" s="215" t="s">
        <v>9815</v>
      </c>
      <c r="H1647" s="215" t="s">
        <v>6521</v>
      </c>
      <c r="I1647" s="300"/>
      <c r="J1647" s="300"/>
      <c r="K1647" s="300"/>
      <c r="L1647" s="300"/>
      <c r="M1647" s="300"/>
      <c r="N1647" s="300"/>
      <c r="O1647" s="300"/>
      <c r="P1647" s="300"/>
      <c r="Q1647" s="300"/>
      <c r="R1647" s="300"/>
      <c r="S1647" s="300"/>
      <c r="T1647" s="300"/>
      <c r="U1647" s="300"/>
      <c r="V1647" s="300"/>
      <c r="W1647" s="300"/>
      <c r="X1647" s="300"/>
      <c r="Y1647" s="300"/>
      <c r="Z1647" s="300"/>
    </row>
    <row r="1648" spans="1:26">
      <c r="A1648" s="215" t="s">
        <v>4212</v>
      </c>
      <c r="B1648" s="207">
        <v>1486</v>
      </c>
      <c r="C1648" s="215" t="s">
        <v>10169</v>
      </c>
      <c r="D1648" s="215" t="s">
        <v>10170</v>
      </c>
      <c r="E1648" s="215" t="s">
        <v>10171</v>
      </c>
      <c r="F1648" s="215" t="s">
        <v>9814</v>
      </c>
      <c r="G1648" s="215" t="s">
        <v>9815</v>
      </c>
      <c r="H1648" s="215" t="s">
        <v>6521</v>
      </c>
      <c r="I1648" s="300"/>
      <c r="J1648" s="300"/>
      <c r="K1648" s="300"/>
      <c r="L1648" s="300"/>
      <c r="M1648" s="300"/>
      <c r="N1648" s="300"/>
      <c r="O1648" s="300"/>
      <c r="P1648" s="300"/>
      <c r="Q1648" s="300"/>
      <c r="R1648" s="300"/>
      <c r="S1648" s="300"/>
      <c r="T1648" s="300"/>
      <c r="U1648" s="300"/>
      <c r="V1648" s="300"/>
      <c r="W1648" s="300"/>
      <c r="X1648" s="300"/>
      <c r="Y1648" s="300"/>
      <c r="Z1648" s="300"/>
    </row>
    <row r="1649" spans="1:26">
      <c r="A1649" s="215"/>
      <c r="B1649" s="207">
        <v>1487</v>
      </c>
      <c r="C1649" s="215" t="s">
        <v>10172</v>
      </c>
      <c r="D1649" s="215" t="s">
        <v>10173</v>
      </c>
      <c r="E1649" s="215" t="s">
        <v>10174</v>
      </c>
      <c r="F1649" s="215" t="s">
        <v>9814</v>
      </c>
      <c r="G1649" s="215" t="s">
        <v>9815</v>
      </c>
      <c r="H1649" s="215" t="s">
        <v>6521</v>
      </c>
      <c r="I1649" s="300"/>
      <c r="J1649" s="300"/>
      <c r="K1649" s="300"/>
      <c r="L1649" s="300"/>
      <c r="M1649" s="300"/>
      <c r="N1649" s="300"/>
      <c r="O1649" s="300"/>
      <c r="P1649" s="300"/>
      <c r="Q1649" s="300"/>
      <c r="R1649" s="300"/>
      <c r="S1649" s="300"/>
      <c r="T1649" s="300"/>
      <c r="U1649" s="300"/>
      <c r="V1649" s="300"/>
      <c r="W1649" s="300"/>
      <c r="X1649" s="300"/>
      <c r="Y1649" s="300"/>
      <c r="Z1649" s="300"/>
    </row>
    <row r="1650" spans="1:26">
      <c r="A1650" s="215" t="s">
        <v>4389</v>
      </c>
      <c r="B1650" s="207">
        <v>1488</v>
      </c>
      <c r="C1650" s="215" t="s">
        <v>10175</v>
      </c>
      <c r="D1650" s="215" t="s">
        <v>10176</v>
      </c>
      <c r="E1650" s="215" t="s">
        <v>10177</v>
      </c>
      <c r="F1650" s="215" t="s">
        <v>9814</v>
      </c>
      <c r="G1650" s="215" t="s">
        <v>9815</v>
      </c>
      <c r="H1650" s="215" t="s">
        <v>6521</v>
      </c>
      <c r="I1650" s="300"/>
      <c r="J1650" s="300"/>
      <c r="K1650" s="300"/>
      <c r="L1650" s="300"/>
      <c r="M1650" s="300"/>
      <c r="N1650" s="300"/>
      <c r="O1650" s="300"/>
      <c r="P1650" s="300"/>
      <c r="Q1650" s="300"/>
      <c r="R1650" s="300"/>
      <c r="S1650" s="300"/>
      <c r="T1650" s="300"/>
      <c r="U1650" s="300"/>
      <c r="V1650" s="300"/>
      <c r="W1650" s="300"/>
      <c r="X1650" s="300"/>
      <c r="Y1650" s="300"/>
      <c r="Z1650" s="300"/>
    </row>
    <row r="1651" spans="1:26">
      <c r="A1651" s="215" t="s">
        <v>4506</v>
      </c>
      <c r="B1651" s="207">
        <v>1489</v>
      </c>
      <c r="C1651" s="215" t="s">
        <v>10178</v>
      </c>
      <c r="D1651" s="215" t="s">
        <v>10179</v>
      </c>
      <c r="E1651" s="215" t="s">
        <v>10180</v>
      </c>
      <c r="F1651" s="215" t="s">
        <v>9814</v>
      </c>
      <c r="G1651" s="215" t="s">
        <v>9815</v>
      </c>
      <c r="H1651" s="215" t="s">
        <v>6521</v>
      </c>
      <c r="I1651" s="300"/>
      <c r="J1651" s="300"/>
      <c r="K1651" s="300"/>
      <c r="L1651" s="300"/>
      <c r="M1651" s="300"/>
      <c r="N1651" s="300"/>
      <c r="O1651" s="300"/>
      <c r="P1651" s="300"/>
      <c r="Q1651" s="300"/>
      <c r="R1651" s="300"/>
      <c r="S1651" s="300"/>
      <c r="T1651" s="300"/>
      <c r="U1651" s="300"/>
      <c r="V1651" s="300"/>
      <c r="W1651" s="300"/>
      <c r="X1651" s="300"/>
      <c r="Y1651" s="300"/>
      <c r="Z1651" s="300"/>
    </row>
    <row r="1652" spans="1:26">
      <c r="A1652" s="215" t="s">
        <v>3608</v>
      </c>
      <c r="B1652" s="207">
        <v>1490</v>
      </c>
      <c r="C1652" s="215" t="s">
        <v>5708</v>
      </c>
      <c r="D1652" s="215" t="s">
        <v>10181</v>
      </c>
      <c r="E1652" s="215" t="s">
        <v>10181</v>
      </c>
      <c r="F1652" s="215" t="s">
        <v>9814</v>
      </c>
      <c r="G1652" s="215" t="s">
        <v>9815</v>
      </c>
      <c r="H1652" s="215" t="s">
        <v>6497</v>
      </c>
      <c r="I1652" s="300"/>
      <c r="J1652" s="300"/>
      <c r="K1652" s="300"/>
      <c r="L1652" s="300"/>
      <c r="M1652" s="300"/>
      <c r="N1652" s="300"/>
      <c r="O1652" s="300"/>
      <c r="P1652" s="300"/>
      <c r="Q1652" s="300"/>
      <c r="R1652" s="300"/>
      <c r="S1652" s="300"/>
      <c r="T1652" s="300"/>
      <c r="U1652" s="300"/>
      <c r="V1652" s="300"/>
      <c r="W1652" s="300"/>
      <c r="X1652" s="300"/>
      <c r="Y1652" s="300"/>
      <c r="Z1652" s="300"/>
    </row>
    <row r="1653" spans="1:26">
      <c r="A1653" s="215" t="s">
        <v>3216</v>
      </c>
      <c r="B1653" s="207">
        <v>1491</v>
      </c>
      <c r="C1653" s="215" t="s">
        <v>5345</v>
      </c>
      <c r="D1653" s="215" t="s">
        <v>10182</v>
      </c>
      <c r="E1653" s="215" t="s">
        <v>10182</v>
      </c>
      <c r="F1653" s="215" t="s">
        <v>9814</v>
      </c>
      <c r="G1653" s="215" t="s">
        <v>9815</v>
      </c>
      <c r="H1653" s="215" t="s">
        <v>6521</v>
      </c>
      <c r="I1653" s="300"/>
      <c r="J1653" s="300"/>
      <c r="K1653" s="300"/>
      <c r="L1653" s="300"/>
      <c r="M1653" s="300"/>
      <c r="N1653" s="300"/>
      <c r="O1653" s="300"/>
      <c r="P1653" s="300"/>
      <c r="Q1653" s="300"/>
      <c r="R1653" s="300"/>
      <c r="S1653" s="300"/>
      <c r="T1653" s="300"/>
      <c r="U1653" s="300"/>
      <c r="V1653" s="300"/>
      <c r="W1653" s="300"/>
      <c r="X1653" s="300"/>
      <c r="Y1653" s="300"/>
      <c r="Z1653" s="300"/>
    </row>
    <row r="1654" spans="1:26">
      <c r="A1654" s="215"/>
      <c r="B1654" s="207">
        <v>1499</v>
      </c>
      <c r="C1654" s="215" t="s">
        <v>10183</v>
      </c>
      <c r="D1654" s="215" t="s">
        <v>10184</v>
      </c>
      <c r="E1654" s="215" t="s">
        <v>10185</v>
      </c>
      <c r="F1654" s="215" t="s">
        <v>9814</v>
      </c>
      <c r="G1654" s="215" t="s">
        <v>9815</v>
      </c>
      <c r="H1654" s="215" t="s">
        <v>6504</v>
      </c>
      <c r="I1654" s="300"/>
      <c r="J1654" s="300"/>
      <c r="K1654" s="300"/>
      <c r="L1654" s="300"/>
      <c r="M1654" s="300"/>
      <c r="N1654" s="300"/>
      <c r="O1654" s="300"/>
      <c r="P1654" s="300"/>
      <c r="Q1654" s="300"/>
      <c r="R1654" s="300"/>
      <c r="S1654" s="300"/>
      <c r="T1654" s="300"/>
      <c r="U1654" s="300"/>
      <c r="V1654" s="300"/>
      <c r="W1654" s="300"/>
      <c r="X1654" s="300"/>
      <c r="Y1654" s="300"/>
      <c r="Z1654" s="300"/>
    </row>
    <row r="1655" spans="1:26">
      <c r="A1655" s="215" t="s">
        <v>3756</v>
      </c>
      <c r="B1655" s="207">
        <v>1500</v>
      </c>
      <c r="C1655" s="215" t="s">
        <v>10186</v>
      </c>
      <c r="D1655" s="215" t="s">
        <v>10187</v>
      </c>
      <c r="E1655" s="215" t="s">
        <v>10188</v>
      </c>
      <c r="F1655" s="215" t="s">
        <v>9814</v>
      </c>
      <c r="G1655" s="215" t="s">
        <v>9815</v>
      </c>
      <c r="H1655" s="215" t="s">
        <v>6497</v>
      </c>
      <c r="I1655" s="300"/>
      <c r="J1655" s="300"/>
      <c r="K1655" s="300"/>
      <c r="L1655" s="300"/>
      <c r="M1655" s="300"/>
      <c r="N1655" s="300"/>
      <c r="O1655" s="300"/>
      <c r="P1655" s="300"/>
      <c r="Q1655" s="300"/>
      <c r="R1655" s="300"/>
      <c r="S1655" s="300"/>
      <c r="T1655" s="300"/>
      <c r="U1655" s="300"/>
      <c r="V1655" s="300"/>
      <c r="W1655" s="300"/>
      <c r="X1655" s="300"/>
      <c r="Y1655" s="300"/>
      <c r="Z1655" s="300"/>
    </row>
    <row r="1656" spans="1:26">
      <c r="A1656" s="215" t="s">
        <v>10189</v>
      </c>
      <c r="B1656" s="207">
        <v>1503</v>
      </c>
      <c r="C1656" s="215" t="s">
        <v>10190</v>
      </c>
      <c r="D1656" s="215" t="s">
        <v>10191</v>
      </c>
      <c r="E1656" s="215" t="s">
        <v>10192</v>
      </c>
      <c r="F1656" s="215" t="s">
        <v>9814</v>
      </c>
      <c r="G1656" s="215" t="s">
        <v>9815</v>
      </c>
      <c r="H1656" s="215" t="s">
        <v>6521</v>
      </c>
      <c r="I1656" s="300"/>
      <c r="J1656" s="300"/>
      <c r="K1656" s="300"/>
      <c r="L1656" s="300"/>
      <c r="M1656" s="300"/>
      <c r="N1656" s="300"/>
      <c r="O1656" s="300"/>
      <c r="P1656" s="300"/>
      <c r="Q1656" s="300"/>
      <c r="R1656" s="300"/>
      <c r="S1656" s="300"/>
      <c r="T1656" s="300"/>
      <c r="U1656" s="300"/>
      <c r="V1656" s="300"/>
      <c r="W1656" s="300"/>
      <c r="X1656" s="300"/>
      <c r="Y1656" s="300"/>
      <c r="Z1656" s="300"/>
    </row>
    <row r="1657" spans="1:26">
      <c r="A1657" s="215"/>
      <c r="B1657" s="207">
        <v>1504</v>
      </c>
      <c r="C1657" s="215" t="s">
        <v>10193</v>
      </c>
      <c r="D1657" s="215" t="s">
        <v>10194</v>
      </c>
      <c r="E1657" s="215" t="s">
        <v>10195</v>
      </c>
      <c r="F1657" s="215" t="s">
        <v>9814</v>
      </c>
      <c r="G1657" s="215" t="s">
        <v>9815</v>
      </c>
      <c r="H1657" s="215" t="s">
        <v>6500</v>
      </c>
      <c r="I1657" s="300"/>
      <c r="J1657" s="300"/>
      <c r="K1657" s="300"/>
      <c r="L1657" s="300"/>
      <c r="M1657" s="300"/>
      <c r="N1657" s="300"/>
      <c r="O1657" s="300"/>
      <c r="P1657" s="300"/>
      <c r="Q1657" s="300"/>
      <c r="R1657" s="300"/>
      <c r="S1657" s="300"/>
      <c r="T1657" s="300"/>
      <c r="U1657" s="300"/>
      <c r="V1657" s="300"/>
      <c r="W1657" s="300"/>
      <c r="X1657" s="300"/>
      <c r="Y1657" s="300"/>
      <c r="Z1657" s="300"/>
    </row>
    <row r="1658" spans="1:26">
      <c r="A1658" s="215" t="s">
        <v>3756</v>
      </c>
      <c r="B1658" s="207">
        <v>1505</v>
      </c>
      <c r="C1658" s="215" t="s">
        <v>10196</v>
      </c>
      <c r="D1658" s="215" t="s">
        <v>10197</v>
      </c>
      <c r="E1658" s="215" t="s">
        <v>10198</v>
      </c>
      <c r="F1658" s="215" t="s">
        <v>9814</v>
      </c>
      <c r="G1658" s="215" t="s">
        <v>9815</v>
      </c>
      <c r="H1658" s="215" t="s">
        <v>6521</v>
      </c>
      <c r="I1658" s="300"/>
      <c r="J1658" s="300"/>
      <c r="K1658" s="300"/>
      <c r="L1658" s="300"/>
      <c r="M1658" s="300"/>
      <c r="N1658" s="300"/>
      <c r="O1658" s="300"/>
      <c r="P1658" s="300"/>
      <c r="Q1658" s="300"/>
      <c r="R1658" s="300"/>
      <c r="S1658" s="300"/>
      <c r="T1658" s="300"/>
      <c r="U1658" s="300"/>
      <c r="V1658" s="300"/>
      <c r="W1658" s="300"/>
      <c r="X1658" s="300"/>
      <c r="Y1658" s="300"/>
      <c r="Z1658" s="300"/>
    </row>
    <row r="1659" spans="1:26">
      <c r="A1659" s="215" t="s">
        <v>3755</v>
      </c>
      <c r="B1659" s="207">
        <v>1506</v>
      </c>
      <c r="C1659" s="215" t="s">
        <v>10199</v>
      </c>
      <c r="D1659" s="215" t="s">
        <v>10200</v>
      </c>
      <c r="E1659" s="215" t="s">
        <v>10201</v>
      </c>
      <c r="F1659" s="215" t="s">
        <v>9814</v>
      </c>
      <c r="G1659" s="215" t="s">
        <v>9815</v>
      </c>
      <c r="H1659" s="215" t="s">
        <v>6521</v>
      </c>
      <c r="I1659" s="300"/>
      <c r="J1659" s="300"/>
      <c r="K1659" s="300"/>
      <c r="L1659" s="300"/>
      <c r="M1659" s="300"/>
      <c r="N1659" s="300"/>
      <c r="O1659" s="300"/>
      <c r="P1659" s="300"/>
      <c r="Q1659" s="300"/>
      <c r="R1659" s="300"/>
      <c r="S1659" s="300"/>
      <c r="T1659" s="300"/>
      <c r="U1659" s="300"/>
      <c r="V1659" s="300"/>
      <c r="W1659" s="300"/>
      <c r="X1659" s="300"/>
      <c r="Y1659" s="300"/>
      <c r="Z1659" s="300"/>
    </row>
    <row r="1660" spans="1:26">
      <c r="A1660" s="215" t="s">
        <v>8796</v>
      </c>
      <c r="B1660" s="207">
        <v>2719</v>
      </c>
      <c r="C1660" s="215" t="s">
        <v>10202</v>
      </c>
      <c r="D1660" s="215" t="s">
        <v>10203</v>
      </c>
      <c r="E1660" s="215" t="s">
        <v>10204</v>
      </c>
      <c r="F1660" s="215" t="s">
        <v>9814</v>
      </c>
      <c r="G1660" s="215" t="s">
        <v>9815</v>
      </c>
      <c r="H1660" s="215" t="s">
        <v>6504</v>
      </c>
      <c r="I1660" s="300"/>
      <c r="J1660" s="300"/>
      <c r="K1660" s="300"/>
      <c r="L1660" s="300"/>
      <c r="M1660" s="300"/>
      <c r="N1660" s="300"/>
      <c r="O1660" s="300"/>
      <c r="P1660" s="300"/>
      <c r="Q1660" s="300"/>
      <c r="R1660" s="300"/>
      <c r="S1660" s="300"/>
      <c r="T1660" s="300"/>
      <c r="U1660" s="300"/>
      <c r="V1660" s="300"/>
      <c r="W1660" s="300"/>
      <c r="X1660" s="300"/>
      <c r="Y1660" s="300"/>
      <c r="Z1660" s="300"/>
    </row>
    <row r="1661" spans="1:26">
      <c r="A1661" s="215" t="s">
        <v>4283</v>
      </c>
      <c r="B1661" s="207">
        <v>2720</v>
      </c>
      <c r="C1661" s="215" t="s">
        <v>10205</v>
      </c>
      <c r="D1661" s="215" t="s">
        <v>10206</v>
      </c>
      <c r="E1661" s="215" t="s">
        <v>10207</v>
      </c>
      <c r="F1661" s="215" t="s">
        <v>9814</v>
      </c>
      <c r="G1661" s="215" t="s">
        <v>9815</v>
      </c>
      <c r="H1661" s="215" t="s">
        <v>6500</v>
      </c>
      <c r="I1661" s="300"/>
      <c r="J1661" s="300"/>
      <c r="K1661" s="300"/>
      <c r="L1661" s="300"/>
      <c r="M1661" s="300"/>
      <c r="N1661" s="300"/>
      <c r="O1661" s="300"/>
      <c r="P1661" s="300"/>
      <c r="Q1661" s="300"/>
      <c r="R1661" s="300"/>
      <c r="S1661" s="300"/>
      <c r="T1661" s="300"/>
      <c r="U1661" s="300"/>
      <c r="V1661" s="300"/>
      <c r="W1661" s="300"/>
      <c r="X1661" s="300"/>
      <c r="Y1661" s="300"/>
      <c r="Z1661" s="300"/>
    </row>
    <row r="1662" spans="1:26">
      <c r="A1662" s="215" t="s">
        <v>4190</v>
      </c>
      <c r="B1662" s="207">
        <v>701</v>
      </c>
      <c r="C1662" s="215" t="s">
        <v>10208</v>
      </c>
      <c r="D1662" s="215" t="s">
        <v>10209</v>
      </c>
      <c r="E1662" s="215" t="s">
        <v>10210</v>
      </c>
      <c r="F1662" s="215" t="s">
        <v>5183</v>
      </c>
      <c r="G1662" s="215" t="s">
        <v>10211</v>
      </c>
      <c r="H1662" s="215" t="s">
        <v>6500</v>
      </c>
      <c r="I1662" s="300"/>
      <c r="J1662" s="300"/>
      <c r="K1662" s="300"/>
      <c r="L1662" s="300"/>
      <c r="M1662" s="300"/>
      <c r="N1662" s="300"/>
      <c r="O1662" s="300"/>
      <c r="P1662" s="300"/>
      <c r="Q1662" s="300"/>
      <c r="R1662" s="300"/>
      <c r="S1662" s="300"/>
      <c r="T1662" s="300"/>
      <c r="U1662" s="300"/>
      <c r="V1662" s="300"/>
      <c r="W1662" s="300"/>
      <c r="X1662" s="300"/>
      <c r="Y1662" s="300"/>
      <c r="Z1662" s="300"/>
    </row>
    <row r="1663" spans="1:26">
      <c r="A1663" s="215" t="s">
        <v>2891</v>
      </c>
      <c r="B1663" s="207">
        <v>1477</v>
      </c>
      <c r="C1663" s="215" t="s">
        <v>5053</v>
      </c>
      <c r="D1663" s="215" t="s">
        <v>10212</v>
      </c>
      <c r="E1663" s="215" t="s">
        <v>10212</v>
      </c>
      <c r="F1663" s="215" t="s">
        <v>5183</v>
      </c>
      <c r="G1663" s="215" t="s">
        <v>10211</v>
      </c>
      <c r="H1663" s="215" t="s">
        <v>6500</v>
      </c>
      <c r="I1663" s="300"/>
      <c r="J1663" s="300"/>
      <c r="K1663" s="300"/>
      <c r="L1663" s="300"/>
      <c r="M1663" s="300"/>
      <c r="N1663" s="300"/>
      <c r="O1663" s="300"/>
      <c r="P1663" s="300"/>
      <c r="Q1663" s="300"/>
      <c r="R1663" s="300"/>
      <c r="S1663" s="300"/>
      <c r="T1663" s="300"/>
      <c r="U1663" s="300"/>
      <c r="V1663" s="300"/>
      <c r="W1663" s="300"/>
      <c r="X1663" s="300"/>
      <c r="Y1663" s="300"/>
      <c r="Z1663" s="300"/>
    </row>
    <row r="1664" spans="1:26">
      <c r="A1664" s="215"/>
      <c r="B1664" s="207">
        <v>520</v>
      </c>
      <c r="C1664" s="215" t="s">
        <v>5822</v>
      </c>
      <c r="D1664" s="215" t="s">
        <v>10213</v>
      </c>
      <c r="E1664" s="215" t="s">
        <v>10214</v>
      </c>
      <c r="F1664" s="215" t="s">
        <v>2644</v>
      </c>
      <c r="G1664" s="215" t="s">
        <v>10215</v>
      </c>
      <c r="H1664" s="215" t="s">
        <v>6500</v>
      </c>
      <c r="I1664" s="300"/>
      <c r="J1664" s="300"/>
      <c r="K1664" s="300"/>
      <c r="L1664" s="300"/>
      <c r="M1664" s="300"/>
      <c r="N1664" s="300"/>
      <c r="O1664" s="300"/>
      <c r="P1664" s="300"/>
      <c r="Q1664" s="300"/>
      <c r="R1664" s="300"/>
      <c r="S1664" s="300"/>
      <c r="T1664" s="300"/>
      <c r="U1664" s="300"/>
      <c r="V1664" s="300"/>
      <c r="W1664" s="300"/>
      <c r="X1664" s="300"/>
      <c r="Y1664" s="300"/>
      <c r="Z1664" s="300"/>
    </row>
    <row r="1665" spans="1:26">
      <c r="A1665" s="215" t="s">
        <v>3059</v>
      </c>
      <c r="B1665" s="207">
        <v>521</v>
      </c>
      <c r="C1665" s="215" t="s">
        <v>5196</v>
      </c>
      <c r="D1665" s="215" t="s">
        <v>10216</v>
      </c>
      <c r="E1665" s="215" t="s">
        <v>10217</v>
      </c>
      <c r="F1665" s="215" t="s">
        <v>2644</v>
      </c>
      <c r="G1665" s="215" t="s">
        <v>10215</v>
      </c>
      <c r="H1665" s="215" t="s">
        <v>6497</v>
      </c>
      <c r="I1665" s="300"/>
      <c r="J1665" s="300"/>
      <c r="K1665" s="300"/>
      <c r="L1665" s="300"/>
      <c r="M1665" s="300"/>
      <c r="N1665" s="300"/>
      <c r="O1665" s="300"/>
      <c r="P1665" s="300"/>
      <c r="Q1665" s="300"/>
      <c r="R1665" s="300"/>
      <c r="S1665" s="300"/>
      <c r="T1665" s="300"/>
      <c r="U1665" s="300"/>
      <c r="V1665" s="300"/>
      <c r="W1665" s="300"/>
      <c r="X1665" s="300"/>
      <c r="Y1665" s="300"/>
      <c r="Z1665" s="300"/>
    </row>
    <row r="1666" spans="1:26">
      <c r="A1666" s="215"/>
      <c r="B1666" s="207">
        <v>522</v>
      </c>
      <c r="C1666" s="215" t="s">
        <v>6471</v>
      </c>
      <c r="D1666" s="215" t="s">
        <v>10218</v>
      </c>
      <c r="E1666" s="215" t="s">
        <v>10218</v>
      </c>
      <c r="F1666" s="215" t="s">
        <v>2644</v>
      </c>
      <c r="G1666" s="215" t="s">
        <v>10215</v>
      </c>
      <c r="H1666" s="215" t="s">
        <v>6504</v>
      </c>
      <c r="I1666" s="300"/>
      <c r="J1666" s="300"/>
      <c r="K1666" s="300"/>
      <c r="L1666" s="300"/>
      <c r="M1666" s="300"/>
      <c r="N1666" s="300"/>
      <c r="O1666" s="300"/>
      <c r="P1666" s="300"/>
      <c r="Q1666" s="300"/>
      <c r="R1666" s="300"/>
      <c r="S1666" s="300"/>
      <c r="T1666" s="300"/>
      <c r="U1666" s="300"/>
      <c r="V1666" s="300"/>
      <c r="W1666" s="300"/>
      <c r="X1666" s="300"/>
      <c r="Y1666" s="300"/>
      <c r="Z1666" s="300"/>
    </row>
    <row r="1667" spans="1:26">
      <c r="A1667" s="215" t="s">
        <v>10219</v>
      </c>
      <c r="B1667" s="207">
        <v>528</v>
      </c>
      <c r="C1667" s="215" t="s">
        <v>5580</v>
      </c>
      <c r="D1667" s="215" t="s">
        <v>10220</v>
      </c>
      <c r="E1667" s="215" t="s">
        <v>10221</v>
      </c>
      <c r="F1667" s="215" t="s">
        <v>2644</v>
      </c>
      <c r="G1667" s="215" t="s">
        <v>10215</v>
      </c>
      <c r="H1667" s="215" t="s">
        <v>6504</v>
      </c>
      <c r="I1667" s="300"/>
      <c r="J1667" s="300"/>
      <c r="K1667" s="300"/>
      <c r="L1667" s="300"/>
      <c r="M1667" s="300"/>
      <c r="N1667" s="300"/>
      <c r="O1667" s="300"/>
      <c r="P1667" s="300"/>
      <c r="Q1667" s="300"/>
      <c r="R1667" s="300"/>
      <c r="S1667" s="300"/>
      <c r="T1667" s="300"/>
      <c r="U1667" s="300"/>
      <c r="V1667" s="300"/>
      <c r="W1667" s="300"/>
      <c r="X1667" s="300"/>
      <c r="Y1667" s="300"/>
      <c r="Z1667" s="300"/>
    </row>
    <row r="1668" spans="1:26">
      <c r="A1668" s="215"/>
      <c r="B1668" s="207">
        <v>540</v>
      </c>
      <c r="C1668" s="215" t="s">
        <v>10222</v>
      </c>
      <c r="D1668" s="215" t="s">
        <v>10223</v>
      </c>
      <c r="E1668" s="215" t="s">
        <v>10223</v>
      </c>
      <c r="F1668" s="215" t="s">
        <v>2644</v>
      </c>
      <c r="G1668" s="215" t="s">
        <v>10215</v>
      </c>
      <c r="H1668" s="215" t="s">
        <v>6548</v>
      </c>
      <c r="I1668" s="300"/>
      <c r="J1668" s="300"/>
      <c r="K1668" s="300"/>
      <c r="L1668" s="300"/>
      <c r="M1668" s="300"/>
      <c r="N1668" s="300"/>
      <c r="O1668" s="300"/>
      <c r="P1668" s="300"/>
      <c r="Q1668" s="300"/>
      <c r="R1668" s="300"/>
      <c r="S1668" s="300"/>
      <c r="T1668" s="300"/>
      <c r="U1668" s="300"/>
      <c r="V1668" s="300"/>
      <c r="W1668" s="300"/>
      <c r="X1668" s="300"/>
      <c r="Y1668" s="300"/>
      <c r="Z1668" s="300"/>
    </row>
    <row r="1669" spans="1:26">
      <c r="A1669" s="215"/>
      <c r="B1669" s="207">
        <v>551</v>
      </c>
      <c r="C1669" s="215" t="s">
        <v>5950</v>
      </c>
      <c r="D1669" s="215" t="s">
        <v>3979</v>
      </c>
      <c r="E1669" s="215" t="s">
        <v>3979</v>
      </c>
      <c r="F1669" s="215" t="s">
        <v>2644</v>
      </c>
      <c r="G1669" s="215" t="s">
        <v>10215</v>
      </c>
      <c r="H1669" s="215" t="s">
        <v>6548</v>
      </c>
      <c r="I1669" s="300"/>
      <c r="J1669" s="300"/>
      <c r="K1669" s="300"/>
      <c r="L1669" s="300"/>
      <c r="M1669" s="300"/>
      <c r="N1669" s="300"/>
      <c r="O1669" s="300"/>
      <c r="P1669" s="300"/>
      <c r="Q1669" s="300"/>
      <c r="R1669" s="300"/>
      <c r="S1669" s="300"/>
      <c r="T1669" s="300"/>
      <c r="U1669" s="300"/>
      <c r="V1669" s="300"/>
      <c r="W1669" s="300"/>
      <c r="X1669" s="300"/>
      <c r="Y1669" s="300"/>
      <c r="Z1669" s="300"/>
    </row>
    <row r="1670" spans="1:26">
      <c r="A1670" s="215" t="s">
        <v>2964</v>
      </c>
      <c r="B1670" s="207">
        <v>554</v>
      </c>
      <c r="C1670" s="215" t="s">
        <v>10224</v>
      </c>
      <c r="D1670" s="215" t="s">
        <v>10225</v>
      </c>
      <c r="E1670" s="215" t="s">
        <v>10225</v>
      </c>
      <c r="F1670" s="215" t="s">
        <v>2644</v>
      </c>
      <c r="G1670" s="215" t="s">
        <v>10215</v>
      </c>
      <c r="H1670" s="215" t="s">
        <v>6521</v>
      </c>
      <c r="I1670" s="300"/>
      <c r="J1670" s="300"/>
      <c r="K1670" s="300"/>
      <c r="L1670" s="300"/>
      <c r="M1670" s="300"/>
      <c r="N1670" s="300"/>
      <c r="O1670" s="300"/>
      <c r="P1670" s="300"/>
      <c r="Q1670" s="300"/>
      <c r="R1670" s="300"/>
      <c r="S1670" s="300"/>
      <c r="T1670" s="300"/>
      <c r="U1670" s="300"/>
      <c r="V1670" s="300"/>
      <c r="W1670" s="300"/>
      <c r="X1670" s="300"/>
      <c r="Y1670" s="300"/>
      <c r="Z1670" s="300"/>
    </row>
    <row r="1671" spans="1:26">
      <c r="A1671" s="215" t="s">
        <v>4209</v>
      </c>
      <c r="B1671" s="207">
        <v>560</v>
      </c>
      <c r="C1671" s="215" t="s">
        <v>5733</v>
      </c>
      <c r="D1671" s="215" t="s">
        <v>10226</v>
      </c>
      <c r="E1671" s="215" t="s">
        <v>10226</v>
      </c>
      <c r="F1671" s="215" t="s">
        <v>2644</v>
      </c>
      <c r="G1671" s="215" t="s">
        <v>10215</v>
      </c>
      <c r="H1671" s="215" t="s">
        <v>6548</v>
      </c>
      <c r="I1671" s="300"/>
      <c r="J1671" s="300"/>
      <c r="K1671" s="300"/>
      <c r="L1671" s="300"/>
      <c r="M1671" s="300"/>
      <c r="N1671" s="300"/>
      <c r="O1671" s="300"/>
      <c r="P1671" s="300"/>
      <c r="Q1671" s="300"/>
      <c r="R1671" s="300"/>
      <c r="S1671" s="300"/>
      <c r="T1671" s="300"/>
      <c r="U1671" s="300"/>
      <c r="V1671" s="300"/>
      <c r="W1671" s="300"/>
      <c r="X1671" s="300"/>
      <c r="Y1671" s="300"/>
      <c r="Z1671" s="300"/>
    </row>
    <row r="1672" spans="1:26">
      <c r="A1672" s="215" t="s">
        <v>3682</v>
      </c>
      <c r="B1672" s="207">
        <v>1137</v>
      </c>
      <c r="C1672" s="215" t="s">
        <v>5770</v>
      </c>
      <c r="D1672" s="215" t="s">
        <v>3684</v>
      </c>
      <c r="E1672" s="215" t="s">
        <v>3684</v>
      </c>
      <c r="F1672" s="215" t="s">
        <v>2644</v>
      </c>
      <c r="G1672" s="215" t="s">
        <v>10215</v>
      </c>
      <c r="H1672" s="215" t="s">
        <v>6504</v>
      </c>
      <c r="I1672" s="300"/>
      <c r="J1672" s="300"/>
      <c r="K1672" s="300"/>
      <c r="L1672" s="300"/>
      <c r="M1672" s="300"/>
      <c r="N1672" s="300"/>
      <c r="O1672" s="300"/>
      <c r="P1672" s="300"/>
      <c r="Q1672" s="300"/>
      <c r="R1672" s="300"/>
      <c r="S1672" s="300"/>
      <c r="T1672" s="300"/>
      <c r="U1672" s="300"/>
      <c r="V1672" s="300"/>
      <c r="W1672" s="300"/>
      <c r="X1672" s="300"/>
      <c r="Y1672" s="300"/>
      <c r="Z1672" s="300"/>
    </row>
    <row r="1673" spans="1:26">
      <c r="A1673" s="215" t="s">
        <v>3817</v>
      </c>
      <c r="B1673" s="207">
        <v>2218</v>
      </c>
      <c r="C1673" s="215" t="s">
        <v>10227</v>
      </c>
      <c r="D1673" s="215" t="s">
        <v>10228</v>
      </c>
      <c r="E1673" s="215" t="s">
        <v>10229</v>
      </c>
      <c r="F1673" s="215" t="s">
        <v>2644</v>
      </c>
      <c r="G1673" s="215" t="s">
        <v>10215</v>
      </c>
      <c r="H1673" s="215" t="s">
        <v>6504</v>
      </c>
      <c r="I1673" s="300"/>
      <c r="J1673" s="300"/>
      <c r="K1673" s="300"/>
      <c r="L1673" s="300"/>
      <c r="M1673" s="300"/>
      <c r="N1673" s="300"/>
      <c r="O1673" s="300"/>
      <c r="P1673" s="300"/>
      <c r="Q1673" s="300"/>
      <c r="R1673" s="300"/>
      <c r="S1673" s="300"/>
      <c r="T1673" s="300"/>
      <c r="U1673" s="300"/>
      <c r="V1673" s="300"/>
      <c r="W1673" s="300"/>
      <c r="X1673" s="300"/>
      <c r="Y1673" s="300"/>
      <c r="Z1673" s="300"/>
    </row>
    <row r="1674" spans="1:26">
      <c r="A1674" s="215" t="s">
        <v>3237</v>
      </c>
      <c r="B1674" s="207">
        <v>2219</v>
      </c>
      <c r="C1674" s="215" t="s">
        <v>5369</v>
      </c>
      <c r="D1674" s="215" t="s">
        <v>10230</v>
      </c>
      <c r="E1674" s="215" t="s">
        <v>10231</v>
      </c>
      <c r="F1674" s="215" t="s">
        <v>2644</v>
      </c>
      <c r="G1674" s="215" t="s">
        <v>10215</v>
      </c>
      <c r="H1674" s="215" t="s">
        <v>6548</v>
      </c>
      <c r="I1674" s="300"/>
      <c r="J1674" s="300"/>
      <c r="K1674" s="300"/>
      <c r="L1674" s="300"/>
      <c r="M1674" s="300"/>
      <c r="N1674" s="300"/>
      <c r="O1674" s="300"/>
      <c r="P1674" s="300"/>
      <c r="Q1674" s="300"/>
      <c r="R1674" s="300"/>
      <c r="S1674" s="300"/>
      <c r="T1674" s="300"/>
      <c r="U1674" s="300"/>
      <c r="V1674" s="300"/>
      <c r="W1674" s="300"/>
      <c r="X1674" s="300"/>
      <c r="Y1674" s="300"/>
      <c r="Z1674" s="300"/>
    </row>
    <row r="1675" spans="1:26">
      <c r="A1675" s="215" t="s">
        <v>3573</v>
      </c>
      <c r="B1675" s="207">
        <v>2223</v>
      </c>
      <c r="C1675" s="215" t="s">
        <v>10232</v>
      </c>
      <c r="D1675" s="215" t="s">
        <v>10233</v>
      </c>
      <c r="E1675" s="215" t="s">
        <v>10234</v>
      </c>
      <c r="F1675" s="215" t="s">
        <v>2644</v>
      </c>
      <c r="G1675" s="215" t="s">
        <v>10215</v>
      </c>
      <c r="H1675" s="215" t="s">
        <v>6500</v>
      </c>
      <c r="I1675" s="300"/>
      <c r="J1675" s="300"/>
      <c r="K1675" s="300"/>
      <c r="L1675" s="300"/>
      <c r="M1675" s="300"/>
      <c r="N1675" s="300"/>
      <c r="O1675" s="300"/>
      <c r="P1675" s="300"/>
      <c r="Q1675" s="300"/>
      <c r="R1675" s="300"/>
      <c r="S1675" s="300"/>
      <c r="T1675" s="300"/>
      <c r="U1675" s="300"/>
      <c r="V1675" s="300"/>
      <c r="W1675" s="300"/>
      <c r="X1675" s="300"/>
      <c r="Y1675" s="300"/>
      <c r="Z1675" s="300"/>
    </row>
    <row r="1676" spans="1:26">
      <c r="A1676" s="215"/>
      <c r="B1676" s="207">
        <v>2224</v>
      </c>
      <c r="C1676" s="215" t="s">
        <v>5795</v>
      </c>
      <c r="D1676" s="215" t="s">
        <v>4509</v>
      </c>
      <c r="E1676" s="215" t="s">
        <v>10235</v>
      </c>
      <c r="F1676" s="215" t="s">
        <v>2644</v>
      </c>
      <c r="G1676" s="215" t="s">
        <v>10215</v>
      </c>
      <c r="H1676" s="215" t="s">
        <v>6500</v>
      </c>
      <c r="I1676" s="300"/>
      <c r="J1676" s="300"/>
      <c r="K1676" s="300"/>
      <c r="L1676" s="300"/>
      <c r="M1676" s="300"/>
      <c r="N1676" s="300"/>
      <c r="O1676" s="300"/>
      <c r="P1676" s="300"/>
      <c r="Q1676" s="300"/>
      <c r="R1676" s="300"/>
      <c r="S1676" s="300"/>
      <c r="T1676" s="300"/>
      <c r="U1676" s="300"/>
      <c r="V1676" s="300"/>
      <c r="W1676" s="300"/>
      <c r="X1676" s="300"/>
      <c r="Y1676" s="300"/>
      <c r="Z1676" s="300"/>
    </row>
    <row r="1677" spans="1:26">
      <c r="A1677" s="215" t="s">
        <v>3893</v>
      </c>
      <c r="B1677" s="207">
        <v>2470</v>
      </c>
      <c r="C1677" s="215" t="s">
        <v>10236</v>
      </c>
      <c r="D1677" s="215" t="s">
        <v>10237</v>
      </c>
      <c r="E1677" s="215" t="s">
        <v>10238</v>
      </c>
      <c r="F1677" s="215" t="s">
        <v>2644</v>
      </c>
      <c r="G1677" s="215" t="s">
        <v>10215</v>
      </c>
      <c r="H1677" s="215" t="s">
        <v>6504</v>
      </c>
      <c r="I1677" s="300"/>
      <c r="J1677" s="300"/>
      <c r="K1677" s="300"/>
      <c r="L1677" s="300"/>
      <c r="M1677" s="300"/>
      <c r="N1677" s="300"/>
      <c r="O1677" s="300"/>
      <c r="P1677" s="300"/>
      <c r="Q1677" s="300"/>
      <c r="R1677" s="300"/>
      <c r="S1677" s="300"/>
      <c r="T1677" s="300"/>
      <c r="U1677" s="300"/>
      <c r="V1677" s="300"/>
      <c r="W1677" s="300"/>
      <c r="X1677" s="300"/>
      <c r="Y1677" s="300"/>
      <c r="Z1677" s="300"/>
    </row>
    <row r="1678" spans="1:26">
      <c r="A1678" s="215" t="s">
        <v>3893</v>
      </c>
      <c r="B1678" s="207">
        <v>2471</v>
      </c>
      <c r="C1678" s="215" t="s">
        <v>5953</v>
      </c>
      <c r="D1678" s="215" t="s">
        <v>10239</v>
      </c>
      <c r="E1678" s="215" t="s">
        <v>10240</v>
      </c>
      <c r="F1678" s="215" t="s">
        <v>2644</v>
      </c>
      <c r="G1678" s="215" t="s">
        <v>10215</v>
      </c>
      <c r="H1678" s="215" t="s">
        <v>6504</v>
      </c>
      <c r="I1678" s="300"/>
      <c r="J1678" s="300"/>
      <c r="K1678" s="300"/>
      <c r="L1678" s="300"/>
      <c r="M1678" s="300"/>
      <c r="N1678" s="300"/>
      <c r="O1678" s="300"/>
      <c r="P1678" s="300"/>
      <c r="Q1678" s="300"/>
      <c r="R1678" s="300"/>
      <c r="S1678" s="300"/>
      <c r="T1678" s="300"/>
      <c r="U1678" s="300"/>
      <c r="V1678" s="300"/>
      <c r="W1678" s="300"/>
      <c r="X1678" s="300"/>
      <c r="Y1678" s="300"/>
      <c r="Z1678" s="300"/>
    </row>
    <row r="1679" spans="1:26">
      <c r="A1679" s="215" t="s">
        <v>4013</v>
      </c>
      <c r="B1679" s="207">
        <v>2472</v>
      </c>
      <c r="C1679" s="215" t="s">
        <v>6039</v>
      </c>
      <c r="D1679" s="215" t="s">
        <v>10241</v>
      </c>
      <c r="E1679" s="215" t="s">
        <v>10241</v>
      </c>
      <c r="F1679" s="215" t="s">
        <v>2644</v>
      </c>
      <c r="G1679" s="215" t="s">
        <v>10215</v>
      </c>
      <c r="H1679" s="215" t="s">
        <v>6497</v>
      </c>
      <c r="I1679" s="300"/>
      <c r="J1679" s="300"/>
      <c r="K1679" s="300"/>
      <c r="L1679" s="300"/>
      <c r="M1679" s="300"/>
      <c r="N1679" s="300"/>
      <c r="O1679" s="300"/>
      <c r="P1679" s="300"/>
      <c r="Q1679" s="300"/>
      <c r="R1679" s="300"/>
      <c r="S1679" s="300"/>
      <c r="T1679" s="300"/>
      <c r="U1679" s="300"/>
      <c r="V1679" s="300"/>
      <c r="W1679" s="300"/>
      <c r="X1679" s="300"/>
      <c r="Y1679" s="300"/>
      <c r="Z1679" s="300"/>
    </row>
    <row r="1680" spans="1:26">
      <c r="A1680" s="215"/>
      <c r="B1680" s="207">
        <v>2473</v>
      </c>
      <c r="C1680" s="215" t="s">
        <v>6033</v>
      </c>
      <c r="D1680" s="215" t="s">
        <v>10242</v>
      </c>
      <c r="E1680" s="215" t="s">
        <v>10243</v>
      </c>
      <c r="F1680" s="215" t="s">
        <v>2644</v>
      </c>
      <c r="G1680" s="215" t="s">
        <v>10215</v>
      </c>
      <c r="H1680" s="215" t="s">
        <v>6504</v>
      </c>
      <c r="I1680" s="300"/>
      <c r="J1680" s="300"/>
      <c r="K1680" s="300"/>
      <c r="L1680" s="300"/>
      <c r="M1680" s="300"/>
      <c r="N1680" s="300"/>
      <c r="O1680" s="300"/>
      <c r="P1680" s="300"/>
      <c r="Q1680" s="300"/>
      <c r="R1680" s="300"/>
      <c r="S1680" s="300"/>
      <c r="T1680" s="300"/>
      <c r="U1680" s="300"/>
      <c r="V1680" s="300"/>
      <c r="W1680" s="300"/>
      <c r="X1680" s="300"/>
      <c r="Y1680" s="300"/>
      <c r="Z1680" s="300"/>
    </row>
    <row r="1681" spans="1:26">
      <c r="A1681" s="215"/>
      <c r="B1681" s="207">
        <v>2474</v>
      </c>
      <c r="C1681" s="215" t="s">
        <v>5228</v>
      </c>
      <c r="D1681" s="215" t="s">
        <v>5228</v>
      </c>
      <c r="E1681" s="215" t="s">
        <v>10244</v>
      </c>
      <c r="F1681" s="215" t="s">
        <v>2644</v>
      </c>
      <c r="G1681" s="215" t="s">
        <v>10215</v>
      </c>
      <c r="H1681" s="215" t="s">
        <v>6497</v>
      </c>
      <c r="I1681" s="300"/>
      <c r="J1681" s="300"/>
      <c r="K1681" s="300"/>
      <c r="L1681" s="300"/>
      <c r="M1681" s="300"/>
      <c r="N1681" s="300"/>
      <c r="O1681" s="300"/>
      <c r="P1681" s="300"/>
      <c r="Q1681" s="300"/>
      <c r="R1681" s="300"/>
      <c r="S1681" s="300"/>
      <c r="T1681" s="300"/>
      <c r="U1681" s="300"/>
      <c r="V1681" s="300"/>
      <c r="W1681" s="300"/>
      <c r="X1681" s="300"/>
      <c r="Y1681" s="300"/>
      <c r="Z1681" s="300"/>
    </row>
    <row r="1682" spans="1:26">
      <c r="A1682" s="215"/>
      <c r="B1682" s="207">
        <v>2475</v>
      </c>
      <c r="C1682" s="215" t="s">
        <v>4977</v>
      </c>
      <c r="D1682" s="215" t="s">
        <v>10245</v>
      </c>
      <c r="E1682" s="215" t="s">
        <v>10245</v>
      </c>
      <c r="F1682" s="215" t="s">
        <v>2644</v>
      </c>
      <c r="G1682" s="215" t="s">
        <v>10215</v>
      </c>
      <c r="H1682" s="215" t="s">
        <v>6504</v>
      </c>
      <c r="I1682" s="300"/>
      <c r="J1682" s="300"/>
      <c r="K1682" s="300"/>
      <c r="L1682" s="300"/>
      <c r="M1682" s="300"/>
      <c r="N1682" s="300"/>
      <c r="O1682" s="300"/>
      <c r="P1682" s="300"/>
      <c r="Q1682" s="300"/>
      <c r="R1682" s="300"/>
      <c r="S1682" s="300"/>
      <c r="T1682" s="300"/>
      <c r="U1682" s="300"/>
      <c r="V1682" s="300"/>
      <c r="W1682" s="300"/>
      <c r="X1682" s="300"/>
      <c r="Y1682" s="300"/>
      <c r="Z1682" s="300"/>
    </row>
    <row r="1683" spans="1:26">
      <c r="A1683" s="215" t="s">
        <v>4272</v>
      </c>
      <c r="B1683" s="207">
        <v>2476</v>
      </c>
      <c r="C1683" s="215" t="s">
        <v>6237</v>
      </c>
      <c r="D1683" s="215" t="s">
        <v>10246</v>
      </c>
      <c r="E1683" s="215" t="s">
        <v>10247</v>
      </c>
      <c r="F1683" s="215" t="s">
        <v>2644</v>
      </c>
      <c r="G1683" s="215" t="s">
        <v>10215</v>
      </c>
      <c r="H1683" s="215" t="s">
        <v>6497</v>
      </c>
      <c r="I1683" s="300"/>
      <c r="J1683" s="300"/>
      <c r="K1683" s="300"/>
      <c r="L1683" s="300"/>
      <c r="M1683" s="300"/>
      <c r="N1683" s="300"/>
      <c r="O1683" s="300"/>
      <c r="P1683" s="300"/>
      <c r="Q1683" s="300"/>
      <c r="R1683" s="300"/>
      <c r="S1683" s="300"/>
      <c r="T1683" s="300"/>
      <c r="U1683" s="300"/>
      <c r="V1683" s="300"/>
      <c r="W1683" s="300"/>
      <c r="X1683" s="300"/>
      <c r="Y1683" s="300"/>
      <c r="Z1683" s="300"/>
    </row>
    <row r="1684" spans="1:26">
      <c r="A1684" s="215"/>
      <c r="B1684" s="207">
        <v>2478</v>
      </c>
      <c r="C1684" s="215" t="s">
        <v>5376</v>
      </c>
      <c r="D1684" s="215" t="s">
        <v>10248</v>
      </c>
      <c r="E1684" s="215" t="s">
        <v>10248</v>
      </c>
      <c r="F1684" s="215" t="s">
        <v>2644</v>
      </c>
      <c r="G1684" s="215" t="s">
        <v>10215</v>
      </c>
      <c r="H1684" s="215" t="s">
        <v>6497</v>
      </c>
      <c r="I1684" s="300"/>
      <c r="J1684" s="300"/>
      <c r="K1684" s="300"/>
      <c r="L1684" s="300"/>
      <c r="M1684" s="300"/>
      <c r="N1684" s="300"/>
      <c r="O1684" s="300"/>
      <c r="P1684" s="300"/>
      <c r="Q1684" s="300"/>
      <c r="R1684" s="300"/>
      <c r="S1684" s="300"/>
      <c r="T1684" s="300"/>
      <c r="U1684" s="300"/>
      <c r="V1684" s="300"/>
      <c r="W1684" s="300"/>
      <c r="X1684" s="300"/>
      <c r="Y1684" s="300"/>
      <c r="Z1684" s="300"/>
    </row>
    <row r="1685" spans="1:26">
      <c r="A1685" s="215" t="s">
        <v>2900</v>
      </c>
      <c r="B1685" s="207">
        <v>517</v>
      </c>
      <c r="C1685" s="215" t="s">
        <v>5063</v>
      </c>
      <c r="D1685" s="215" t="s">
        <v>10249</v>
      </c>
      <c r="E1685" s="215" t="s">
        <v>10250</v>
      </c>
      <c r="F1685" s="215" t="s">
        <v>10251</v>
      </c>
      <c r="G1685" s="215" t="s">
        <v>10252</v>
      </c>
      <c r="H1685" s="215" t="s">
        <v>6500</v>
      </c>
      <c r="I1685" s="300"/>
      <c r="J1685" s="300"/>
      <c r="K1685" s="300"/>
      <c r="L1685" s="300"/>
      <c r="M1685" s="300"/>
      <c r="N1685" s="300"/>
      <c r="O1685" s="300"/>
      <c r="P1685" s="300"/>
      <c r="Q1685" s="300"/>
      <c r="R1685" s="300"/>
      <c r="S1685" s="300"/>
      <c r="T1685" s="300"/>
      <c r="U1685" s="300"/>
      <c r="V1685" s="300"/>
      <c r="W1685" s="300"/>
      <c r="X1685" s="300"/>
      <c r="Y1685" s="300"/>
      <c r="Z1685" s="300"/>
    </row>
    <row r="1686" spans="1:26">
      <c r="A1686" s="215" t="s">
        <v>3706</v>
      </c>
      <c r="B1686" s="207">
        <v>1010</v>
      </c>
      <c r="C1686" s="215" t="s">
        <v>5727</v>
      </c>
      <c r="D1686" s="215" t="s">
        <v>10253</v>
      </c>
      <c r="E1686" s="215" t="s">
        <v>10253</v>
      </c>
      <c r="F1686" s="215" t="s">
        <v>10251</v>
      </c>
      <c r="G1686" s="215" t="s">
        <v>10252</v>
      </c>
      <c r="H1686" s="215" t="s">
        <v>6500</v>
      </c>
      <c r="I1686" s="300"/>
      <c r="J1686" s="300"/>
      <c r="K1686" s="300"/>
      <c r="L1686" s="300"/>
      <c r="M1686" s="300"/>
      <c r="N1686" s="300"/>
      <c r="O1686" s="300"/>
      <c r="P1686" s="300"/>
      <c r="Q1686" s="300"/>
      <c r="R1686" s="300"/>
      <c r="S1686" s="300"/>
      <c r="T1686" s="300"/>
      <c r="U1686" s="300"/>
      <c r="V1686" s="300"/>
      <c r="W1686" s="300"/>
      <c r="X1686" s="300"/>
      <c r="Y1686" s="300"/>
      <c r="Z1686" s="300"/>
    </row>
    <row r="1687" spans="1:26">
      <c r="A1687" s="215" t="s">
        <v>4272</v>
      </c>
      <c r="B1687" s="207">
        <v>2221</v>
      </c>
      <c r="C1687" s="215" t="s">
        <v>10254</v>
      </c>
      <c r="D1687" s="215" t="s">
        <v>10255</v>
      </c>
      <c r="E1687" s="215" t="s">
        <v>10256</v>
      </c>
      <c r="F1687" s="215" t="s">
        <v>10251</v>
      </c>
      <c r="G1687" s="215" t="s">
        <v>10252</v>
      </c>
      <c r="H1687" s="215" t="s">
        <v>6500</v>
      </c>
      <c r="I1687" s="300"/>
      <c r="J1687" s="300"/>
      <c r="K1687" s="300"/>
      <c r="L1687" s="300"/>
      <c r="M1687" s="300"/>
      <c r="N1687" s="300"/>
      <c r="O1687" s="300"/>
      <c r="P1687" s="300"/>
      <c r="Q1687" s="300"/>
      <c r="R1687" s="300"/>
      <c r="S1687" s="300"/>
      <c r="T1687" s="300"/>
      <c r="U1687" s="300"/>
      <c r="V1687" s="300"/>
      <c r="W1687" s="300"/>
      <c r="X1687" s="300"/>
      <c r="Y1687" s="300"/>
      <c r="Z1687" s="300"/>
    </row>
    <row r="1688" spans="1:26">
      <c r="A1688" s="215" t="s">
        <v>3649</v>
      </c>
      <c r="B1688" s="207">
        <v>2222</v>
      </c>
      <c r="C1688" s="215" t="s">
        <v>5745</v>
      </c>
      <c r="D1688" s="215" t="s">
        <v>10257</v>
      </c>
      <c r="E1688" s="215" t="s">
        <v>10258</v>
      </c>
      <c r="F1688" s="215" t="s">
        <v>10251</v>
      </c>
      <c r="G1688" s="215" t="s">
        <v>10252</v>
      </c>
      <c r="H1688" s="215" t="s">
        <v>6521</v>
      </c>
      <c r="I1688" s="300"/>
      <c r="J1688" s="300"/>
      <c r="K1688" s="300"/>
      <c r="L1688" s="300"/>
      <c r="M1688" s="300"/>
      <c r="N1688" s="300"/>
      <c r="O1688" s="300"/>
      <c r="P1688" s="300"/>
      <c r="Q1688" s="300"/>
      <c r="R1688" s="300"/>
      <c r="S1688" s="300"/>
      <c r="T1688" s="300"/>
      <c r="U1688" s="300"/>
      <c r="V1688" s="300"/>
      <c r="W1688" s="300"/>
      <c r="X1688" s="300"/>
      <c r="Y1688" s="300"/>
      <c r="Z1688" s="300"/>
    </row>
    <row r="1689" spans="1:26">
      <c r="A1689" s="215"/>
      <c r="B1689" s="207">
        <v>720</v>
      </c>
      <c r="C1689" s="215" t="s">
        <v>10259</v>
      </c>
      <c r="D1689" s="215" t="s">
        <v>10260</v>
      </c>
      <c r="E1689" s="215" t="s">
        <v>10261</v>
      </c>
      <c r="F1689" s="215" t="s">
        <v>10262</v>
      </c>
      <c r="G1689" s="215" t="s">
        <v>10263</v>
      </c>
      <c r="H1689" s="215" t="s">
        <v>6504</v>
      </c>
      <c r="I1689" s="300"/>
      <c r="J1689" s="300"/>
      <c r="K1689" s="300"/>
      <c r="L1689" s="300"/>
      <c r="M1689" s="300"/>
      <c r="N1689" s="300"/>
      <c r="O1689" s="300"/>
      <c r="P1689" s="300"/>
      <c r="Q1689" s="300"/>
      <c r="R1689" s="300"/>
      <c r="S1689" s="300"/>
      <c r="T1689" s="300"/>
      <c r="U1689" s="300"/>
      <c r="V1689" s="300"/>
      <c r="W1689" s="300"/>
      <c r="X1689" s="300"/>
      <c r="Y1689" s="300"/>
      <c r="Z1689" s="300"/>
    </row>
    <row r="1690" spans="1:26">
      <c r="A1690" s="215"/>
      <c r="B1690" s="207">
        <v>1450</v>
      </c>
      <c r="C1690" s="215" t="s">
        <v>10264</v>
      </c>
      <c r="D1690" s="215" t="s">
        <v>10265</v>
      </c>
      <c r="E1690" s="215" t="s">
        <v>10266</v>
      </c>
      <c r="F1690" s="215" t="s">
        <v>10262</v>
      </c>
      <c r="G1690" s="215" t="s">
        <v>10263</v>
      </c>
      <c r="H1690" s="215" t="s">
        <v>6497</v>
      </c>
      <c r="I1690" s="300"/>
      <c r="J1690" s="300"/>
      <c r="K1690" s="300"/>
      <c r="L1690" s="300"/>
      <c r="M1690" s="300"/>
      <c r="N1690" s="300"/>
      <c r="O1690" s="300"/>
      <c r="P1690" s="300"/>
      <c r="Q1690" s="300"/>
      <c r="R1690" s="300"/>
      <c r="S1690" s="300"/>
      <c r="T1690" s="300"/>
      <c r="U1690" s="300"/>
      <c r="V1690" s="300"/>
      <c r="W1690" s="300"/>
      <c r="X1690" s="300"/>
      <c r="Y1690" s="300"/>
      <c r="Z1690" s="300"/>
    </row>
    <row r="1691" spans="1:26">
      <c r="A1691" s="215" t="s">
        <v>7775</v>
      </c>
      <c r="B1691" s="207">
        <v>2450</v>
      </c>
      <c r="C1691" s="215" t="s">
        <v>10267</v>
      </c>
      <c r="D1691" s="215" t="s">
        <v>10268</v>
      </c>
      <c r="E1691" s="215" t="s">
        <v>10269</v>
      </c>
      <c r="F1691" s="215" t="s">
        <v>10270</v>
      </c>
      <c r="G1691" s="215" t="s">
        <v>10271</v>
      </c>
      <c r="H1691" s="215" t="s">
        <v>6504</v>
      </c>
      <c r="I1691" s="300"/>
      <c r="J1691" s="300"/>
      <c r="K1691" s="300"/>
      <c r="L1691" s="300"/>
      <c r="M1691" s="300"/>
      <c r="N1691" s="300"/>
      <c r="O1691" s="300"/>
      <c r="P1691" s="300"/>
      <c r="Q1691" s="300"/>
      <c r="R1691" s="300"/>
      <c r="S1691" s="300"/>
      <c r="T1691" s="300"/>
      <c r="U1691" s="300"/>
      <c r="V1691" s="300"/>
      <c r="W1691" s="300"/>
      <c r="X1691" s="300"/>
      <c r="Y1691" s="300"/>
      <c r="Z1691" s="300"/>
    </row>
    <row r="1692" spans="1:26">
      <c r="A1692" s="215" t="s">
        <v>4561</v>
      </c>
      <c r="B1692" s="207">
        <v>717</v>
      </c>
      <c r="C1692" s="215" t="s">
        <v>10272</v>
      </c>
      <c r="D1692" s="215" t="s">
        <v>10273</v>
      </c>
      <c r="E1692" s="215" t="s">
        <v>10274</v>
      </c>
      <c r="F1692" s="215" t="s">
        <v>10275</v>
      </c>
      <c r="G1692" s="215" t="s">
        <v>10276</v>
      </c>
      <c r="H1692" s="215" t="s">
        <v>6504</v>
      </c>
      <c r="I1692" s="300"/>
      <c r="J1692" s="300"/>
      <c r="K1692" s="300"/>
      <c r="L1692" s="300"/>
      <c r="M1692" s="300"/>
      <c r="N1692" s="300"/>
      <c r="O1692" s="300"/>
      <c r="P1692" s="300"/>
      <c r="Q1692" s="300"/>
      <c r="R1692" s="300"/>
      <c r="S1692" s="300"/>
      <c r="T1692" s="300"/>
      <c r="U1692" s="300"/>
      <c r="V1692" s="300"/>
      <c r="W1692" s="300"/>
      <c r="X1692" s="300"/>
      <c r="Y1692" s="300"/>
      <c r="Z1692" s="300"/>
    </row>
    <row r="1693" spans="1:26">
      <c r="A1693" s="215" t="s">
        <v>10277</v>
      </c>
      <c r="B1693" s="207">
        <v>1294</v>
      </c>
      <c r="C1693" s="215" t="s">
        <v>10278</v>
      </c>
      <c r="D1693" s="215" t="s">
        <v>10279</v>
      </c>
      <c r="E1693" s="215" t="s">
        <v>10280</v>
      </c>
      <c r="F1693" s="215" t="s">
        <v>10275</v>
      </c>
      <c r="G1693" s="215" t="s">
        <v>10276</v>
      </c>
      <c r="H1693" s="215" t="s">
        <v>6500</v>
      </c>
      <c r="I1693" s="300"/>
      <c r="J1693" s="300"/>
      <c r="K1693" s="300"/>
      <c r="L1693" s="300"/>
      <c r="M1693" s="300"/>
      <c r="N1693" s="300"/>
      <c r="O1693" s="300"/>
      <c r="P1693" s="300"/>
      <c r="Q1693" s="300"/>
      <c r="R1693" s="300"/>
      <c r="S1693" s="300"/>
      <c r="T1693" s="300"/>
      <c r="U1693" s="300"/>
      <c r="V1693" s="300"/>
      <c r="W1693" s="300"/>
      <c r="X1693" s="300"/>
      <c r="Y1693" s="300"/>
      <c r="Z1693" s="300"/>
    </row>
    <row r="1694" spans="1:26">
      <c r="A1694" s="215"/>
      <c r="B1694" s="207">
        <v>2191</v>
      </c>
      <c r="C1694" s="215" t="s">
        <v>5865</v>
      </c>
      <c r="D1694" s="215" t="s">
        <v>10281</v>
      </c>
      <c r="E1694" s="215" t="s">
        <v>10282</v>
      </c>
      <c r="F1694" s="215" t="s">
        <v>10275</v>
      </c>
      <c r="G1694" s="215" t="s">
        <v>10276</v>
      </c>
      <c r="H1694" s="215" t="s">
        <v>6497</v>
      </c>
      <c r="I1694" s="300"/>
      <c r="J1694" s="300"/>
      <c r="K1694" s="300"/>
      <c r="L1694" s="300"/>
      <c r="M1694" s="300"/>
      <c r="N1694" s="300"/>
      <c r="O1694" s="300"/>
      <c r="P1694" s="300"/>
      <c r="Q1694" s="300"/>
      <c r="R1694" s="300"/>
      <c r="S1694" s="300"/>
      <c r="T1694" s="300"/>
      <c r="U1694" s="300"/>
      <c r="V1694" s="300"/>
      <c r="W1694" s="300"/>
      <c r="X1694" s="300"/>
      <c r="Y1694" s="300"/>
      <c r="Z1694" s="300"/>
    </row>
    <row r="1695" spans="1:26">
      <c r="A1695" s="215" t="s">
        <v>2453</v>
      </c>
      <c r="B1695" s="207">
        <v>2264</v>
      </c>
      <c r="C1695" s="215" t="s">
        <v>4774</v>
      </c>
      <c r="D1695" s="215" t="s">
        <v>10283</v>
      </c>
      <c r="E1695" s="215" t="s">
        <v>10283</v>
      </c>
      <c r="F1695" s="215" t="s">
        <v>10284</v>
      </c>
      <c r="G1695" s="215" t="s">
        <v>10285</v>
      </c>
      <c r="H1695" s="215" t="s">
        <v>6500</v>
      </c>
      <c r="I1695" s="300"/>
      <c r="J1695" s="300"/>
      <c r="K1695" s="300"/>
      <c r="L1695" s="300"/>
      <c r="M1695" s="300"/>
      <c r="N1695" s="300"/>
      <c r="O1695" s="300"/>
      <c r="P1695" s="300"/>
      <c r="Q1695" s="300"/>
      <c r="R1695" s="300"/>
      <c r="S1695" s="300"/>
      <c r="T1695" s="300"/>
      <c r="U1695" s="300"/>
      <c r="V1695" s="300"/>
      <c r="W1695" s="300"/>
      <c r="X1695" s="300"/>
      <c r="Y1695" s="300"/>
      <c r="Z1695" s="300"/>
    </row>
    <row r="1696" spans="1:26">
      <c r="A1696" s="215" t="s">
        <v>3488</v>
      </c>
      <c r="B1696" s="207">
        <v>2265</v>
      </c>
      <c r="C1696" s="215" t="s">
        <v>5597</v>
      </c>
      <c r="D1696" s="215" t="s">
        <v>10286</v>
      </c>
      <c r="E1696" s="215" t="s">
        <v>10286</v>
      </c>
      <c r="F1696" s="215" t="s">
        <v>10284</v>
      </c>
      <c r="G1696" s="215" t="s">
        <v>10285</v>
      </c>
      <c r="H1696" s="215" t="s">
        <v>6504</v>
      </c>
      <c r="I1696" s="300"/>
      <c r="J1696" s="300"/>
      <c r="K1696" s="300"/>
      <c r="L1696" s="300"/>
      <c r="M1696" s="300"/>
      <c r="N1696" s="300"/>
      <c r="O1696" s="300"/>
      <c r="P1696" s="300"/>
      <c r="Q1696" s="300"/>
      <c r="R1696" s="300"/>
      <c r="S1696" s="300"/>
      <c r="T1696" s="300"/>
      <c r="U1696" s="300"/>
      <c r="V1696" s="300"/>
      <c r="W1696" s="300"/>
      <c r="X1696" s="300"/>
      <c r="Y1696" s="300"/>
      <c r="Z1696" s="300"/>
    </row>
    <row r="1697" spans="1:26">
      <c r="A1697" s="215" t="s">
        <v>3944</v>
      </c>
      <c r="B1697" s="207">
        <v>2267</v>
      </c>
      <c r="C1697" s="215" t="s">
        <v>5982</v>
      </c>
      <c r="D1697" s="215" t="s">
        <v>10287</v>
      </c>
      <c r="E1697" s="215" t="s">
        <v>10287</v>
      </c>
      <c r="F1697" s="215" t="s">
        <v>10284</v>
      </c>
      <c r="G1697" s="215" t="s">
        <v>10285</v>
      </c>
      <c r="H1697" s="215" t="s">
        <v>6497</v>
      </c>
      <c r="I1697" s="300"/>
      <c r="J1697" s="300"/>
      <c r="K1697" s="300"/>
      <c r="L1697" s="300"/>
      <c r="M1697" s="300"/>
      <c r="N1697" s="300"/>
      <c r="O1697" s="300"/>
      <c r="P1697" s="300"/>
      <c r="Q1697" s="300"/>
      <c r="R1697" s="300"/>
      <c r="S1697" s="300"/>
      <c r="T1697" s="300"/>
      <c r="U1697" s="300"/>
      <c r="V1697" s="300"/>
      <c r="W1697" s="300"/>
      <c r="X1697" s="300"/>
      <c r="Y1697" s="300"/>
      <c r="Z1697" s="300"/>
    </row>
    <row r="1698" spans="1:26">
      <c r="A1698" s="215" t="s">
        <v>4127</v>
      </c>
      <c r="B1698" s="207">
        <v>2268</v>
      </c>
      <c r="C1698" s="215" t="s">
        <v>6121</v>
      </c>
      <c r="D1698" s="215" t="s">
        <v>10288</v>
      </c>
      <c r="E1698" s="215" t="s">
        <v>10288</v>
      </c>
      <c r="F1698" s="215" t="s">
        <v>10284</v>
      </c>
      <c r="G1698" s="215" t="s">
        <v>10285</v>
      </c>
      <c r="H1698" s="215" t="s">
        <v>6504</v>
      </c>
      <c r="I1698" s="300"/>
      <c r="J1698" s="300"/>
      <c r="K1698" s="300"/>
      <c r="L1698" s="300"/>
      <c r="M1698" s="300"/>
      <c r="N1698" s="300"/>
      <c r="O1698" s="300"/>
      <c r="P1698" s="300"/>
      <c r="Q1698" s="300"/>
      <c r="R1698" s="300"/>
      <c r="S1698" s="300"/>
      <c r="T1698" s="300"/>
      <c r="U1698" s="300"/>
      <c r="V1698" s="300"/>
      <c r="W1698" s="300"/>
      <c r="X1698" s="300"/>
      <c r="Y1698" s="300"/>
      <c r="Z1698" s="300"/>
    </row>
    <row r="1699" spans="1:26">
      <c r="A1699" s="215" t="s">
        <v>3857</v>
      </c>
      <c r="B1699" s="207">
        <v>2281</v>
      </c>
      <c r="C1699" s="215" t="s">
        <v>5929</v>
      </c>
      <c r="D1699" s="215" t="s">
        <v>10289</v>
      </c>
      <c r="E1699" s="215" t="s">
        <v>10289</v>
      </c>
      <c r="F1699" s="215" t="s">
        <v>10284</v>
      </c>
      <c r="G1699" s="215" t="s">
        <v>10285</v>
      </c>
      <c r="H1699" s="215" t="s">
        <v>6548</v>
      </c>
      <c r="I1699" s="300"/>
      <c r="J1699" s="300"/>
      <c r="K1699" s="300"/>
      <c r="L1699" s="300"/>
      <c r="M1699" s="300"/>
      <c r="N1699" s="300"/>
      <c r="O1699" s="300"/>
      <c r="P1699" s="300"/>
      <c r="Q1699" s="300"/>
      <c r="R1699" s="300"/>
      <c r="S1699" s="300"/>
      <c r="T1699" s="300"/>
      <c r="U1699" s="300"/>
      <c r="V1699" s="300"/>
      <c r="W1699" s="300"/>
      <c r="X1699" s="300"/>
      <c r="Y1699" s="300"/>
      <c r="Z1699" s="300"/>
    </row>
    <row r="1700" spans="1:26">
      <c r="A1700" s="215" t="s">
        <v>3858</v>
      </c>
      <c r="B1700" s="207">
        <v>2282</v>
      </c>
      <c r="C1700" s="215" t="s">
        <v>5930</v>
      </c>
      <c r="D1700" s="215" t="s">
        <v>10290</v>
      </c>
      <c r="E1700" s="215" t="s">
        <v>10290</v>
      </c>
      <c r="F1700" s="215" t="s">
        <v>10284</v>
      </c>
      <c r="G1700" s="215" t="s">
        <v>10285</v>
      </c>
      <c r="H1700" s="215" t="s">
        <v>6504</v>
      </c>
      <c r="I1700" s="300"/>
      <c r="J1700" s="300"/>
      <c r="K1700" s="300"/>
      <c r="L1700" s="300"/>
      <c r="M1700" s="300"/>
      <c r="N1700" s="300"/>
      <c r="O1700" s="300"/>
      <c r="P1700" s="300"/>
      <c r="Q1700" s="300"/>
      <c r="R1700" s="300"/>
      <c r="S1700" s="300"/>
      <c r="T1700" s="300"/>
      <c r="U1700" s="300"/>
      <c r="V1700" s="300"/>
      <c r="W1700" s="300"/>
      <c r="X1700" s="300"/>
      <c r="Y1700" s="300"/>
      <c r="Z1700" s="300"/>
    </row>
    <row r="1701" spans="1:26">
      <c r="A1701" s="215" t="s">
        <v>3295</v>
      </c>
      <c r="B1701" s="207">
        <v>2283</v>
      </c>
      <c r="C1701" s="215" t="s">
        <v>5424</v>
      </c>
      <c r="D1701" s="215" t="s">
        <v>10291</v>
      </c>
      <c r="E1701" s="215" t="s">
        <v>10292</v>
      </c>
      <c r="F1701" s="215" t="s">
        <v>10284</v>
      </c>
      <c r="G1701" s="215" t="s">
        <v>10285</v>
      </c>
      <c r="H1701" s="215" t="s">
        <v>6500</v>
      </c>
      <c r="I1701" s="300"/>
      <c r="J1701" s="300"/>
      <c r="K1701" s="300"/>
      <c r="L1701" s="300"/>
      <c r="M1701" s="300"/>
      <c r="N1701" s="300"/>
      <c r="O1701" s="300"/>
      <c r="P1701" s="300"/>
      <c r="Q1701" s="300"/>
      <c r="R1701" s="300"/>
      <c r="S1701" s="300"/>
      <c r="T1701" s="300"/>
      <c r="U1701" s="300"/>
      <c r="V1701" s="300"/>
      <c r="W1701" s="300"/>
      <c r="X1701" s="300"/>
      <c r="Y1701" s="300"/>
      <c r="Z1701" s="300"/>
    </row>
    <row r="1702" spans="1:26">
      <c r="A1702" s="215" t="s">
        <v>4279</v>
      </c>
      <c r="B1702" s="207">
        <v>2284</v>
      </c>
      <c r="C1702" s="215" t="s">
        <v>6244</v>
      </c>
      <c r="D1702" s="215" t="s">
        <v>10293</v>
      </c>
      <c r="E1702" s="215" t="s">
        <v>10294</v>
      </c>
      <c r="F1702" s="215" t="s">
        <v>10284</v>
      </c>
      <c r="G1702" s="215" t="s">
        <v>10285</v>
      </c>
      <c r="H1702" s="215" t="s">
        <v>6504</v>
      </c>
      <c r="I1702" s="300"/>
      <c r="J1702" s="300"/>
      <c r="K1702" s="300"/>
      <c r="L1702" s="300"/>
      <c r="M1702" s="300"/>
      <c r="N1702" s="300"/>
      <c r="O1702" s="300"/>
      <c r="P1702" s="300"/>
      <c r="Q1702" s="300"/>
      <c r="R1702" s="300"/>
      <c r="S1702" s="300"/>
      <c r="T1702" s="300"/>
      <c r="U1702" s="300"/>
      <c r="V1702" s="300"/>
      <c r="W1702" s="300"/>
      <c r="X1702" s="300"/>
      <c r="Y1702" s="300"/>
      <c r="Z1702" s="300"/>
    </row>
    <row r="1703" spans="1:26">
      <c r="A1703" s="215" t="s">
        <v>3599</v>
      </c>
      <c r="B1703" s="207">
        <v>2285</v>
      </c>
      <c r="C1703" s="215" t="s">
        <v>5698</v>
      </c>
      <c r="D1703" s="215" t="s">
        <v>10295</v>
      </c>
      <c r="E1703" s="215" t="s">
        <v>10296</v>
      </c>
      <c r="F1703" s="215" t="s">
        <v>10284</v>
      </c>
      <c r="G1703" s="215" t="s">
        <v>10285</v>
      </c>
      <c r="H1703" s="215" t="s">
        <v>6504</v>
      </c>
      <c r="I1703" s="300"/>
      <c r="J1703" s="300"/>
      <c r="K1703" s="300"/>
      <c r="L1703" s="300"/>
      <c r="M1703" s="300"/>
      <c r="N1703" s="300"/>
      <c r="O1703" s="300"/>
      <c r="P1703" s="300"/>
      <c r="Q1703" s="300"/>
      <c r="R1703" s="300"/>
      <c r="S1703" s="300"/>
      <c r="T1703" s="300"/>
      <c r="U1703" s="300"/>
      <c r="V1703" s="300"/>
      <c r="W1703" s="300"/>
      <c r="X1703" s="300"/>
      <c r="Y1703" s="300"/>
      <c r="Z1703" s="300"/>
    </row>
    <row r="1704" spans="1:26">
      <c r="A1704" s="215"/>
      <c r="B1704" s="207">
        <v>2286</v>
      </c>
      <c r="C1704" s="215" t="s">
        <v>10297</v>
      </c>
      <c r="D1704" s="215" t="s">
        <v>10298</v>
      </c>
      <c r="E1704" s="215" t="s">
        <v>10298</v>
      </c>
      <c r="F1704" s="215" t="s">
        <v>10284</v>
      </c>
      <c r="G1704" s="215" t="s">
        <v>10285</v>
      </c>
      <c r="H1704" s="215" t="s">
        <v>6548</v>
      </c>
      <c r="I1704" s="300"/>
      <c r="J1704" s="300"/>
      <c r="K1704" s="300"/>
      <c r="L1704" s="300"/>
      <c r="M1704" s="300"/>
      <c r="N1704" s="300"/>
      <c r="O1704" s="300"/>
      <c r="P1704" s="300"/>
      <c r="Q1704" s="300"/>
      <c r="R1704" s="300"/>
      <c r="S1704" s="300"/>
      <c r="T1704" s="300"/>
      <c r="U1704" s="300"/>
      <c r="V1704" s="300"/>
      <c r="W1704" s="300"/>
      <c r="X1704" s="300"/>
      <c r="Y1704" s="300"/>
      <c r="Z1704" s="300"/>
    </row>
    <row r="1705" spans="1:26">
      <c r="A1705" s="215" t="s">
        <v>4375</v>
      </c>
      <c r="B1705" s="207">
        <v>2287</v>
      </c>
      <c r="C1705" s="215" t="s">
        <v>10299</v>
      </c>
      <c r="D1705" s="215" t="s">
        <v>10300</v>
      </c>
      <c r="E1705" s="215" t="s">
        <v>10301</v>
      </c>
      <c r="F1705" s="215" t="s">
        <v>10284</v>
      </c>
      <c r="G1705" s="215" t="s">
        <v>10285</v>
      </c>
      <c r="H1705" s="215" t="s">
        <v>6500</v>
      </c>
      <c r="I1705" s="300"/>
      <c r="J1705" s="300"/>
      <c r="K1705" s="300"/>
      <c r="L1705" s="300"/>
      <c r="M1705" s="300"/>
      <c r="N1705" s="300"/>
      <c r="O1705" s="300"/>
      <c r="P1705" s="300"/>
      <c r="Q1705" s="300"/>
      <c r="R1705" s="300"/>
      <c r="S1705" s="300"/>
      <c r="T1705" s="300"/>
      <c r="U1705" s="300"/>
      <c r="V1705" s="300"/>
      <c r="W1705" s="300"/>
      <c r="X1705" s="300"/>
      <c r="Y1705" s="300"/>
      <c r="Z1705" s="300"/>
    </row>
    <row r="1706" spans="1:26">
      <c r="A1706" s="215" t="s">
        <v>2871</v>
      </c>
      <c r="B1706" s="207">
        <v>2288</v>
      </c>
      <c r="C1706" s="215" t="s">
        <v>5038</v>
      </c>
      <c r="D1706" s="215" t="s">
        <v>10302</v>
      </c>
      <c r="E1706" s="215" t="s">
        <v>10302</v>
      </c>
      <c r="F1706" s="215" t="s">
        <v>10284</v>
      </c>
      <c r="G1706" s="215" t="s">
        <v>10285</v>
      </c>
      <c r="H1706" s="215" t="s">
        <v>6497</v>
      </c>
      <c r="I1706" s="300"/>
      <c r="J1706" s="300"/>
      <c r="K1706" s="300"/>
      <c r="L1706" s="300"/>
      <c r="M1706" s="300"/>
      <c r="N1706" s="300"/>
      <c r="O1706" s="300"/>
      <c r="P1706" s="300"/>
      <c r="Q1706" s="300"/>
      <c r="R1706" s="300"/>
      <c r="S1706" s="300"/>
      <c r="T1706" s="300"/>
      <c r="U1706" s="300"/>
      <c r="V1706" s="300"/>
      <c r="W1706" s="300"/>
      <c r="X1706" s="300"/>
      <c r="Y1706" s="300"/>
      <c r="Z1706" s="300"/>
    </row>
    <row r="1707" spans="1:26">
      <c r="A1707" s="215" t="s">
        <v>3613</v>
      </c>
      <c r="B1707" s="207">
        <v>2289</v>
      </c>
      <c r="C1707" s="215" t="s">
        <v>5712</v>
      </c>
      <c r="D1707" s="215" t="s">
        <v>10303</v>
      </c>
      <c r="E1707" s="215" t="s">
        <v>10304</v>
      </c>
      <c r="F1707" s="215" t="s">
        <v>10284</v>
      </c>
      <c r="G1707" s="215" t="s">
        <v>10285</v>
      </c>
      <c r="H1707" s="215" t="s">
        <v>6504</v>
      </c>
      <c r="I1707" s="300"/>
      <c r="J1707" s="300"/>
      <c r="K1707" s="300"/>
      <c r="L1707" s="300"/>
      <c r="M1707" s="300"/>
      <c r="N1707" s="300"/>
      <c r="O1707" s="300"/>
      <c r="P1707" s="300"/>
      <c r="Q1707" s="300"/>
      <c r="R1707" s="300"/>
      <c r="S1707" s="300"/>
      <c r="T1707" s="300"/>
      <c r="U1707" s="300"/>
      <c r="V1707" s="300"/>
      <c r="W1707" s="300"/>
      <c r="X1707" s="300"/>
      <c r="Y1707" s="300"/>
      <c r="Z1707" s="300"/>
    </row>
    <row r="1708" spans="1:26">
      <c r="A1708" s="215" t="s">
        <v>3022</v>
      </c>
      <c r="B1708" s="207">
        <v>2290</v>
      </c>
      <c r="C1708" s="215" t="s">
        <v>5153</v>
      </c>
      <c r="D1708" s="215" t="s">
        <v>10305</v>
      </c>
      <c r="E1708" s="215" t="s">
        <v>10306</v>
      </c>
      <c r="F1708" s="215" t="s">
        <v>10284</v>
      </c>
      <c r="G1708" s="215" t="s">
        <v>10285</v>
      </c>
      <c r="H1708" s="215" t="s">
        <v>6500</v>
      </c>
      <c r="I1708" s="300"/>
      <c r="J1708" s="300"/>
      <c r="K1708" s="300"/>
      <c r="L1708" s="300"/>
      <c r="M1708" s="300"/>
      <c r="N1708" s="300"/>
      <c r="O1708" s="300"/>
      <c r="P1708" s="300"/>
      <c r="Q1708" s="300"/>
      <c r="R1708" s="300"/>
      <c r="S1708" s="300"/>
      <c r="T1708" s="300"/>
      <c r="U1708" s="300"/>
      <c r="V1708" s="300"/>
      <c r="W1708" s="300"/>
      <c r="X1708" s="300"/>
      <c r="Y1708" s="300"/>
      <c r="Z1708" s="300"/>
    </row>
    <row r="1709" spans="1:26">
      <c r="A1709" s="215" t="s">
        <v>3293</v>
      </c>
      <c r="B1709" s="207">
        <v>2291</v>
      </c>
      <c r="C1709" s="215" t="s">
        <v>5422</v>
      </c>
      <c r="D1709" s="215" t="s">
        <v>10307</v>
      </c>
      <c r="E1709" s="215" t="s">
        <v>10308</v>
      </c>
      <c r="F1709" s="215" t="s">
        <v>10284</v>
      </c>
      <c r="G1709" s="215" t="s">
        <v>10285</v>
      </c>
      <c r="H1709" s="215" t="s">
        <v>6504</v>
      </c>
      <c r="I1709" s="300"/>
      <c r="J1709" s="300"/>
      <c r="K1709" s="300"/>
      <c r="L1709" s="300"/>
      <c r="M1709" s="300"/>
      <c r="N1709" s="300"/>
      <c r="O1709" s="300"/>
      <c r="P1709" s="300"/>
      <c r="Q1709" s="300"/>
      <c r="R1709" s="300"/>
      <c r="S1709" s="300"/>
      <c r="T1709" s="300"/>
      <c r="U1709" s="300"/>
      <c r="V1709" s="300"/>
      <c r="W1709" s="300"/>
      <c r="X1709" s="300"/>
      <c r="Y1709" s="300"/>
      <c r="Z1709" s="300"/>
    </row>
    <row r="1710" spans="1:26">
      <c r="A1710" s="215" t="s">
        <v>3555</v>
      </c>
      <c r="B1710" s="207">
        <v>2292</v>
      </c>
      <c r="C1710" s="215" t="s">
        <v>5662</v>
      </c>
      <c r="D1710" s="215" t="s">
        <v>10309</v>
      </c>
      <c r="E1710" s="215" t="s">
        <v>10309</v>
      </c>
      <c r="F1710" s="215" t="s">
        <v>10284</v>
      </c>
      <c r="G1710" s="215" t="s">
        <v>10285</v>
      </c>
      <c r="H1710" s="215" t="s">
        <v>6497</v>
      </c>
      <c r="I1710" s="300"/>
      <c r="J1710" s="300"/>
      <c r="K1710" s="300"/>
      <c r="L1710" s="300"/>
      <c r="M1710" s="300"/>
      <c r="N1710" s="300"/>
      <c r="O1710" s="300"/>
      <c r="P1710" s="300"/>
      <c r="Q1710" s="300"/>
      <c r="R1710" s="300"/>
      <c r="S1710" s="300"/>
      <c r="T1710" s="300"/>
      <c r="U1710" s="300"/>
      <c r="V1710" s="300"/>
      <c r="W1710" s="300"/>
      <c r="X1710" s="300"/>
      <c r="Y1710" s="300"/>
      <c r="Z1710" s="300"/>
    </row>
    <row r="1711" spans="1:26">
      <c r="A1711" s="215" t="s">
        <v>4180</v>
      </c>
      <c r="B1711" s="207">
        <v>2293</v>
      </c>
      <c r="C1711" s="215" t="s">
        <v>6168</v>
      </c>
      <c r="D1711" s="215" t="s">
        <v>10310</v>
      </c>
      <c r="E1711" s="215" t="s">
        <v>10311</v>
      </c>
      <c r="F1711" s="215" t="s">
        <v>10284</v>
      </c>
      <c r="G1711" s="215" t="s">
        <v>10285</v>
      </c>
      <c r="H1711" s="215" t="s">
        <v>6504</v>
      </c>
      <c r="I1711" s="300"/>
      <c r="J1711" s="300"/>
      <c r="K1711" s="300"/>
      <c r="L1711" s="300"/>
      <c r="M1711" s="300"/>
      <c r="N1711" s="300"/>
      <c r="O1711" s="300"/>
      <c r="P1711" s="300"/>
      <c r="Q1711" s="300"/>
      <c r="R1711" s="300"/>
      <c r="S1711" s="300"/>
      <c r="T1711" s="300"/>
      <c r="U1711" s="300"/>
      <c r="V1711" s="300"/>
      <c r="W1711" s="300"/>
      <c r="X1711" s="300"/>
      <c r="Y1711" s="300"/>
      <c r="Z1711" s="300"/>
    </row>
    <row r="1712" spans="1:26">
      <c r="A1712" s="215" t="s">
        <v>10312</v>
      </c>
      <c r="B1712" s="207">
        <v>2294</v>
      </c>
      <c r="C1712" s="215" t="s">
        <v>6078</v>
      </c>
      <c r="D1712" s="215" t="s">
        <v>10313</v>
      </c>
      <c r="E1712" s="215" t="s">
        <v>10314</v>
      </c>
      <c r="F1712" s="215" t="s">
        <v>10284</v>
      </c>
      <c r="G1712" s="215" t="s">
        <v>10285</v>
      </c>
      <c r="H1712" s="215" t="s">
        <v>6504</v>
      </c>
      <c r="I1712" s="300"/>
      <c r="J1712" s="300"/>
      <c r="K1712" s="300"/>
      <c r="L1712" s="300"/>
      <c r="M1712" s="300"/>
      <c r="N1712" s="300"/>
      <c r="O1712" s="300"/>
      <c r="P1712" s="300"/>
      <c r="Q1712" s="300"/>
      <c r="R1712" s="300"/>
      <c r="S1712" s="300"/>
      <c r="T1712" s="300"/>
      <c r="U1712" s="300"/>
      <c r="V1712" s="300"/>
      <c r="W1712" s="300"/>
      <c r="X1712" s="300"/>
      <c r="Y1712" s="300"/>
      <c r="Z1712" s="300"/>
    </row>
    <row r="1713" spans="1:26">
      <c r="A1713" s="215" t="s">
        <v>4181</v>
      </c>
      <c r="B1713" s="207">
        <v>2295</v>
      </c>
      <c r="C1713" s="215" t="s">
        <v>6169</v>
      </c>
      <c r="D1713" s="215" t="s">
        <v>10315</v>
      </c>
      <c r="E1713" s="215" t="s">
        <v>10315</v>
      </c>
      <c r="F1713" s="215" t="s">
        <v>10284</v>
      </c>
      <c r="G1713" s="215" t="s">
        <v>10285</v>
      </c>
      <c r="H1713" s="215" t="s">
        <v>6497</v>
      </c>
      <c r="I1713" s="300"/>
      <c r="J1713" s="300"/>
      <c r="K1713" s="300"/>
      <c r="L1713" s="300"/>
      <c r="M1713" s="300"/>
      <c r="N1713" s="300"/>
      <c r="O1713" s="300"/>
      <c r="P1713" s="300"/>
      <c r="Q1713" s="300"/>
      <c r="R1713" s="300"/>
      <c r="S1713" s="300"/>
      <c r="T1713" s="300"/>
      <c r="U1713" s="300"/>
      <c r="V1713" s="300"/>
      <c r="W1713" s="300"/>
      <c r="X1713" s="300"/>
      <c r="Y1713" s="300"/>
      <c r="Z1713" s="300"/>
    </row>
    <row r="1714" spans="1:26">
      <c r="A1714" s="215" t="s">
        <v>4221</v>
      </c>
      <c r="B1714" s="207">
        <v>2296</v>
      </c>
      <c r="C1714" s="215" t="s">
        <v>6201</v>
      </c>
      <c r="D1714" s="215" t="s">
        <v>10316</v>
      </c>
      <c r="E1714" s="215" t="s">
        <v>10316</v>
      </c>
      <c r="F1714" s="215" t="s">
        <v>10284</v>
      </c>
      <c r="G1714" s="215" t="s">
        <v>10285</v>
      </c>
      <c r="H1714" s="215" t="s">
        <v>6500</v>
      </c>
      <c r="I1714" s="300"/>
      <c r="J1714" s="300"/>
      <c r="K1714" s="300"/>
      <c r="L1714" s="300"/>
      <c r="M1714" s="300"/>
      <c r="N1714" s="300"/>
      <c r="O1714" s="300"/>
      <c r="P1714" s="300"/>
      <c r="Q1714" s="300"/>
      <c r="R1714" s="300"/>
      <c r="S1714" s="300"/>
      <c r="T1714" s="300"/>
      <c r="U1714" s="300"/>
      <c r="V1714" s="300"/>
      <c r="W1714" s="300"/>
      <c r="X1714" s="300"/>
      <c r="Y1714" s="300"/>
      <c r="Z1714" s="300"/>
    </row>
    <row r="1715" spans="1:26">
      <c r="A1715" s="215" t="s">
        <v>3426</v>
      </c>
      <c r="B1715" s="207">
        <v>2297</v>
      </c>
      <c r="C1715" s="215" t="s">
        <v>10317</v>
      </c>
      <c r="D1715" s="215" t="s">
        <v>10318</v>
      </c>
      <c r="E1715" s="215" t="s">
        <v>10318</v>
      </c>
      <c r="F1715" s="215" t="s">
        <v>10284</v>
      </c>
      <c r="G1715" s="215" t="s">
        <v>10285</v>
      </c>
      <c r="H1715" s="215" t="s">
        <v>6497</v>
      </c>
      <c r="I1715" s="300"/>
      <c r="J1715" s="300"/>
      <c r="K1715" s="300"/>
      <c r="L1715" s="300"/>
      <c r="M1715" s="300"/>
      <c r="N1715" s="300"/>
      <c r="O1715" s="300"/>
      <c r="P1715" s="300"/>
      <c r="Q1715" s="300"/>
      <c r="R1715" s="300"/>
      <c r="S1715" s="300"/>
      <c r="T1715" s="300"/>
      <c r="U1715" s="300"/>
      <c r="V1715" s="300"/>
      <c r="W1715" s="300"/>
      <c r="X1715" s="300"/>
      <c r="Y1715" s="300"/>
      <c r="Z1715" s="300"/>
    </row>
    <row r="1716" spans="1:26">
      <c r="A1716" s="215" t="s">
        <v>3428</v>
      </c>
      <c r="B1716" s="207">
        <v>2298</v>
      </c>
      <c r="C1716" s="215" t="s">
        <v>10319</v>
      </c>
      <c r="D1716" s="215" t="s">
        <v>10320</v>
      </c>
      <c r="E1716" s="215" t="s">
        <v>10321</v>
      </c>
      <c r="F1716" s="215" t="s">
        <v>10284</v>
      </c>
      <c r="G1716" s="215" t="s">
        <v>10285</v>
      </c>
      <c r="H1716" s="215" t="s">
        <v>6497</v>
      </c>
      <c r="I1716" s="300"/>
      <c r="J1716" s="300"/>
      <c r="K1716" s="300"/>
      <c r="L1716" s="300"/>
      <c r="M1716" s="300"/>
      <c r="N1716" s="300"/>
      <c r="O1716" s="300"/>
      <c r="P1716" s="300"/>
      <c r="Q1716" s="300"/>
      <c r="R1716" s="300"/>
      <c r="S1716" s="300"/>
      <c r="T1716" s="300"/>
      <c r="U1716" s="300"/>
      <c r="V1716" s="300"/>
      <c r="W1716" s="300"/>
      <c r="X1716" s="300"/>
      <c r="Y1716" s="300"/>
      <c r="Z1716" s="300"/>
    </row>
    <row r="1717" spans="1:26">
      <c r="A1717" s="215" t="s">
        <v>3646</v>
      </c>
      <c r="B1717" s="207">
        <v>2468</v>
      </c>
      <c r="C1717" s="215" t="s">
        <v>10322</v>
      </c>
      <c r="D1717" s="215" t="s">
        <v>10323</v>
      </c>
      <c r="E1717" s="215" t="s">
        <v>10323</v>
      </c>
      <c r="F1717" s="215" t="s">
        <v>10284</v>
      </c>
      <c r="G1717" s="215" t="s">
        <v>10285</v>
      </c>
      <c r="H1717" s="215" t="s">
        <v>6497</v>
      </c>
      <c r="I1717" s="300"/>
      <c r="J1717" s="300"/>
      <c r="K1717" s="300"/>
      <c r="L1717" s="300"/>
      <c r="M1717" s="300"/>
      <c r="N1717" s="300"/>
      <c r="O1717" s="300"/>
      <c r="P1717" s="300"/>
      <c r="Q1717" s="300"/>
      <c r="R1717" s="300"/>
      <c r="S1717" s="300"/>
      <c r="T1717" s="300"/>
      <c r="U1717" s="300"/>
      <c r="V1717" s="300"/>
      <c r="W1717" s="300"/>
      <c r="X1717" s="300"/>
      <c r="Y1717" s="300"/>
      <c r="Z1717" s="300"/>
    </row>
    <row r="1718" spans="1:26">
      <c r="A1718" s="215" t="s">
        <v>3309</v>
      </c>
      <c r="B1718" s="207">
        <v>2469</v>
      </c>
      <c r="C1718" s="215" t="s">
        <v>5435</v>
      </c>
      <c r="D1718" s="215" t="s">
        <v>10324</v>
      </c>
      <c r="E1718" s="215" t="s">
        <v>10325</v>
      </c>
      <c r="F1718" s="215" t="s">
        <v>10284</v>
      </c>
      <c r="G1718" s="215" t="s">
        <v>10285</v>
      </c>
      <c r="H1718" s="215" t="s">
        <v>6497</v>
      </c>
      <c r="I1718" s="300"/>
      <c r="J1718" s="300"/>
      <c r="K1718" s="300"/>
      <c r="L1718" s="300"/>
      <c r="M1718" s="300"/>
      <c r="N1718" s="300"/>
      <c r="O1718" s="300"/>
      <c r="P1718" s="300"/>
      <c r="Q1718" s="300"/>
      <c r="R1718" s="300"/>
      <c r="S1718" s="300"/>
      <c r="T1718" s="300"/>
      <c r="U1718" s="300"/>
      <c r="V1718" s="300"/>
      <c r="W1718" s="300"/>
      <c r="X1718" s="300"/>
      <c r="Y1718" s="300"/>
      <c r="Z1718" s="300"/>
    </row>
    <row r="1719" spans="1:26">
      <c r="A1719" s="215" t="s">
        <v>10326</v>
      </c>
      <c r="B1719" s="207">
        <v>2621</v>
      </c>
      <c r="C1719" s="215" t="s">
        <v>10327</v>
      </c>
      <c r="D1719" s="215" t="s">
        <v>10328</v>
      </c>
      <c r="E1719" s="215" t="s">
        <v>10328</v>
      </c>
      <c r="F1719" s="215" t="s">
        <v>10284</v>
      </c>
      <c r="G1719" s="215" t="s">
        <v>10285</v>
      </c>
      <c r="H1719" s="215" t="s">
        <v>6548</v>
      </c>
      <c r="I1719" s="300"/>
      <c r="J1719" s="300"/>
      <c r="K1719" s="300"/>
      <c r="L1719" s="300"/>
      <c r="M1719" s="300"/>
      <c r="N1719" s="300"/>
      <c r="O1719" s="300"/>
      <c r="P1719" s="300"/>
      <c r="Q1719" s="300"/>
      <c r="R1719" s="300"/>
      <c r="S1719" s="300"/>
      <c r="T1719" s="300"/>
      <c r="U1719" s="300"/>
      <c r="V1719" s="300"/>
      <c r="W1719" s="300"/>
      <c r="X1719" s="300"/>
      <c r="Y1719" s="300"/>
      <c r="Z1719" s="300"/>
    </row>
    <row r="1720" spans="1:26">
      <c r="A1720" s="215"/>
      <c r="B1720" s="207">
        <v>2727</v>
      </c>
      <c r="C1720" s="215" t="s">
        <v>10329</v>
      </c>
      <c r="D1720" s="215" t="s">
        <v>10330</v>
      </c>
      <c r="E1720" s="215" t="s">
        <v>10330</v>
      </c>
      <c r="F1720" s="215" t="s">
        <v>10284</v>
      </c>
      <c r="G1720" s="215" t="s">
        <v>10285</v>
      </c>
      <c r="H1720" s="215" t="s">
        <v>6497</v>
      </c>
      <c r="I1720" s="300"/>
      <c r="J1720" s="300"/>
      <c r="K1720" s="300"/>
      <c r="L1720" s="300"/>
      <c r="M1720" s="300"/>
      <c r="N1720" s="300"/>
      <c r="O1720" s="300"/>
      <c r="P1720" s="300"/>
      <c r="Q1720" s="300"/>
      <c r="R1720" s="300"/>
      <c r="S1720" s="300"/>
      <c r="T1720" s="300"/>
      <c r="U1720" s="300"/>
      <c r="V1720" s="300"/>
      <c r="W1720" s="300"/>
      <c r="X1720" s="300"/>
      <c r="Y1720" s="300"/>
      <c r="Z1720" s="300"/>
    </row>
    <row r="1721" spans="1:26">
      <c r="A1721" s="215" t="s">
        <v>4496</v>
      </c>
      <c r="B1721" s="207">
        <v>128</v>
      </c>
      <c r="C1721" s="215" t="s">
        <v>6415</v>
      </c>
      <c r="D1721" s="215" t="s">
        <v>10331</v>
      </c>
      <c r="E1721" s="215" t="s">
        <v>4495</v>
      </c>
      <c r="F1721" s="215" t="s">
        <v>10332</v>
      </c>
      <c r="G1721" s="215" t="s">
        <v>10333</v>
      </c>
      <c r="H1721" s="215" t="s">
        <v>6500</v>
      </c>
      <c r="I1721" s="300"/>
      <c r="J1721" s="300"/>
      <c r="K1721" s="300"/>
      <c r="L1721" s="300"/>
      <c r="M1721" s="300"/>
      <c r="N1721" s="300"/>
      <c r="O1721" s="300"/>
      <c r="P1721" s="300"/>
      <c r="Q1721" s="300"/>
      <c r="R1721" s="300"/>
      <c r="S1721" s="300"/>
      <c r="T1721" s="300"/>
      <c r="U1721" s="300"/>
      <c r="V1721" s="300"/>
      <c r="W1721" s="300"/>
      <c r="X1721" s="300"/>
      <c r="Y1721" s="300"/>
      <c r="Z1721" s="300"/>
    </row>
    <row r="1722" spans="1:26">
      <c r="A1722" s="215" t="s">
        <v>3953</v>
      </c>
      <c r="B1722" s="207">
        <v>2158</v>
      </c>
      <c r="C1722" s="215" t="s">
        <v>5988</v>
      </c>
      <c r="D1722" s="215" t="s">
        <v>10334</v>
      </c>
      <c r="E1722" s="215" t="s">
        <v>10334</v>
      </c>
      <c r="F1722" s="215" t="s">
        <v>10335</v>
      </c>
      <c r="G1722" s="215" t="s">
        <v>10336</v>
      </c>
      <c r="H1722" s="215" t="s">
        <v>6504</v>
      </c>
      <c r="I1722" s="300"/>
      <c r="J1722" s="300"/>
      <c r="K1722" s="300"/>
      <c r="L1722" s="300"/>
      <c r="M1722" s="300"/>
      <c r="N1722" s="300"/>
      <c r="O1722" s="300"/>
      <c r="P1722" s="300"/>
      <c r="Q1722" s="300"/>
      <c r="R1722" s="300"/>
      <c r="S1722" s="300"/>
      <c r="T1722" s="300"/>
      <c r="U1722" s="300"/>
      <c r="V1722" s="300"/>
      <c r="W1722" s="300"/>
      <c r="X1722" s="300"/>
      <c r="Y1722" s="300"/>
      <c r="Z1722" s="300"/>
    </row>
    <row r="1723" spans="1:26">
      <c r="A1723" s="215" t="s">
        <v>2699</v>
      </c>
      <c r="B1723" s="207">
        <v>2159</v>
      </c>
      <c r="C1723" s="215" t="s">
        <v>10337</v>
      </c>
      <c r="D1723" s="215" t="s">
        <v>10338</v>
      </c>
      <c r="E1723" s="215" t="s">
        <v>10339</v>
      </c>
      <c r="F1723" s="215" t="s">
        <v>10335</v>
      </c>
      <c r="G1723" s="215" t="s">
        <v>10336</v>
      </c>
      <c r="H1723" s="215" t="s">
        <v>6497</v>
      </c>
      <c r="I1723" s="300"/>
      <c r="J1723" s="300"/>
      <c r="K1723" s="300"/>
      <c r="L1723" s="300"/>
      <c r="M1723" s="300"/>
      <c r="N1723" s="300"/>
      <c r="O1723" s="300"/>
      <c r="P1723" s="300"/>
      <c r="Q1723" s="300"/>
      <c r="R1723" s="300"/>
      <c r="S1723" s="300"/>
      <c r="T1723" s="300"/>
      <c r="U1723" s="300"/>
      <c r="V1723" s="300"/>
      <c r="W1723" s="300"/>
      <c r="X1723" s="300"/>
      <c r="Y1723" s="300"/>
      <c r="Z1723" s="300"/>
    </row>
    <row r="1724" spans="1:26">
      <c r="A1724" s="215" t="s">
        <v>2679</v>
      </c>
      <c r="B1724" s="207">
        <v>2160</v>
      </c>
      <c r="C1724" s="215" t="s">
        <v>10340</v>
      </c>
      <c r="D1724" s="215" t="s">
        <v>10341</v>
      </c>
      <c r="E1724" s="215" t="s">
        <v>2707</v>
      </c>
      <c r="F1724" s="215" t="s">
        <v>10335</v>
      </c>
      <c r="G1724" s="215" t="s">
        <v>10336</v>
      </c>
      <c r="H1724" s="215" t="s">
        <v>6497</v>
      </c>
      <c r="I1724" s="300"/>
      <c r="J1724" s="300"/>
      <c r="K1724" s="300"/>
      <c r="L1724" s="300"/>
      <c r="M1724" s="300"/>
      <c r="N1724" s="300"/>
      <c r="O1724" s="300"/>
      <c r="P1724" s="300"/>
      <c r="Q1724" s="300"/>
      <c r="R1724" s="300"/>
      <c r="S1724" s="300"/>
      <c r="T1724" s="300"/>
      <c r="U1724" s="300"/>
      <c r="V1724" s="300"/>
      <c r="W1724" s="300"/>
      <c r="X1724" s="300"/>
      <c r="Y1724" s="300"/>
      <c r="Z1724" s="300"/>
    </row>
    <row r="1725" spans="1:26">
      <c r="A1725" s="215" t="s">
        <v>4083</v>
      </c>
      <c r="B1725" s="207">
        <v>2161</v>
      </c>
      <c r="C1725" s="215" t="s">
        <v>10342</v>
      </c>
      <c r="D1725" s="215" t="s">
        <v>10343</v>
      </c>
      <c r="E1725" s="215" t="s">
        <v>10344</v>
      </c>
      <c r="F1725" s="215" t="s">
        <v>10335</v>
      </c>
      <c r="G1725" s="215" t="s">
        <v>10336</v>
      </c>
      <c r="H1725" s="215" t="s">
        <v>6548</v>
      </c>
      <c r="I1725" s="300"/>
      <c r="J1725" s="300"/>
      <c r="K1725" s="300"/>
      <c r="L1725" s="300"/>
      <c r="M1725" s="300"/>
      <c r="N1725" s="300"/>
      <c r="O1725" s="300"/>
      <c r="P1725" s="300"/>
      <c r="Q1725" s="300"/>
      <c r="R1725" s="300"/>
      <c r="S1725" s="300"/>
      <c r="T1725" s="300"/>
      <c r="U1725" s="300"/>
      <c r="V1725" s="300"/>
      <c r="W1725" s="300"/>
      <c r="X1725" s="300"/>
      <c r="Y1725" s="300"/>
      <c r="Z1725" s="300"/>
    </row>
    <row r="1726" spans="1:26">
      <c r="A1726" s="215" t="s">
        <v>3744</v>
      </c>
      <c r="B1726" s="207">
        <v>2489</v>
      </c>
      <c r="C1726" s="215" t="s">
        <v>5824</v>
      </c>
      <c r="D1726" s="215" t="s">
        <v>10345</v>
      </c>
      <c r="E1726" s="215" t="s">
        <v>10345</v>
      </c>
      <c r="F1726" s="215" t="s">
        <v>10335</v>
      </c>
      <c r="G1726" s="215" t="s">
        <v>10336</v>
      </c>
      <c r="H1726" s="215" t="s">
        <v>6521</v>
      </c>
      <c r="I1726" s="300"/>
      <c r="J1726" s="300"/>
      <c r="K1726" s="300"/>
      <c r="L1726" s="300"/>
      <c r="M1726" s="300"/>
      <c r="N1726" s="300"/>
      <c r="O1726" s="300"/>
      <c r="P1726" s="300"/>
      <c r="Q1726" s="300"/>
      <c r="R1726" s="300"/>
      <c r="S1726" s="300"/>
      <c r="T1726" s="300"/>
      <c r="U1726" s="300"/>
      <c r="V1726" s="300"/>
      <c r="W1726" s="300"/>
      <c r="X1726" s="300"/>
      <c r="Y1726" s="300"/>
      <c r="Z1726" s="300"/>
    </row>
    <row r="1727" spans="1:26">
      <c r="A1727" s="215" t="s">
        <v>3688</v>
      </c>
      <c r="B1727" s="207">
        <v>2490</v>
      </c>
      <c r="C1727" s="215" t="s">
        <v>5776</v>
      </c>
      <c r="D1727" s="215" t="s">
        <v>10346</v>
      </c>
      <c r="E1727" s="215" t="s">
        <v>10346</v>
      </c>
      <c r="F1727" s="215" t="s">
        <v>10335</v>
      </c>
      <c r="G1727" s="215" t="s">
        <v>10336</v>
      </c>
      <c r="H1727" s="215" t="s">
        <v>6521</v>
      </c>
      <c r="I1727" s="300"/>
      <c r="J1727" s="300"/>
      <c r="K1727" s="300"/>
      <c r="L1727" s="300"/>
      <c r="M1727" s="300"/>
      <c r="N1727" s="300"/>
      <c r="O1727" s="300"/>
      <c r="P1727" s="300"/>
      <c r="Q1727" s="300"/>
      <c r="R1727" s="300"/>
      <c r="S1727" s="300"/>
      <c r="T1727" s="300"/>
      <c r="U1727" s="300"/>
      <c r="V1727" s="300"/>
      <c r="W1727" s="300"/>
      <c r="X1727" s="300"/>
      <c r="Y1727" s="300"/>
      <c r="Z1727" s="300"/>
    </row>
    <row r="1728" spans="1:26">
      <c r="A1728" s="215" t="s">
        <v>3298</v>
      </c>
      <c r="B1728" s="207">
        <v>2491</v>
      </c>
      <c r="C1728" s="215" t="s">
        <v>5429</v>
      </c>
      <c r="D1728" s="215" t="s">
        <v>10347</v>
      </c>
      <c r="E1728" s="215" t="s">
        <v>10347</v>
      </c>
      <c r="F1728" s="215" t="s">
        <v>10335</v>
      </c>
      <c r="G1728" s="215" t="s">
        <v>10336</v>
      </c>
      <c r="H1728" s="215" t="s">
        <v>6521</v>
      </c>
      <c r="I1728" s="300"/>
      <c r="J1728" s="300"/>
      <c r="K1728" s="300"/>
      <c r="L1728" s="300"/>
      <c r="M1728" s="300"/>
      <c r="N1728" s="300"/>
      <c r="O1728" s="300"/>
      <c r="P1728" s="300"/>
      <c r="Q1728" s="300"/>
      <c r="R1728" s="300"/>
      <c r="S1728" s="300"/>
      <c r="T1728" s="300"/>
      <c r="U1728" s="300"/>
      <c r="V1728" s="300"/>
      <c r="W1728" s="300"/>
      <c r="X1728" s="300"/>
      <c r="Y1728" s="300"/>
      <c r="Z1728" s="300"/>
    </row>
    <row r="1729" spans="1:26">
      <c r="A1729" s="215" t="s">
        <v>3748</v>
      </c>
      <c r="B1729" s="207">
        <v>2492</v>
      </c>
      <c r="C1729" s="215" t="s">
        <v>5828</v>
      </c>
      <c r="D1729" s="215" t="s">
        <v>10348</v>
      </c>
      <c r="E1729" s="215" t="s">
        <v>10348</v>
      </c>
      <c r="F1729" s="215" t="s">
        <v>10335</v>
      </c>
      <c r="G1729" s="215" t="s">
        <v>10336</v>
      </c>
      <c r="H1729" s="215" t="s">
        <v>6500</v>
      </c>
      <c r="I1729" s="300"/>
      <c r="J1729" s="300"/>
      <c r="K1729" s="300"/>
      <c r="L1729" s="300"/>
      <c r="M1729" s="300"/>
      <c r="N1729" s="300"/>
      <c r="O1729" s="300"/>
      <c r="P1729" s="300"/>
      <c r="Q1729" s="300"/>
      <c r="R1729" s="300"/>
      <c r="S1729" s="300"/>
      <c r="T1729" s="300"/>
      <c r="U1729" s="300"/>
      <c r="V1729" s="300"/>
      <c r="W1729" s="300"/>
      <c r="X1729" s="300"/>
      <c r="Y1729" s="300"/>
      <c r="Z1729" s="300"/>
    </row>
    <row r="1730" spans="1:26">
      <c r="A1730" s="215" t="s">
        <v>3124</v>
      </c>
      <c r="B1730" s="207">
        <v>2493</v>
      </c>
      <c r="C1730" s="215" t="s">
        <v>5264</v>
      </c>
      <c r="D1730" s="215" t="s">
        <v>10349</v>
      </c>
      <c r="E1730" s="215" t="s">
        <v>10349</v>
      </c>
      <c r="F1730" s="215" t="s">
        <v>10335</v>
      </c>
      <c r="G1730" s="215" t="s">
        <v>10336</v>
      </c>
      <c r="H1730" s="215" t="s">
        <v>6521</v>
      </c>
      <c r="I1730" s="300"/>
      <c r="J1730" s="300"/>
      <c r="K1730" s="300"/>
      <c r="L1730" s="300"/>
      <c r="M1730" s="300"/>
      <c r="N1730" s="300"/>
      <c r="O1730" s="300"/>
      <c r="P1730" s="300"/>
      <c r="Q1730" s="300"/>
      <c r="R1730" s="300"/>
      <c r="S1730" s="300"/>
      <c r="T1730" s="300"/>
      <c r="U1730" s="300"/>
      <c r="V1730" s="300"/>
      <c r="W1730" s="300"/>
      <c r="X1730" s="300"/>
      <c r="Y1730" s="300"/>
      <c r="Z1730" s="300"/>
    </row>
    <row r="1731" spans="1:26">
      <c r="A1731" s="215" t="s">
        <v>3928</v>
      </c>
      <c r="B1731" s="207">
        <v>2494</v>
      </c>
      <c r="C1731" s="215" t="s">
        <v>5972</v>
      </c>
      <c r="D1731" s="215" t="s">
        <v>10350</v>
      </c>
      <c r="E1731" s="215" t="s">
        <v>10350</v>
      </c>
      <c r="F1731" s="215" t="s">
        <v>10335</v>
      </c>
      <c r="G1731" s="215" t="s">
        <v>10336</v>
      </c>
      <c r="H1731" s="215" t="s">
        <v>6504</v>
      </c>
      <c r="I1731" s="300"/>
      <c r="J1731" s="300"/>
      <c r="K1731" s="300"/>
      <c r="L1731" s="300"/>
      <c r="M1731" s="300"/>
      <c r="N1731" s="300"/>
      <c r="O1731" s="300"/>
      <c r="P1731" s="300"/>
      <c r="Q1731" s="300"/>
      <c r="R1731" s="300"/>
      <c r="S1731" s="300"/>
      <c r="T1731" s="300"/>
      <c r="U1731" s="300"/>
      <c r="V1731" s="300"/>
      <c r="W1731" s="300"/>
      <c r="X1731" s="300"/>
      <c r="Y1731" s="300"/>
      <c r="Z1731" s="300"/>
    </row>
    <row r="1732" spans="1:26">
      <c r="A1732" s="215" t="s">
        <v>3938</v>
      </c>
      <c r="B1732" s="207">
        <v>2495</v>
      </c>
      <c r="C1732" s="215" t="s">
        <v>10351</v>
      </c>
      <c r="D1732" s="215" t="s">
        <v>10352</v>
      </c>
      <c r="E1732" s="215" t="s">
        <v>10353</v>
      </c>
      <c r="F1732" s="215" t="s">
        <v>10335</v>
      </c>
      <c r="G1732" s="215" t="s">
        <v>10336</v>
      </c>
      <c r="H1732" s="215" t="s">
        <v>6500</v>
      </c>
      <c r="I1732" s="300"/>
      <c r="J1732" s="300"/>
      <c r="K1732" s="300"/>
      <c r="L1732" s="300"/>
      <c r="M1732" s="300"/>
      <c r="N1732" s="300"/>
      <c r="O1732" s="300"/>
      <c r="P1732" s="300"/>
      <c r="Q1732" s="300"/>
      <c r="R1732" s="300"/>
      <c r="S1732" s="300"/>
      <c r="T1732" s="300"/>
      <c r="U1732" s="300"/>
      <c r="V1732" s="300"/>
      <c r="W1732" s="300"/>
      <c r="X1732" s="300"/>
      <c r="Y1732" s="300"/>
      <c r="Z1732" s="300"/>
    </row>
    <row r="1733" spans="1:26">
      <c r="A1733" s="215" t="s">
        <v>10354</v>
      </c>
      <c r="B1733" s="207">
        <v>2496</v>
      </c>
      <c r="C1733" s="215" t="s">
        <v>10355</v>
      </c>
      <c r="D1733" s="215" t="s">
        <v>10356</v>
      </c>
      <c r="E1733" s="215" t="s">
        <v>10357</v>
      </c>
      <c r="F1733" s="215" t="s">
        <v>10335</v>
      </c>
      <c r="G1733" s="215" t="s">
        <v>10336</v>
      </c>
      <c r="H1733" s="215" t="s">
        <v>6500</v>
      </c>
      <c r="I1733" s="300"/>
      <c r="J1733" s="300"/>
      <c r="K1733" s="300"/>
      <c r="L1733" s="300"/>
      <c r="M1733" s="300"/>
      <c r="N1733" s="300"/>
      <c r="O1733" s="300"/>
      <c r="P1733" s="300"/>
      <c r="Q1733" s="300"/>
      <c r="R1733" s="300"/>
      <c r="S1733" s="300"/>
      <c r="T1733" s="300"/>
      <c r="U1733" s="300"/>
      <c r="V1733" s="300"/>
      <c r="W1733" s="300"/>
      <c r="X1733" s="300"/>
      <c r="Y1733" s="300"/>
      <c r="Z1733" s="300"/>
    </row>
    <row r="1734" spans="1:26">
      <c r="A1734" s="215" t="s">
        <v>2840</v>
      </c>
      <c r="B1734" s="207">
        <v>2497</v>
      </c>
      <c r="C1734" s="215" t="s">
        <v>5003</v>
      </c>
      <c r="D1734" s="215" t="s">
        <v>10358</v>
      </c>
      <c r="E1734" s="215" t="s">
        <v>10359</v>
      </c>
      <c r="F1734" s="215" t="s">
        <v>10335</v>
      </c>
      <c r="G1734" s="215" t="s">
        <v>10336</v>
      </c>
      <c r="H1734" s="215" t="s">
        <v>6500</v>
      </c>
      <c r="I1734" s="300"/>
      <c r="J1734" s="300"/>
      <c r="K1734" s="300"/>
      <c r="L1734" s="300"/>
      <c r="M1734" s="300"/>
      <c r="N1734" s="300"/>
      <c r="O1734" s="300"/>
      <c r="P1734" s="300"/>
      <c r="Q1734" s="300"/>
      <c r="R1734" s="300"/>
      <c r="S1734" s="300"/>
      <c r="T1734" s="300"/>
      <c r="U1734" s="300"/>
      <c r="V1734" s="300"/>
      <c r="W1734" s="300"/>
      <c r="X1734" s="300"/>
      <c r="Y1734" s="300"/>
      <c r="Z1734" s="300"/>
    </row>
    <row r="1735" spans="1:26">
      <c r="A1735" s="215" t="s">
        <v>3747</v>
      </c>
      <c r="B1735" s="207">
        <v>2498</v>
      </c>
      <c r="C1735" s="215" t="s">
        <v>5827</v>
      </c>
      <c r="D1735" s="215" t="s">
        <v>10360</v>
      </c>
      <c r="E1735" s="215" t="s">
        <v>10360</v>
      </c>
      <c r="F1735" s="215" t="s">
        <v>10335</v>
      </c>
      <c r="G1735" s="215" t="s">
        <v>10336</v>
      </c>
      <c r="H1735" s="215" t="s">
        <v>6504</v>
      </c>
      <c r="I1735" s="300"/>
      <c r="J1735" s="300"/>
      <c r="K1735" s="300"/>
      <c r="L1735" s="300"/>
      <c r="M1735" s="300"/>
      <c r="N1735" s="300"/>
      <c r="O1735" s="300"/>
      <c r="P1735" s="300"/>
      <c r="Q1735" s="300"/>
      <c r="R1735" s="300"/>
      <c r="S1735" s="300"/>
      <c r="T1735" s="300"/>
      <c r="U1735" s="300"/>
      <c r="V1735" s="300"/>
      <c r="W1735" s="300"/>
      <c r="X1735" s="300"/>
      <c r="Y1735" s="300"/>
      <c r="Z1735" s="300"/>
    </row>
    <row r="1736" spans="1:26">
      <c r="A1736" s="215" t="s">
        <v>10361</v>
      </c>
      <c r="B1736" s="207">
        <v>2499</v>
      </c>
      <c r="C1736" s="215" t="s">
        <v>10362</v>
      </c>
      <c r="D1736" s="215" t="s">
        <v>10363</v>
      </c>
      <c r="E1736" s="215" t="s">
        <v>10364</v>
      </c>
      <c r="F1736" s="215" t="s">
        <v>10335</v>
      </c>
      <c r="G1736" s="215" t="s">
        <v>10336</v>
      </c>
      <c r="H1736" s="215" t="s">
        <v>6500</v>
      </c>
      <c r="I1736" s="300"/>
      <c r="J1736" s="300"/>
      <c r="K1736" s="300"/>
      <c r="L1736" s="300"/>
      <c r="M1736" s="300"/>
      <c r="N1736" s="300"/>
      <c r="O1736" s="300"/>
      <c r="P1736" s="300"/>
      <c r="Q1736" s="300"/>
      <c r="R1736" s="300"/>
      <c r="S1736" s="300"/>
      <c r="T1736" s="300"/>
      <c r="U1736" s="300"/>
      <c r="V1736" s="300"/>
      <c r="W1736" s="300"/>
      <c r="X1736" s="300"/>
      <c r="Y1736" s="300"/>
      <c r="Z1736" s="300"/>
    </row>
    <row r="1737" spans="1:26">
      <c r="A1737" s="215" t="s">
        <v>2748</v>
      </c>
      <c r="B1737" s="207">
        <v>2500</v>
      </c>
      <c r="C1737" s="215" t="s">
        <v>4902</v>
      </c>
      <c r="D1737" s="215" t="s">
        <v>10365</v>
      </c>
      <c r="E1737" s="215" t="s">
        <v>10366</v>
      </c>
      <c r="F1737" s="215" t="s">
        <v>10335</v>
      </c>
      <c r="G1737" s="215" t="s">
        <v>10336</v>
      </c>
      <c r="H1737" s="215" t="s">
        <v>6521</v>
      </c>
      <c r="I1737" s="300"/>
      <c r="J1737" s="300"/>
      <c r="K1737" s="300"/>
      <c r="L1737" s="300"/>
      <c r="M1737" s="300"/>
      <c r="N1737" s="300"/>
      <c r="O1737" s="300"/>
      <c r="P1737" s="300"/>
      <c r="Q1737" s="300"/>
      <c r="R1737" s="300"/>
      <c r="S1737" s="300"/>
      <c r="T1737" s="300"/>
      <c r="U1737" s="300"/>
      <c r="V1737" s="300"/>
      <c r="W1737" s="300"/>
      <c r="X1737" s="300"/>
      <c r="Y1737" s="300"/>
      <c r="Z1737" s="300"/>
    </row>
    <row r="1738" spans="1:26">
      <c r="A1738" s="215" t="s">
        <v>3072</v>
      </c>
      <c r="B1738" s="207">
        <v>2501</v>
      </c>
      <c r="C1738" s="215" t="s">
        <v>5206</v>
      </c>
      <c r="D1738" s="215" t="s">
        <v>10367</v>
      </c>
      <c r="E1738" s="215" t="s">
        <v>10368</v>
      </c>
      <c r="F1738" s="215" t="s">
        <v>10335</v>
      </c>
      <c r="G1738" s="215" t="s">
        <v>10336</v>
      </c>
      <c r="H1738" s="215" t="s">
        <v>6521</v>
      </c>
      <c r="I1738" s="300"/>
      <c r="J1738" s="300"/>
      <c r="K1738" s="300"/>
      <c r="L1738" s="300"/>
      <c r="M1738" s="300"/>
      <c r="N1738" s="300"/>
      <c r="O1738" s="300"/>
      <c r="P1738" s="300"/>
      <c r="Q1738" s="300"/>
      <c r="R1738" s="300"/>
      <c r="S1738" s="300"/>
      <c r="T1738" s="300"/>
      <c r="U1738" s="300"/>
      <c r="V1738" s="300"/>
      <c r="W1738" s="300"/>
      <c r="X1738" s="300"/>
      <c r="Y1738" s="300"/>
      <c r="Z1738" s="300"/>
    </row>
    <row r="1739" spans="1:26">
      <c r="A1739" s="215" t="s">
        <v>4386</v>
      </c>
      <c r="B1739" s="207">
        <v>2502</v>
      </c>
      <c r="C1739" s="215" t="s">
        <v>10369</v>
      </c>
      <c r="D1739" s="215" t="s">
        <v>10370</v>
      </c>
      <c r="E1739" s="215" t="s">
        <v>10371</v>
      </c>
      <c r="F1739" s="215" t="s">
        <v>10335</v>
      </c>
      <c r="G1739" s="215" t="s">
        <v>10336</v>
      </c>
      <c r="H1739" s="215" t="s">
        <v>6521</v>
      </c>
      <c r="I1739" s="300"/>
      <c r="J1739" s="300"/>
      <c r="K1739" s="300"/>
      <c r="L1739" s="300"/>
      <c r="M1739" s="300"/>
      <c r="N1739" s="300"/>
      <c r="O1739" s="300"/>
      <c r="P1739" s="300"/>
      <c r="Q1739" s="300"/>
      <c r="R1739" s="300"/>
      <c r="S1739" s="300"/>
      <c r="T1739" s="300"/>
      <c r="U1739" s="300"/>
      <c r="V1739" s="300"/>
      <c r="W1739" s="300"/>
      <c r="X1739" s="300"/>
      <c r="Y1739" s="300"/>
      <c r="Z1739" s="300"/>
    </row>
    <row r="1740" spans="1:26">
      <c r="A1740" s="215" t="s">
        <v>4386</v>
      </c>
      <c r="B1740" s="207">
        <v>2503</v>
      </c>
      <c r="C1740" s="215" t="s">
        <v>10372</v>
      </c>
      <c r="D1740" s="215" t="s">
        <v>10373</v>
      </c>
      <c r="E1740" s="215" t="s">
        <v>10374</v>
      </c>
      <c r="F1740" s="215" t="s">
        <v>10335</v>
      </c>
      <c r="G1740" s="215" t="s">
        <v>10336</v>
      </c>
      <c r="H1740" s="215" t="s">
        <v>6521</v>
      </c>
      <c r="I1740" s="300"/>
      <c r="J1740" s="300"/>
      <c r="K1740" s="300"/>
      <c r="L1740" s="300"/>
      <c r="M1740" s="300"/>
      <c r="N1740" s="300"/>
      <c r="O1740" s="300"/>
      <c r="P1740" s="300"/>
      <c r="Q1740" s="300"/>
      <c r="R1740" s="300"/>
      <c r="S1740" s="300"/>
      <c r="T1740" s="300"/>
      <c r="U1740" s="300"/>
      <c r="V1740" s="300"/>
      <c r="W1740" s="300"/>
      <c r="X1740" s="300"/>
      <c r="Y1740" s="300"/>
      <c r="Z1740" s="300"/>
    </row>
    <row r="1741" spans="1:26">
      <c r="A1741" s="215" t="s">
        <v>4246</v>
      </c>
      <c r="B1741" s="207">
        <v>2065</v>
      </c>
      <c r="C1741" s="215" t="s">
        <v>6220</v>
      </c>
      <c r="D1741" s="215" t="s">
        <v>10375</v>
      </c>
      <c r="E1741" s="215" t="s">
        <v>10210</v>
      </c>
      <c r="F1741" s="215" t="s">
        <v>10376</v>
      </c>
      <c r="G1741" s="215" t="s">
        <v>10377</v>
      </c>
      <c r="H1741" s="215" t="s">
        <v>6521</v>
      </c>
      <c r="I1741" s="300"/>
      <c r="J1741" s="300"/>
      <c r="K1741" s="300"/>
      <c r="L1741" s="300"/>
      <c r="M1741" s="300"/>
      <c r="N1741" s="300"/>
      <c r="O1741" s="300"/>
      <c r="P1741" s="300"/>
      <c r="Q1741" s="300"/>
      <c r="R1741" s="300"/>
      <c r="S1741" s="300"/>
      <c r="T1741" s="300"/>
      <c r="U1741" s="300"/>
      <c r="V1741" s="300"/>
      <c r="W1741" s="300"/>
      <c r="X1741" s="300"/>
      <c r="Y1741" s="300"/>
      <c r="Z1741" s="300"/>
    </row>
    <row r="1742" spans="1:26">
      <c r="A1742" s="215"/>
      <c r="B1742" s="207">
        <v>2210</v>
      </c>
      <c r="C1742" s="215" t="s">
        <v>6209</v>
      </c>
      <c r="D1742" s="215" t="s">
        <v>10378</v>
      </c>
      <c r="E1742" s="215" t="s">
        <v>10378</v>
      </c>
      <c r="F1742" s="215" t="s">
        <v>10376</v>
      </c>
      <c r="G1742" s="215" t="s">
        <v>10377</v>
      </c>
      <c r="H1742" s="215" t="s">
        <v>6504</v>
      </c>
      <c r="I1742" s="300"/>
      <c r="J1742" s="300"/>
      <c r="K1742" s="300"/>
      <c r="L1742" s="300"/>
      <c r="M1742" s="300"/>
      <c r="N1742" s="300"/>
      <c r="O1742" s="300"/>
      <c r="P1742" s="300"/>
      <c r="Q1742" s="300"/>
      <c r="R1742" s="300"/>
      <c r="S1742" s="300"/>
      <c r="T1742" s="300"/>
      <c r="U1742" s="300"/>
      <c r="V1742" s="300"/>
      <c r="W1742" s="300"/>
      <c r="X1742" s="300"/>
      <c r="Y1742" s="300"/>
      <c r="Z1742" s="300"/>
    </row>
    <row r="1743" spans="1:26">
      <c r="A1743" s="215" t="s">
        <v>3921</v>
      </c>
      <c r="B1743" s="207">
        <v>715</v>
      </c>
      <c r="C1743" s="215" t="s">
        <v>10379</v>
      </c>
      <c r="D1743" s="215" t="s">
        <v>10380</v>
      </c>
      <c r="E1743" s="215" t="s">
        <v>10381</v>
      </c>
      <c r="F1743" s="215" t="s">
        <v>10382</v>
      </c>
      <c r="G1743" s="215" t="s">
        <v>10383</v>
      </c>
      <c r="H1743" s="215" t="s">
        <v>6500</v>
      </c>
      <c r="I1743" s="300"/>
      <c r="J1743" s="300"/>
      <c r="K1743" s="300"/>
      <c r="L1743" s="300"/>
      <c r="M1743" s="300"/>
      <c r="N1743" s="300"/>
      <c r="O1743" s="300"/>
      <c r="P1743" s="300"/>
      <c r="Q1743" s="300"/>
      <c r="R1743" s="300"/>
      <c r="S1743" s="300"/>
      <c r="T1743" s="300"/>
      <c r="U1743" s="300"/>
      <c r="V1743" s="300"/>
      <c r="W1743" s="300"/>
      <c r="X1743" s="300"/>
      <c r="Y1743" s="300"/>
      <c r="Z1743" s="300"/>
    </row>
    <row r="1744" spans="1:26">
      <c r="A1744" s="215" t="s">
        <v>2867</v>
      </c>
      <c r="B1744" s="207">
        <v>20</v>
      </c>
      <c r="C1744" s="215" t="s">
        <v>5034</v>
      </c>
      <c r="D1744" s="215" t="s">
        <v>10384</v>
      </c>
      <c r="E1744" s="215" t="s">
        <v>10385</v>
      </c>
      <c r="F1744" s="215" t="s">
        <v>10386</v>
      </c>
      <c r="G1744" s="215" t="s">
        <v>10387</v>
      </c>
      <c r="H1744" s="215" t="s">
        <v>6497</v>
      </c>
      <c r="I1744" s="300"/>
      <c r="J1744" s="300"/>
      <c r="K1744" s="300"/>
      <c r="L1744" s="300"/>
      <c r="M1744" s="300"/>
      <c r="N1744" s="300"/>
      <c r="O1744" s="300"/>
      <c r="P1744" s="300"/>
      <c r="Q1744" s="300"/>
      <c r="R1744" s="300"/>
      <c r="S1744" s="300"/>
      <c r="T1744" s="300"/>
      <c r="U1744" s="300"/>
      <c r="V1744" s="300"/>
      <c r="W1744" s="300"/>
      <c r="X1744" s="300"/>
      <c r="Y1744" s="300"/>
      <c r="Z1744" s="300"/>
    </row>
    <row r="1745" spans="1:26">
      <c r="A1745" s="215" t="s">
        <v>4578</v>
      </c>
      <c r="B1745" s="207">
        <v>21</v>
      </c>
      <c r="C1745" s="215" t="s">
        <v>6479</v>
      </c>
      <c r="D1745" s="215" t="s">
        <v>10388</v>
      </c>
      <c r="E1745" s="215" t="s">
        <v>10389</v>
      </c>
      <c r="F1745" s="215" t="s">
        <v>10386</v>
      </c>
      <c r="G1745" s="215" t="s">
        <v>10387</v>
      </c>
      <c r="H1745" s="215" t="s">
        <v>6548</v>
      </c>
      <c r="I1745" s="300"/>
      <c r="J1745" s="300"/>
      <c r="K1745" s="300"/>
      <c r="L1745" s="300"/>
      <c r="M1745" s="300"/>
      <c r="N1745" s="300"/>
      <c r="O1745" s="300"/>
      <c r="P1745" s="300"/>
      <c r="Q1745" s="300"/>
      <c r="R1745" s="300"/>
      <c r="S1745" s="300"/>
      <c r="T1745" s="300"/>
      <c r="U1745" s="300"/>
      <c r="V1745" s="300"/>
      <c r="W1745" s="300"/>
      <c r="X1745" s="300"/>
      <c r="Y1745" s="300"/>
      <c r="Z1745" s="300"/>
    </row>
    <row r="1746" spans="1:26">
      <c r="A1746" s="215" t="s">
        <v>3434</v>
      </c>
      <c r="B1746" s="207">
        <v>22</v>
      </c>
      <c r="C1746" s="215" t="s">
        <v>5555</v>
      </c>
      <c r="D1746" s="215" t="s">
        <v>10390</v>
      </c>
      <c r="E1746" s="215" t="s">
        <v>10391</v>
      </c>
      <c r="F1746" s="215" t="s">
        <v>10386</v>
      </c>
      <c r="G1746" s="215" t="s">
        <v>10387</v>
      </c>
      <c r="H1746" s="215" t="s">
        <v>6497</v>
      </c>
      <c r="I1746" s="300"/>
      <c r="J1746" s="300"/>
      <c r="K1746" s="300"/>
      <c r="L1746" s="300"/>
      <c r="M1746" s="300"/>
      <c r="N1746" s="300"/>
      <c r="O1746" s="300"/>
      <c r="P1746" s="300"/>
      <c r="Q1746" s="300"/>
      <c r="R1746" s="300"/>
      <c r="S1746" s="300"/>
      <c r="T1746" s="300"/>
      <c r="U1746" s="300"/>
      <c r="V1746" s="300"/>
      <c r="W1746" s="300"/>
      <c r="X1746" s="300"/>
      <c r="Y1746" s="300"/>
      <c r="Z1746" s="300"/>
    </row>
    <row r="1747" spans="1:26">
      <c r="A1747" s="215" t="s">
        <v>3172</v>
      </c>
      <c r="B1747" s="207">
        <v>24</v>
      </c>
      <c r="C1747" s="215" t="s">
        <v>10392</v>
      </c>
      <c r="D1747" s="215" t="s">
        <v>10393</v>
      </c>
      <c r="E1747" s="215" t="s">
        <v>10394</v>
      </c>
      <c r="F1747" s="215" t="s">
        <v>10386</v>
      </c>
      <c r="G1747" s="215" t="s">
        <v>10387</v>
      </c>
      <c r="H1747" s="215" t="s">
        <v>6504</v>
      </c>
      <c r="I1747" s="300"/>
      <c r="J1747" s="300"/>
      <c r="K1747" s="300"/>
      <c r="L1747" s="300"/>
      <c r="M1747" s="300"/>
      <c r="N1747" s="300"/>
      <c r="O1747" s="300"/>
      <c r="P1747" s="300"/>
      <c r="Q1747" s="300"/>
      <c r="R1747" s="300"/>
      <c r="S1747" s="300"/>
      <c r="T1747" s="300"/>
      <c r="U1747" s="300"/>
      <c r="V1747" s="300"/>
      <c r="W1747" s="300"/>
      <c r="X1747" s="300"/>
      <c r="Y1747" s="300"/>
      <c r="Z1747" s="300"/>
    </row>
    <row r="1748" spans="1:26">
      <c r="A1748" s="215" t="s">
        <v>3977</v>
      </c>
      <c r="B1748" s="207">
        <v>25</v>
      </c>
      <c r="C1748" s="215" t="s">
        <v>6013</v>
      </c>
      <c r="D1748" s="215" t="s">
        <v>10395</v>
      </c>
      <c r="E1748" s="215" t="s">
        <v>10396</v>
      </c>
      <c r="F1748" s="215" t="s">
        <v>10386</v>
      </c>
      <c r="G1748" s="215" t="s">
        <v>10387</v>
      </c>
      <c r="H1748" s="215" t="s">
        <v>6504</v>
      </c>
      <c r="I1748" s="300"/>
      <c r="J1748" s="300"/>
      <c r="K1748" s="300"/>
      <c r="L1748" s="300"/>
      <c r="M1748" s="300"/>
      <c r="N1748" s="300"/>
      <c r="O1748" s="300"/>
      <c r="P1748" s="300"/>
      <c r="Q1748" s="300"/>
      <c r="R1748" s="300"/>
      <c r="S1748" s="300"/>
      <c r="T1748" s="300"/>
      <c r="U1748" s="300"/>
      <c r="V1748" s="300"/>
      <c r="W1748" s="300"/>
      <c r="X1748" s="300"/>
      <c r="Y1748" s="300"/>
      <c r="Z1748" s="300"/>
    </row>
    <row r="1749" spans="1:26">
      <c r="A1749" s="215" t="s">
        <v>3521</v>
      </c>
      <c r="B1749" s="207">
        <v>26</v>
      </c>
      <c r="C1749" s="215" t="s">
        <v>4834</v>
      </c>
      <c r="D1749" s="215" t="s">
        <v>10397</v>
      </c>
      <c r="E1749" s="215" t="s">
        <v>10398</v>
      </c>
      <c r="F1749" s="215" t="s">
        <v>10386</v>
      </c>
      <c r="G1749" s="215" t="s">
        <v>10387</v>
      </c>
      <c r="H1749" s="215" t="s">
        <v>6497</v>
      </c>
      <c r="I1749" s="300"/>
      <c r="J1749" s="300"/>
      <c r="K1749" s="300"/>
      <c r="L1749" s="300"/>
      <c r="M1749" s="300"/>
      <c r="N1749" s="300"/>
      <c r="O1749" s="300"/>
      <c r="P1749" s="300"/>
      <c r="Q1749" s="300"/>
      <c r="R1749" s="300"/>
      <c r="S1749" s="300"/>
      <c r="T1749" s="300"/>
      <c r="U1749" s="300"/>
      <c r="V1749" s="300"/>
      <c r="W1749" s="300"/>
      <c r="X1749" s="300"/>
      <c r="Y1749" s="300"/>
      <c r="Z1749" s="300"/>
    </row>
    <row r="1750" spans="1:26">
      <c r="A1750" s="215" t="s">
        <v>3753</v>
      </c>
      <c r="B1750" s="207">
        <v>27</v>
      </c>
      <c r="C1750" s="215" t="s">
        <v>5834</v>
      </c>
      <c r="D1750" s="215" t="s">
        <v>10399</v>
      </c>
      <c r="E1750" s="215" t="s">
        <v>10400</v>
      </c>
      <c r="F1750" s="215" t="s">
        <v>10386</v>
      </c>
      <c r="G1750" s="215" t="s">
        <v>10387</v>
      </c>
      <c r="H1750" s="215" t="s">
        <v>6504</v>
      </c>
      <c r="I1750" s="300"/>
      <c r="J1750" s="300"/>
      <c r="K1750" s="300"/>
      <c r="L1750" s="300"/>
      <c r="M1750" s="300"/>
      <c r="N1750" s="300"/>
      <c r="O1750" s="300"/>
      <c r="P1750" s="300"/>
      <c r="Q1750" s="300"/>
      <c r="R1750" s="300"/>
      <c r="S1750" s="300"/>
      <c r="T1750" s="300"/>
      <c r="U1750" s="300"/>
      <c r="V1750" s="300"/>
      <c r="W1750" s="300"/>
      <c r="X1750" s="300"/>
      <c r="Y1750" s="300"/>
      <c r="Z1750" s="300"/>
    </row>
    <row r="1751" spans="1:26">
      <c r="A1751" s="215" t="s">
        <v>3401</v>
      </c>
      <c r="B1751" s="207">
        <v>28</v>
      </c>
      <c r="C1751" s="215" t="s">
        <v>5527</v>
      </c>
      <c r="D1751" s="215" t="s">
        <v>10401</v>
      </c>
      <c r="E1751" s="215" t="s">
        <v>10401</v>
      </c>
      <c r="F1751" s="215" t="s">
        <v>10386</v>
      </c>
      <c r="G1751" s="215" t="s">
        <v>10387</v>
      </c>
      <c r="H1751" s="215" t="s">
        <v>6497</v>
      </c>
      <c r="I1751" s="300"/>
      <c r="J1751" s="300"/>
      <c r="K1751" s="300"/>
      <c r="L1751" s="300"/>
      <c r="M1751" s="300"/>
      <c r="N1751" s="300"/>
      <c r="O1751" s="300"/>
      <c r="P1751" s="300"/>
      <c r="Q1751" s="300"/>
      <c r="R1751" s="300"/>
      <c r="S1751" s="300"/>
      <c r="T1751" s="300"/>
      <c r="U1751" s="300"/>
      <c r="V1751" s="300"/>
      <c r="W1751" s="300"/>
      <c r="X1751" s="300"/>
      <c r="Y1751" s="300"/>
      <c r="Z1751" s="300"/>
    </row>
    <row r="1752" spans="1:26">
      <c r="A1752" s="215" t="s">
        <v>2561</v>
      </c>
      <c r="B1752" s="207">
        <v>29</v>
      </c>
      <c r="C1752" s="215" t="s">
        <v>4802</v>
      </c>
      <c r="D1752" s="215" t="s">
        <v>10402</v>
      </c>
      <c r="E1752" s="215" t="s">
        <v>10402</v>
      </c>
      <c r="F1752" s="215" t="s">
        <v>10386</v>
      </c>
      <c r="G1752" s="215" t="s">
        <v>10387</v>
      </c>
      <c r="H1752" s="215" t="s">
        <v>6497</v>
      </c>
      <c r="I1752" s="300"/>
      <c r="J1752" s="300"/>
      <c r="K1752" s="300"/>
      <c r="L1752" s="300"/>
      <c r="M1752" s="300"/>
      <c r="N1752" s="300"/>
      <c r="O1752" s="300"/>
      <c r="P1752" s="300"/>
      <c r="Q1752" s="300"/>
      <c r="R1752" s="300"/>
      <c r="S1752" s="300"/>
      <c r="T1752" s="300"/>
      <c r="U1752" s="300"/>
      <c r="V1752" s="300"/>
      <c r="W1752" s="300"/>
      <c r="X1752" s="300"/>
      <c r="Y1752" s="300"/>
      <c r="Z1752" s="300"/>
    </row>
    <row r="1753" spans="1:26">
      <c r="A1753" s="215" t="s">
        <v>3272</v>
      </c>
      <c r="B1753" s="207">
        <v>30</v>
      </c>
      <c r="C1753" s="215" t="s">
        <v>5398</v>
      </c>
      <c r="D1753" s="215" t="s">
        <v>10403</v>
      </c>
      <c r="E1753" s="215" t="s">
        <v>10403</v>
      </c>
      <c r="F1753" s="215" t="s">
        <v>10386</v>
      </c>
      <c r="G1753" s="215" t="s">
        <v>10387</v>
      </c>
      <c r="H1753" s="215" t="s">
        <v>6497</v>
      </c>
      <c r="I1753" s="300"/>
      <c r="J1753" s="300"/>
      <c r="K1753" s="300"/>
      <c r="L1753" s="300"/>
      <c r="M1753" s="300"/>
      <c r="N1753" s="300"/>
      <c r="O1753" s="300"/>
      <c r="P1753" s="300"/>
      <c r="Q1753" s="300"/>
      <c r="R1753" s="300"/>
      <c r="S1753" s="300"/>
      <c r="T1753" s="300"/>
      <c r="U1753" s="300"/>
      <c r="V1753" s="300"/>
      <c r="W1753" s="300"/>
      <c r="X1753" s="300"/>
      <c r="Y1753" s="300"/>
      <c r="Z1753" s="300"/>
    </row>
    <row r="1754" spans="1:26">
      <c r="A1754" s="215" t="s">
        <v>3832</v>
      </c>
      <c r="B1754" s="207">
        <v>31</v>
      </c>
      <c r="C1754" s="215" t="s">
        <v>5910</v>
      </c>
      <c r="D1754" s="215" t="s">
        <v>10404</v>
      </c>
      <c r="E1754" s="215" t="s">
        <v>10404</v>
      </c>
      <c r="F1754" s="215" t="s">
        <v>10386</v>
      </c>
      <c r="G1754" s="215" t="s">
        <v>10387</v>
      </c>
      <c r="H1754" s="215" t="s">
        <v>6548</v>
      </c>
      <c r="I1754" s="300"/>
      <c r="J1754" s="300"/>
      <c r="K1754" s="300"/>
      <c r="L1754" s="300"/>
      <c r="M1754" s="300"/>
      <c r="N1754" s="300"/>
      <c r="O1754" s="300"/>
      <c r="P1754" s="300"/>
      <c r="Q1754" s="300"/>
      <c r="R1754" s="300"/>
      <c r="S1754" s="300"/>
      <c r="T1754" s="300"/>
      <c r="U1754" s="300"/>
      <c r="V1754" s="300"/>
      <c r="W1754" s="300"/>
      <c r="X1754" s="300"/>
      <c r="Y1754" s="300"/>
      <c r="Z1754" s="300"/>
    </row>
    <row r="1755" spans="1:26">
      <c r="A1755" s="215" t="s">
        <v>10405</v>
      </c>
      <c r="B1755" s="207">
        <v>32</v>
      </c>
      <c r="C1755" s="215" t="s">
        <v>10406</v>
      </c>
      <c r="D1755" s="215" t="s">
        <v>10407</v>
      </c>
      <c r="E1755" s="215" t="s">
        <v>10408</v>
      </c>
      <c r="F1755" s="215" t="s">
        <v>10386</v>
      </c>
      <c r="G1755" s="215" t="s">
        <v>10387</v>
      </c>
      <c r="H1755" s="215" t="s">
        <v>6504</v>
      </c>
      <c r="I1755" s="300"/>
      <c r="J1755" s="300"/>
      <c r="K1755" s="300"/>
      <c r="L1755" s="300"/>
      <c r="M1755" s="300"/>
      <c r="N1755" s="300"/>
      <c r="O1755" s="300"/>
      <c r="P1755" s="300"/>
      <c r="Q1755" s="300"/>
      <c r="R1755" s="300"/>
      <c r="S1755" s="300"/>
      <c r="T1755" s="300"/>
      <c r="U1755" s="300"/>
      <c r="V1755" s="300"/>
      <c r="W1755" s="300"/>
      <c r="X1755" s="300"/>
      <c r="Y1755" s="300"/>
      <c r="Z1755" s="300"/>
    </row>
    <row r="1756" spans="1:26">
      <c r="A1756" s="215" t="s">
        <v>4007</v>
      </c>
      <c r="B1756" s="207">
        <v>1329</v>
      </c>
      <c r="C1756" s="215" t="s">
        <v>6034</v>
      </c>
      <c r="D1756" s="215" t="s">
        <v>10409</v>
      </c>
      <c r="E1756" s="215" t="s">
        <v>10409</v>
      </c>
      <c r="F1756" s="215" t="s">
        <v>10386</v>
      </c>
      <c r="G1756" s="215" t="s">
        <v>10387</v>
      </c>
      <c r="H1756" s="215" t="s">
        <v>6521</v>
      </c>
      <c r="I1756" s="300"/>
      <c r="J1756" s="300"/>
      <c r="K1756" s="300"/>
      <c r="L1756" s="300"/>
      <c r="M1756" s="300"/>
      <c r="N1756" s="300"/>
      <c r="O1756" s="300"/>
      <c r="P1756" s="300"/>
      <c r="Q1756" s="300"/>
      <c r="R1756" s="300"/>
      <c r="S1756" s="300"/>
      <c r="T1756" s="300"/>
      <c r="U1756" s="300"/>
      <c r="V1756" s="300"/>
      <c r="W1756" s="300"/>
      <c r="X1756" s="300"/>
      <c r="Y1756" s="300"/>
      <c r="Z1756" s="300"/>
    </row>
    <row r="1757" spans="1:26">
      <c r="A1757" s="215" t="s">
        <v>2771</v>
      </c>
      <c r="B1757" s="207">
        <v>1380</v>
      </c>
      <c r="C1757" s="215" t="s">
        <v>4930</v>
      </c>
      <c r="D1757" s="215" t="s">
        <v>10410</v>
      </c>
      <c r="E1757" s="215" t="s">
        <v>10411</v>
      </c>
      <c r="F1757" s="215" t="s">
        <v>10386</v>
      </c>
      <c r="G1757" s="215" t="s">
        <v>10387</v>
      </c>
      <c r="H1757" s="215" t="s">
        <v>6521</v>
      </c>
      <c r="I1757" s="300"/>
      <c r="J1757" s="300"/>
      <c r="K1757" s="300"/>
      <c r="L1757" s="300"/>
      <c r="M1757" s="300"/>
      <c r="N1757" s="300"/>
      <c r="O1757" s="300"/>
      <c r="P1757" s="300"/>
      <c r="Q1757" s="300"/>
      <c r="R1757" s="300"/>
      <c r="S1757" s="300"/>
      <c r="T1757" s="300"/>
      <c r="U1757" s="300"/>
      <c r="V1757" s="300"/>
      <c r="W1757" s="300"/>
      <c r="X1757" s="300"/>
      <c r="Y1757" s="300"/>
      <c r="Z1757" s="300"/>
    </row>
    <row r="1758" spans="1:26">
      <c r="A1758" s="215" t="s">
        <v>3194</v>
      </c>
      <c r="B1758" s="207">
        <v>1382</v>
      </c>
      <c r="C1758" s="215" t="s">
        <v>4979</v>
      </c>
      <c r="D1758" s="215" t="s">
        <v>10412</v>
      </c>
      <c r="E1758" s="215" t="s">
        <v>10412</v>
      </c>
      <c r="F1758" s="215" t="s">
        <v>10386</v>
      </c>
      <c r="G1758" s="215" t="s">
        <v>10387</v>
      </c>
      <c r="H1758" s="215" t="s">
        <v>6504</v>
      </c>
      <c r="I1758" s="300"/>
      <c r="J1758" s="300"/>
      <c r="K1758" s="300"/>
      <c r="L1758" s="300"/>
      <c r="M1758" s="300"/>
      <c r="N1758" s="300"/>
      <c r="O1758" s="300"/>
      <c r="P1758" s="300"/>
      <c r="Q1758" s="300"/>
      <c r="R1758" s="300"/>
      <c r="S1758" s="300"/>
      <c r="T1758" s="300"/>
      <c r="U1758" s="300"/>
      <c r="V1758" s="300"/>
      <c r="W1758" s="300"/>
      <c r="X1758" s="300"/>
      <c r="Y1758" s="300"/>
      <c r="Z1758" s="300"/>
    </row>
    <row r="1759" spans="1:26">
      <c r="A1759" s="215" t="s">
        <v>3204</v>
      </c>
      <c r="B1759" s="207">
        <v>1383</v>
      </c>
      <c r="C1759" s="215" t="s">
        <v>5334</v>
      </c>
      <c r="D1759" s="215" t="s">
        <v>10413</v>
      </c>
      <c r="E1759" s="215" t="s">
        <v>10413</v>
      </c>
      <c r="F1759" s="215" t="s">
        <v>10386</v>
      </c>
      <c r="G1759" s="215" t="s">
        <v>10387</v>
      </c>
      <c r="H1759" s="215" t="s">
        <v>6497</v>
      </c>
      <c r="I1759" s="300"/>
      <c r="J1759" s="300"/>
      <c r="K1759" s="300"/>
      <c r="L1759" s="300"/>
      <c r="M1759" s="300"/>
      <c r="N1759" s="300"/>
      <c r="O1759" s="300"/>
      <c r="P1759" s="300"/>
      <c r="Q1759" s="300"/>
      <c r="R1759" s="300"/>
      <c r="S1759" s="300"/>
      <c r="T1759" s="300"/>
      <c r="U1759" s="300"/>
      <c r="V1759" s="300"/>
      <c r="W1759" s="300"/>
      <c r="X1759" s="300"/>
      <c r="Y1759" s="300"/>
      <c r="Z1759" s="300"/>
    </row>
    <row r="1760" spans="1:26">
      <c r="A1760" s="215" t="s">
        <v>3144</v>
      </c>
      <c r="B1760" s="207">
        <v>1384</v>
      </c>
      <c r="C1760" s="215" t="s">
        <v>5281</v>
      </c>
      <c r="D1760" s="215" t="s">
        <v>10414</v>
      </c>
      <c r="E1760" s="215" t="s">
        <v>10414</v>
      </c>
      <c r="F1760" s="215" t="s">
        <v>10386</v>
      </c>
      <c r="G1760" s="215" t="s">
        <v>10387</v>
      </c>
      <c r="H1760" s="215" t="s">
        <v>6521</v>
      </c>
      <c r="I1760" s="300"/>
      <c r="J1760" s="300"/>
      <c r="K1760" s="300"/>
      <c r="L1760" s="300"/>
      <c r="M1760" s="300"/>
      <c r="N1760" s="300"/>
      <c r="O1760" s="300"/>
      <c r="P1760" s="300"/>
      <c r="Q1760" s="300"/>
      <c r="R1760" s="300"/>
      <c r="S1760" s="300"/>
      <c r="T1760" s="300"/>
      <c r="U1760" s="300"/>
      <c r="V1760" s="300"/>
      <c r="W1760" s="300"/>
      <c r="X1760" s="300"/>
      <c r="Y1760" s="300"/>
      <c r="Z1760" s="300"/>
    </row>
    <row r="1761" spans="1:26">
      <c r="A1761" s="215" t="s">
        <v>3311</v>
      </c>
      <c r="B1761" s="207">
        <v>1385</v>
      </c>
      <c r="C1761" s="215" t="s">
        <v>5437</v>
      </c>
      <c r="D1761" s="215" t="s">
        <v>10415</v>
      </c>
      <c r="E1761" s="215" t="s">
        <v>10416</v>
      </c>
      <c r="F1761" s="215" t="s">
        <v>10386</v>
      </c>
      <c r="G1761" s="215" t="s">
        <v>10387</v>
      </c>
      <c r="H1761" s="215" t="s">
        <v>6497</v>
      </c>
      <c r="I1761" s="300"/>
      <c r="J1761" s="300"/>
      <c r="K1761" s="300"/>
      <c r="L1761" s="300"/>
      <c r="M1761" s="300"/>
      <c r="N1761" s="300"/>
      <c r="O1761" s="300"/>
      <c r="P1761" s="300"/>
      <c r="Q1761" s="300"/>
      <c r="R1761" s="300"/>
      <c r="S1761" s="300"/>
      <c r="T1761" s="300"/>
      <c r="U1761" s="300"/>
      <c r="V1761" s="300"/>
      <c r="W1761" s="300"/>
      <c r="X1761" s="300"/>
      <c r="Y1761" s="300"/>
      <c r="Z1761" s="300"/>
    </row>
    <row r="1762" spans="1:26">
      <c r="A1762" s="215" t="s">
        <v>3934</v>
      </c>
      <c r="B1762" s="207">
        <v>1386</v>
      </c>
      <c r="C1762" s="215" t="s">
        <v>10417</v>
      </c>
      <c r="D1762" s="215" t="s">
        <v>10418</v>
      </c>
      <c r="E1762" s="215" t="s">
        <v>10419</v>
      </c>
      <c r="F1762" s="215" t="s">
        <v>10386</v>
      </c>
      <c r="G1762" s="215" t="s">
        <v>10387</v>
      </c>
      <c r="H1762" s="215" t="s">
        <v>6500</v>
      </c>
      <c r="I1762" s="300"/>
      <c r="J1762" s="300"/>
      <c r="K1762" s="300"/>
      <c r="L1762" s="300"/>
      <c r="M1762" s="300"/>
      <c r="N1762" s="300"/>
      <c r="O1762" s="300"/>
      <c r="P1762" s="300"/>
      <c r="Q1762" s="300"/>
      <c r="R1762" s="300"/>
      <c r="S1762" s="300"/>
      <c r="T1762" s="300"/>
      <c r="U1762" s="300"/>
      <c r="V1762" s="300"/>
      <c r="W1762" s="300"/>
      <c r="X1762" s="300"/>
      <c r="Y1762" s="300"/>
      <c r="Z1762" s="300"/>
    </row>
    <row r="1763" spans="1:26">
      <c r="A1763" s="215" t="s">
        <v>3031</v>
      </c>
      <c r="B1763" s="207">
        <v>1387</v>
      </c>
      <c r="C1763" s="215" t="s">
        <v>5165</v>
      </c>
      <c r="D1763" s="215" t="s">
        <v>10420</v>
      </c>
      <c r="E1763" s="215" t="s">
        <v>10420</v>
      </c>
      <c r="F1763" s="215" t="s">
        <v>10386</v>
      </c>
      <c r="G1763" s="215" t="s">
        <v>10387</v>
      </c>
      <c r="H1763" s="215" t="s">
        <v>6497</v>
      </c>
      <c r="I1763" s="300"/>
      <c r="J1763" s="300"/>
      <c r="K1763" s="300"/>
      <c r="L1763" s="300"/>
      <c r="M1763" s="300"/>
      <c r="N1763" s="300"/>
      <c r="O1763" s="300"/>
      <c r="P1763" s="300"/>
      <c r="Q1763" s="300"/>
      <c r="R1763" s="300"/>
      <c r="S1763" s="300"/>
      <c r="T1763" s="300"/>
      <c r="U1763" s="300"/>
      <c r="V1763" s="300"/>
      <c r="W1763" s="300"/>
      <c r="X1763" s="300"/>
      <c r="Y1763" s="300"/>
      <c r="Z1763" s="300"/>
    </row>
    <row r="1764" spans="1:26">
      <c r="A1764" s="215" t="s">
        <v>3079</v>
      </c>
      <c r="B1764" s="207">
        <v>1388</v>
      </c>
      <c r="C1764" s="215" t="s">
        <v>5213</v>
      </c>
      <c r="D1764" s="215" t="s">
        <v>10421</v>
      </c>
      <c r="E1764" s="215" t="s">
        <v>10421</v>
      </c>
      <c r="F1764" s="215" t="s">
        <v>10386</v>
      </c>
      <c r="G1764" s="215" t="s">
        <v>10387</v>
      </c>
      <c r="H1764" s="215" t="s">
        <v>6500</v>
      </c>
      <c r="I1764" s="300"/>
      <c r="J1764" s="300"/>
      <c r="K1764" s="300"/>
      <c r="L1764" s="300"/>
      <c r="M1764" s="300"/>
      <c r="N1764" s="300"/>
      <c r="O1764" s="300"/>
      <c r="P1764" s="300"/>
      <c r="Q1764" s="300"/>
      <c r="R1764" s="300"/>
      <c r="S1764" s="300"/>
      <c r="T1764" s="300"/>
      <c r="U1764" s="300"/>
      <c r="V1764" s="300"/>
      <c r="W1764" s="300"/>
      <c r="X1764" s="300"/>
      <c r="Y1764" s="300"/>
      <c r="Z1764" s="300"/>
    </row>
    <row r="1765" spans="1:26">
      <c r="A1765" s="215"/>
      <c r="B1765" s="207">
        <v>1389</v>
      </c>
      <c r="C1765" s="215" t="s">
        <v>6387</v>
      </c>
      <c r="D1765" s="215" t="s">
        <v>10422</v>
      </c>
      <c r="E1765" s="215" t="s">
        <v>10422</v>
      </c>
      <c r="F1765" s="215" t="s">
        <v>10386</v>
      </c>
      <c r="G1765" s="215" t="s">
        <v>10387</v>
      </c>
      <c r="H1765" s="215" t="s">
        <v>6497</v>
      </c>
      <c r="I1765" s="300"/>
      <c r="J1765" s="300"/>
      <c r="K1765" s="300"/>
      <c r="L1765" s="300"/>
      <c r="M1765" s="300"/>
      <c r="N1765" s="300"/>
      <c r="O1765" s="300"/>
      <c r="P1765" s="300"/>
      <c r="Q1765" s="300"/>
      <c r="R1765" s="300"/>
      <c r="S1765" s="300"/>
      <c r="T1765" s="300"/>
      <c r="U1765" s="300"/>
      <c r="V1765" s="300"/>
      <c r="W1765" s="300"/>
      <c r="X1765" s="300"/>
      <c r="Y1765" s="300"/>
      <c r="Z1765" s="300"/>
    </row>
    <row r="1766" spans="1:26">
      <c r="A1766" s="215" t="s">
        <v>3325</v>
      </c>
      <c r="B1766" s="207">
        <v>1390</v>
      </c>
      <c r="C1766" s="215" t="s">
        <v>4805</v>
      </c>
      <c r="D1766" s="215" t="s">
        <v>10423</v>
      </c>
      <c r="E1766" s="215" t="s">
        <v>10424</v>
      </c>
      <c r="F1766" s="215" t="s">
        <v>10386</v>
      </c>
      <c r="G1766" s="215" t="s">
        <v>10387</v>
      </c>
      <c r="H1766" s="215" t="s">
        <v>6504</v>
      </c>
      <c r="I1766" s="300"/>
      <c r="J1766" s="300"/>
      <c r="K1766" s="300"/>
      <c r="L1766" s="300"/>
      <c r="M1766" s="300"/>
      <c r="N1766" s="300"/>
      <c r="O1766" s="300"/>
      <c r="P1766" s="300"/>
      <c r="Q1766" s="300"/>
      <c r="R1766" s="300"/>
      <c r="S1766" s="300"/>
      <c r="T1766" s="300"/>
      <c r="U1766" s="300"/>
      <c r="V1766" s="300"/>
      <c r="W1766" s="300"/>
      <c r="X1766" s="300"/>
      <c r="Y1766" s="300"/>
      <c r="Z1766" s="300"/>
    </row>
    <row r="1767" spans="1:26">
      <c r="A1767" s="215" t="s">
        <v>3597</v>
      </c>
      <c r="B1767" s="207">
        <v>1391</v>
      </c>
      <c r="C1767" s="215" t="s">
        <v>5696</v>
      </c>
      <c r="D1767" s="215" t="s">
        <v>10425</v>
      </c>
      <c r="E1767" s="215" t="s">
        <v>10425</v>
      </c>
      <c r="F1767" s="215" t="s">
        <v>10386</v>
      </c>
      <c r="G1767" s="215" t="s">
        <v>10387</v>
      </c>
      <c r="H1767" s="215" t="s">
        <v>6497</v>
      </c>
      <c r="I1767" s="300"/>
      <c r="J1767" s="300"/>
      <c r="K1767" s="300"/>
      <c r="L1767" s="300"/>
      <c r="M1767" s="300"/>
      <c r="N1767" s="300"/>
      <c r="O1767" s="300"/>
      <c r="P1767" s="300"/>
      <c r="Q1767" s="300"/>
      <c r="R1767" s="300"/>
      <c r="S1767" s="300"/>
      <c r="T1767" s="300"/>
      <c r="U1767" s="300"/>
      <c r="V1767" s="300"/>
      <c r="W1767" s="300"/>
      <c r="X1767" s="300"/>
      <c r="Y1767" s="300"/>
      <c r="Z1767" s="300"/>
    </row>
    <row r="1768" spans="1:26">
      <c r="A1768" s="215" t="s">
        <v>3815</v>
      </c>
      <c r="B1768" s="207">
        <v>1392</v>
      </c>
      <c r="C1768" s="215" t="s">
        <v>5891</v>
      </c>
      <c r="D1768" s="215" t="s">
        <v>10426</v>
      </c>
      <c r="E1768" s="215" t="s">
        <v>10426</v>
      </c>
      <c r="F1768" s="215" t="s">
        <v>10386</v>
      </c>
      <c r="G1768" s="215" t="s">
        <v>10387</v>
      </c>
      <c r="H1768" s="215" t="s">
        <v>6504</v>
      </c>
      <c r="I1768" s="300"/>
      <c r="J1768" s="300"/>
      <c r="K1768" s="300"/>
      <c r="L1768" s="300"/>
      <c r="M1768" s="300"/>
      <c r="N1768" s="300"/>
      <c r="O1768" s="300"/>
      <c r="P1768" s="300"/>
      <c r="Q1768" s="300"/>
      <c r="R1768" s="300"/>
      <c r="S1768" s="300"/>
      <c r="T1768" s="300"/>
      <c r="U1768" s="300"/>
      <c r="V1768" s="300"/>
      <c r="W1768" s="300"/>
      <c r="X1768" s="300"/>
      <c r="Y1768" s="300"/>
      <c r="Z1768" s="300"/>
    </row>
    <row r="1769" spans="1:26">
      <c r="A1769" s="215" t="s">
        <v>2763</v>
      </c>
      <c r="B1769" s="207">
        <v>1393</v>
      </c>
      <c r="C1769" s="215" t="s">
        <v>4918</v>
      </c>
      <c r="D1769" s="215" t="s">
        <v>10427</v>
      </c>
      <c r="E1769" s="215" t="s">
        <v>10427</v>
      </c>
      <c r="F1769" s="215" t="s">
        <v>10386</v>
      </c>
      <c r="G1769" s="215" t="s">
        <v>10387</v>
      </c>
      <c r="H1769" s="215" t="s">
        <v>6497</v>
      </c>
      <c r="I1769" s="300"/>
      <c r="J1769" s="300"/>
      <c r="K1769" s="300"/>
      <c r="L1769" s="300"/>
      <c r="M1769" s="300"/>
      <c r="N1769" s="300"/>
      <c r="O1769" s="300"/>
      <c r="P1769" s="300"/>
      <c r="Q1769" s="300"/>
      <c r="R1769" s="300"/>
      <c r="S1769" s="300"/>
      <c r="T1769" s="300"/>
      <c r="U1769" s="300"/>
      <c r="V1769" s="300"/>
      <c r="W1769" s="300"/>
      <c r="X1769" s="300"/>
      <c r="Y1769" s="300"/>
      <c r="Z1769" s="300"/>
    </row>
    <row r="1770" spans="1:26">
      <c r="A1770" s="215"/>
      <c r="B1770" s="207">
        <v>313</v>
      </c>
      <c r="C1770" s="215" t="s">
        <v>6424</v>
      </c>
      <c r="D1770" s="215" t="s">
        <v>10428</v>
      </c>
      <c r="E1770" s="215" t="s">
        <v>10428</v>
      </c>
      <c r="F1770" s="215" t="s">
        <v>10429</v>
      </c>
      <c r="G1770" s="215" t="s">
        <v>10430</v>
      </c>
      <c r="H1770" s="215" t="s">
        <v>6504</v>
      </c>
      <c r="I1770" s="300"/>
      <c r="J1770" s="300"/>
      <c r="K1770" s="300"/>
      <c r="L1770" s="300"/>
      <c r="M1770" s="300"/>
      <c r="N1770" s="300"/>
      <c r="O1770" s="300"/>
      <c r="P1770" s="300"/>
      <c r="Q1770" s="300"/>
      <c r="R1770" s="300"/>
      <c r="S1770" s="300"/>
      <c r="T1770" s="300"/>
      <c r="U1770" s="300"/>
      <c r="V1770" s="300"/>
      <c r="W1770" s="300"/>
      <c r="X1770" s="300"/>
      <c r="Y1770" s="300"/>
      <c r="Z1770" s="300"/>
    </row>
    <row r="1771" spans="1:26">
      <c r="A1771" s="215" t="s">
        <v>8910</v>
      </c>
      <c r="B1771" s="207">
        <v>1889</v>
      </c>
      <c r="C1771" s="215" t="s">
        <v>6422</v>
      </c>
      <c r="D1771" s="215" t="s">
        <v>10431</v>
      </c>
      <c r="E1771" s="215" t="s">
        <v>10432</v>
      </c>
      <c r="F1771" s="215" t="s">
        <v>10429</v>
      </c>
      <c r="G1771" s="215" t="s">
        <v>10430</v>
      </c>
      <c r="H1771" s="215" t="s">
        <v>6521</v>
      </c>
      <c r="I1771" s="300"/>
      <c r="J1771" s="300"/>
      <c r="K1771" s="300"/>
      <c r="L1771" s="300"/>
      <c r="M1771" s="300"/>
      <c r="N1771" s="300"/>
      <c r="O1771" s="300"/>
      <c r="P1771" s="300"/>
      <c r="Q1771" s="300"/>
      <c r="R1771" s="300"/>
      <c r="S1771" s="300"/>
      <c r="T1771" s="300"/>
      <c r="U1771" s="300"/>
      <c r="V1771" s="300"/>
      <c r="W1771" s="300"/>
      <c r="X1771" s="300"/>
      <c r="Y1771" s="300"/>
      <c r="Z1771" s="300"/>
    </row>
    <row r="1772" spans="1:26">
      <c r="A1772" s="215"/>
      <c r="B1772" s="207">
        <v>1890</v>
      </c>
      <c r="C1772" s="215" t="s">
        <v>6314</v>
      </c>
      <c r="D1772" s="215" t="s">
        <v>10433</v>
      </c>
      <c r="E1772" s="215" t="s">
        <v>10434</v>
      </c>
      <c r="F1772" s="215" t="s">
        <v>10429</v>
      </c>
      <c r="G1772" s="215" t="s">
        <v>10430</v>
      </c>
      <c r="H1772" s="215" t="s">
        <v>6504</v>
      </c>
      <c r="I1772" s="300"/>
      <c r="J1772" s="300"/>
      <c r="K1772" s="300"/>
      <c r="L1772" s="300"/>
      <c r="M1772" s="300"/>
      <c r="N1772" s="300"/>
      <c r="O1772" s="300"/>
      <c r="P1772" s="300"/>
      <c r="Q1772" s="300"/>
      <c r="R1772" s="300"/>
      <c r="S1772" s="300"/>
      <c r="T1772" s="300"/>
      <c r="U1772" s="300"/>
      <c r="V1772" s="300"/>
      <c r="W1772" s="300"/>
      <c r="X1772" s="300"/>
      <c r="Y1772" s="300"/>
      <c r="Z1772" s="300"/>
    </row>
    <row r="1773" spans="1:26">
      <c r="A1773" s="215"/>
      <c r="B1773" s="207">
        <v>1891</v>
      </c>
      <c r="C1773" s="215" t="s">
        <v>10435</v>
      </c>
      <c r="D1773" s="215" t="s">
        <v>10436</v>
      </c>
      <c r="E1773" s="215" t="s">
        <v>10437</v>
      </c>
      <c r="F1773" s="215" t="s">
        <v>10429</v>
      </c>
      <c r="G1773" s="215" t="s">
        <v>10430</v>
      </c>
      <c r="H1773" s="215" t="s">
        <v>6521</v>
      </c>
      <c r="I1773" s="300"/>
      <c r="J1773" s="300"/>
      <c r="K1773" s="300"/>
      <c r="L1773" s="300"/>
      <c r="M1773" s="300"/>
      <c r="N1773" s="300"/>
      <c r="O1773" s="300"/>
      <c r="P1773" s="300"/>
      <c r="Q1773" s="300"/>
      <c r="R1773" s="300"/>
      <c r="S1773" s="300"/>
      <c r="T1773" s="300"/>
      <c r="U1773" s="300"/>
      <c r="V1773" s="300"/>
      <c r="W1773" s="300"/>
      <c r="X1773" s="300"/>
      <c r="Y1773" s="300"/>
      <c r="Z1773" s="300"/>
    </row>
    <row r="1774" spans="1:26">
      <c r="A1774" s="215"/>
      <c r="B1774" s="207">
        <v>1892</v>
      </c>
      <c r="C1774" s="215" t="s">
        <v>6043</v>
      </c>
      <c r="D1774" s="215" t="s">
        <v>10438</v>
      </c>
      <c r="E1774" s="215" t="s">
        <v>10438</v>
      </c>
      <c r="F1774" s="215" t="s">
        <v>10429</v>
      </c>
      <c r="G1774" s="215" t="s">
        <v>10430</v>
      </c>
      <c r="H1774" s="215" t="s">
        <v>6497</v>
      </c>
      <c r="I1774" s="300"/>
      <c r="J1774" s="300"/>
      <c r="K1774" s="300"/>
      <c r="L1774" s="300"/>
      <c r="M1774" s="300"/>
      <c r="N1774" s="300"/>
      <c r="O1774" s="300"/>
      <c r="P1774" s="300"/>
      <c r="Q1774" s="300"/>
      <c r="R1774" s="300"/>
      <c r="S1774" s="300"/>
      <c r="T1774" s="300"/>
      <c r="U1774" s="300"/>
      <c r="V1774" s="300"/>
      <c r="W1774" s="300"/>
      <c r="X1774" s="300"/>
      <c r="Y1774" s="300"/>
      <c r="Z1774" s="300"/>
    </row>
    <row r="1775" spans="1:26">
      <c r="A1775" s="215" t="s">
        <v>2903</v>
      </c>
      <c r="B1775" s="207">
        <v>1893</v>
      </c>
      <c r="C1775" s="215" t="s">
        <v>10439</v>
      </c>
      <c r="D1775" s="215" t="s">
        <v>10440</v>
      </c>
      <c r="E1775" s="215" t="s">
        <v>10441</v>
      </c>
      <c r="F1775" s="215" t="s">
        <v>10429</v>
      </c>
      <c r="G1775" s="215" t="s">
        <v>10430</v>
      </c>
      <c r="H1775" s="215" t="s">
        <v>6497</v>
      </c>
      <c r="I1775" s="300"/>
      <c r="J1775" s="300"/>
      <c r="K1775" s="300"/>
      <c r="L1775" s="300"/>
      <c r="M1775" s="300"/>
      <c r="N1775" s="300"/>
      <c r="O1775" s="300"/>
      <c r="P1775" s="300"/>
      <c r="Q1775" s="300"/>
      <c r="R1775" s="300"/>
      <c r="S1775" s="300"/>
      <c r="T1775" s="300"/>
      <c r="U1775" s="300"/>
      <c r="V1775" s="300"/>
      <c r="W1775" s="300"/>
      <c r="X1775" s="300"/>
      <c r="Y1775" s="300"/>
      <c r="Z1775" s="300"/>
    </row>
    <row r="1776" spans="1:26">
      <c r="A1776" s="215" t="s">
        <v>2931</v>
      </c>
      <c r="B1776" s="207">
        <v>1894</v>
      </c>
      <c r="C1776" s="215" t="s">
        <v>5089</v>
      </c>
      <c r="D1776" s="215" t="s">
        <v>10442</v>
      </c>
      <c r="E1776" s="215" t="s">
        <v>10442</v>
      </c>
      <c r="F1776" s="215" t="s">
        <v>10429</v>
      </c>
      <c r="G1776" s="215" t="s">
        <v>10430</v>
      </c>
      <c r="H1776" s="215" t="s">
        <v>6548</v>
      </c>
      <c r="I1776" s="300"/>
      <c r="J1776" s="300"/>
      <c r="K1776" s="300"/>
      <c r="L1776" s="300"/>
      <c r="M1776" s="300"/>
      <c r="N1776" s="300"/>
      <c r="O1776" s="300"/>
      <c r="P1776" s="300"/>
      <c r="Q1776" s="300"/>
      <c r="R1776" s="300"/>
      <c r="S1776" s="300"/>
      <c r="T1776" s="300"/>
      <c r="U1776" s="300"/>
      <c r="V1776" s="300"/>
      <c r="W1776" s="300"/>
      <c r="X1776" s="300"/>
      <c r="Y1776" s="300"/>
      <c r="Z1776" s="300"/>
    </row>
    <row r="1777" spans="1:26">
      <c r="A1777" s="215" t="s">
        <v>3692</v>
      </c>
      <c r="B1777" s="207">
        <v>1895</v>
      </c>
      <c r="C1777" s="215" t="s">
        <v>5780</v>
      </c>
      <c r="D1777" s="215" t="s">
        <v>10443</v>
      </c>
      <c r="E1777" s="215" t="s">
        <v>10443</v>
      </c>
      <c r="F1777" s="215" t="s">
        <v>10429</v>
      </c>
      <c r="G1777" s="215" t="s">
        <v>10430</v>
      </c>
      <c r="H1777" s="215" t="s">
        <v>6548</v>
      </c>
      <c r="I1777" s="300"/>
      <c r="J1777" s="300"/>
      <c r="K1777" s="300"/>
      <c r="L1777" s="300"/>
      <c r="M1777" s="300"/>
      <c r="N1777" s="300"/>
      <c r="O1777" s="300"/>
      <c r="P1777" s="300"/>
      <c r="Q1777" s="300"/>
      <c r="R1777" s="300"/>
      <c r="S1777" s="300"/>
      <c r="T1777" s="300"/>
      <c r="U1777" s="300"/>
      <c r="V1777" s="300"/>
      <c r="W1777" s="300"/>
      <c r="X1777" s="300"/>
      <c r="Y1777" s="300"/>
      <c r="Z1777" s="300"/>
    </row>
    <row r="1778" spans="1:26">
      <c r="A1778" s="215" t="s">
        <v>4161</v>
      </c>
      <c r="B1778" s="207">
        <v>1896</v>
      </c>
      <c r="C1778" s="215" t="s">
        <v>6149</v>
      </c>
      <c r="D1778" s="215" t="s">
        <v>10444</v>
      </c>
      <c r="E1778" s="215" t="s">
        <v>10444</v>
      </c>
      <c r="F1778" s="215" t="s">
        <v>10429</v>
      </c>
      <c r="G1778" s="215" t="s">
        <v>10430</v>
      </c>
      <c r="H1778" s="215" t="s">
        <v>6548</v>
      </c>
      <c r="I1778" s="300"/>
      <c r="J1778" s="300"/>
      <c r="K1778" s="300"/>
      <c r="L1778" s="300"/>
      <c r="M1778" s="300"/>
      <c r="N1778" s="300"/>
      <c r="O1778" s="300"/>
      <c r="P1778" s="300"/>
      <c r="Q1778" s="300"/>
      <c r="R1778" s="300"/>
      <c r="S1778" s="300"/>
      <c r="T1778" s="300"/>
      <c r="U1778" s="300"/>
      <c r="V1778" s="300"/>
      <c r="W1778" s="300"/>
      <c r="X1778" s="300"/>
      <c r="Y1778" s="300"/>
      <c r="Z1778" s="300"/>
    </row>
    <row r="1779" spans="1:26">
      <c r="A1779" s="215"/>
      <c r="B1779" s="207">
        <v>2089</v>
      </c>
      <c r="C1779" s="215" t="s">
        <v>10445</v>
      </c>
      <c r="D1779" s="215" t="s">
        <v>10446</v>
      </c>
      <c r="E1779" s="215" t="s">
        <v>10447</v>
      </c>
      <c r="F1779" s="215" t="s">
        <v>10429</v>
      </c>
      <c r="G1779" s="215" t="s">
        <v>10430</v>
      </c>
      <c r="H1779" s="215" t="s">
        <v>6500</v>
      </c>
      <c r="I1779" s="300"/>
      <c r="J1779" s="300"/>
      <c r="K1779" s="300"/>
      <c r="L1779" s="300"/>
      <c r="M1779" s="300"/>
      <c r="N1779" s="300"/>
      <c r="O1779" s="300"/>
      <c r="P1779" s="300"/>
      <c r="Q1779" s="300"/>
      <c r="R1779" s="300"/>
      <c r="S1779" s="300"/>
      <c r="T1779" s="300"/>
      <c r="U1779" s="300"/>
      <c r="V1779" s="300"/>
      <c r="W1779" s="300"/>
      <c r="X1779" s="300"/>
      <c r="Y1779" s="300"/>
      <c r="Z1779" s="300"/>
    </row>
    <row r="1780" spans="1:26">
      <c r="A1780" s="215"/>
      <c r="B1780" s="207">
        <v>2092</v>
      </c>
      <c r="C1780" s="215" t="s">
        <v>10448</v>
      </c>
      <c r="D1780" s="215" t="s">
        <v>10449</v>
      </c>
      <c r="E1780" s="215" t="s">
        <v>10450</v>
      </c>
      <c r="F1780" s="215" t="s">
        <v>10429</v>
      </c>
      <c r="G1780" s="215" t="s">
        <v>10430</v>
      </c>
      <c r="H1780" s="215" t="s">
        <v>6500</v>
      </c>
      <c r="I1780" s="300"/>
      <c r="J1780" s="300"/>
      <c r="K1780" s="300"/>
      <c r="L1780" s="300"/>
      <c r="M1780" s="300"/>
      <c r="N1780" s="300"/>
      <c r="O1780" s="300"/>
      <c r="P1780" s="300"/>
      <c r="Q1780" s="300"/>
      <c r="R1780" s="300"/>
      <c r="S1780" s="300"/>
      <c r="T1780" s="300"/>
      <c r="U1780" s="300"/>
      <c r="V1780" s="300"/>
      <c r="W1780" s="300"/>
      <c r="X1780" s="300"/>
      <c r="Y1780" s="300"/>
      <c r="Z1780" s="300"/>
    </row>
    <row r="1781" spans="1:26">
      <c r="A1781" s="215" t="s">
        <v>3763</v>
      </c>
      <c r="B1781" s="207">
        <v>703</v>
      </c>
      <c r="C1781" s="215" t="s">
        <v>5841</v>
      </c>
      <c r="D1781" s="215" t="s">
        <v>10451</v>
      </c>
      <c r="E1781" s="215" t="s">
        <v>10451</v>
      </c>
      <c r="F1781" s="215" t="s">
        <v>5840</v>
      </c>
      <c r="G1781" s="215" t="s">
        <v>10452</v>
      </c>
      <c r="H1781" s="215" t="s">
        <v>6500</v>
      </c>
      <c r="I1781" s="300"/>
      <c r="J1781" s="300"/>
      <c r="K1781" s="300"/>
      <c r="L1781" s="300"/>
      <c r="M1781" s="300"/>
      <c r="N1781" s="300"/>
      <c r="O1781" s="300"/>
      <c r="P1781" s="300"/>
      <c r="Q1781" s="300"/>
      <c r="R1781" s="300"/>
      <c r="S1781" s="300"/>
      <c r="T1781" s="300"/>
      <c r="U1781" s="300"/>
      <c r="V1781" s="300"/>
      <c r="W1781" s="300"/>
      <c r="X1781" s="300"/>
      <c r="Y1781" s="300"/>
      <c r="Z1781" s="300"/>
    </row>
    <row r="1782" spans="1:26">
      <c r="A1782" s="215" t="s">
        <v>3120</v>
      </c>
      <c r="B1782" s="207">
        <v>426</v>
      </c>
      <c r="C1782" s="215" t="s">
        <v>10453</v>
      </c>
      <c r="D1782" s="215" t="s">
        <v>10454</v>
      </c>
      <c r="E1782" s="215" t="s">
        <v>10455</v>
      </c>
      <c r="F1782" s="215" t="s">
        <v>10456</v>
      </c>
      <c r="G1782" s="215" t="s">
        <v>10457</v>
      </c>
      <c r="H1782" s="215" t="s">
        <v>6521</v>
      </c>
      <c r="I1782" s="300"/>
      <c r="J1782" s="300"/>
      <c r="K1782" s="300"/>
      <c r="L1782" s="300"/>
      <c r="M1782" s="300"/>
      <c r="N1782" s="300"/>
      <c r="O1782" s="300"/>
      <c r="P1782" s="300"/>
      <c r="Q1782" s="300"/>
      <c r="R1782" s="300"/>
      <c r="S1782" s="300"/>
      <c r="T1782" s="300"/>
      <c r="U1782" s="300"/>
      <c r="V1782" s="300"/>
      <c r="W1782" s="300"/>
      <c r="X1782" s="300"/>
      <c r="Y1782" s="300"/>
      <c r="Z1782" s="300"/>
    </row>
    <row r="1783" spans="1:26">
      <c r="A1783" s="215" t="s">
        <v>4113</v>
      </c>
      <c r="B1783" s="207">
        <v>386</v>
      </c>
      <c r="C1783" s="215" t="s">
        <v>10458</v>
      </c>
      <c r="D1783" s="215" t="s">
        <v>10459</v>
      </c>
      <c r="E1783" s="215" t="s">
        <v>10460</v>
      </c>
      <c r="F1783" s="215" t="s">
        <v>10461</v>
      </c>
      <c r="G1783" s="215" t="s">
        <v>10462</v>
      </c>
      <c r="H1783" s="215" t="s">
        <v>6504</v>
      </c>
      <c r="I1783" s="300"/>
      <c r="J1783" s="300"/>
      <c r="K1783" s="300"/>
      <c r="L1783" s="300"/>
      <c r="M1783" s="300"/>
      <c r="N1783" s="300"/>
      <c r="O1783" s="300"/>
      <c r="P1783" s="300"/>
      <c r="Q1783" s="300"/>
      <c r="R1783" s="300"/>
      <c r="S1783" s="300"/>
      <c r="T1783" s="300"/>
      <c r="U1783" s="300"/>
      <c r="V1783" s="300"/>
      <c r="W1783" s="300"/>
      <c r="X1783" s="300"/>
      <c r="Y1783" s="300"/>
      <c r="Z1783" s="300"/>
    </row>
    <row r="1784" spans="1:26">
      <c r="A1784" s="215" t="s">
        <v>4092</v>
      </c>
      <c r="B1784" s="207">
        <v>400</v>
      </c>
      <c r="C1784" s="215" t="s">
        <v>10463</v>
      </c>
      <c r="D1784" s="215" t="s">
        <v>10464</v>
      </c>
      <c r="E1784" s="215" t="s">
        <v>10465</v>
      </c>
      <c r="F1784" s="215" t="s">
        <v>10461</v>
      </c>
      <c r="G1784" s="215" t="s">
        <v>10462</v>
      </c>
      <c r="H1784" s="215" t="s">
        <v>6497</v>
      </c>
      <c r="I1784" s="300"/>
      <c r="J1784" s="300"/>
      <c r="K1784" s="300"/>
      <c r="L1784" s="300"/>
      <c r="M1784" s="300"/>
      <c r="N1784" s="300"/>
      <c r="O1784" s="300"/>
      <c r="P1784" s="300"/>
      <c r="Q1784" s="300"/>
      <c r="R1784" s="300"/>
      <c r="S1784" s="300"/>
      <c r="T1784" s="300"/>
      <c r="U1784" s="300"/>
      <c r="V1784" s="300"/>
      <c r="W1784" s="300"/>
      <c r="X1784" s="300"/>
      <c r="Y1784" s="300"/>
      <c r="Z1784" s="300"/>
    </row>
    <row r="1785" spans="1:26">
      <c r="A1785" s="215" t="s">
        <v>4109</v>
      </c>
      <c r="B1785" s="207">
        <v>414</v>
      </c>
      <c r="C1785" s="215" t="s">
        <v>10466</v>
      </c>
      <c r="D1785" s="215" t="s">
        <v>10467</v>
      </c>
      <c r="E1785" s="215" t="s">
        <v>10468</v>
      </c>
      <c r="F1785" s="215" t="s">
        <v>10461</v>
      </c>
      <c r="G1785" s="215" t="s">
        <v>10462</v>
      </c>
      <c r="H1785" s="215" t="s">
        <v>6504</v>
      </c>
      <c r="I1785" s="300"/>
      <c r="J1785" s="300"/>
      <c r="K1785" s="300"/>
      <c r="L1785" s="300"/>
      <c r="M1785" s="300"/>
      <c r="N1785" s="300"/>
      <c r="O1785" s="300"/>
      <c r="P1785" s="300"/>
      <c r="Q1785" s="300"/>
      <c r="R1785" s="300"/>
      <c r="S1785" s="300"/>
      <c r="T1785" s="300"/>
      <c r="U1785" s="300"/>
      <c r="V1785" s="300"/>
      <c r="W1785" s="300"/>
      <c r="X1785" s="300"/>
      <c r="Y1785" s="300"/>
      <c r="Z1785" s="300"/>
    </row>
    <row r="1786" spans="1:26">
      <c r="A1786" s="215" t="s">
        <v>2848</v>
      </c>
      <c r="B1786" s="207">
        <v>430</v>
      </c>
      <c r="C1786" s="215" t="s">
        <v>10469</v>
      </c>
      <c r="D1786" s="215" t="s">
        <v>10470</v>
      </c>
      <c r="E1786" s="215" t="s">
        <v>10471</v>
      </c>
      <c r="F1786" s="215" t="s">
        <v>10472</v>
      </c>
      <c r="G1786" s="215" t="s">
        <v>10473</v>
      </c>
      <c r="H1786" s="215" t="s">
        <v>6497</v>
      </c>
      <c r="I1786" s="300"/>
      <c r="J1786" s="300"/>
      <c r="K1786" s="300"/>
      <c r="L1786" s="300"/>
      <c r="M1786" s="300"/>
      <c r="N1786" s="300"/>
      <c r="O1786" s="300"/>
      <c r="P1786" s="300"/>
      <c r="Q1786" s="300"/>
      <c r="R1786" s="300"/>
      <c r="S1786" s="300"/>
      <c r="T1786" s="300"/>
      <c r="U1786" s="300"/>
      <c r="V1786" s="300"/>
      <c r="W1786" s="300"/>
      <c r="X1786" s="300"/>
      <c r="Y1786" s="300"/>
      <c r="Z1786" s="300"/>
    </row>
    <row r="1787" spans="1:26">
      <c r="A1787" s="215" t="s">
        <v>3043</v>
      </c>
      <c r="B1787" s="207">
        <v>431</v>
      </c>
      <c r="C1787" s="215" t="s">
        <v>5178</v>
      </c>
      <c r="D1787" s="215" t="s">
        <v>10474</v>
      </c>
      <c r="E1787" s="215" t="s">
        <v>10475</v>
      </c>
      <c r="F1787" s="215" t="s">
        <v>10472</v>
      </c>
      <c r="G1787" s="215" t="s">
        <v>10473</v>
      </c>
      <c r="H1787" s="215" t="s">
        <v>6504</v>
      </c>
      <c r="I1787" s="300"/>
      <c r="J1787" s="300"/>
      <c r="K1787" s="300"/>
      <c r="L1787" s="300"/>
      <c r="M1787" s="300"/>
      <c r="N1787" s="300"/>
      <c r="O1787" s="300"/>
      <c r="P1787" s="300"/>
      <c r="Q1787" s="300"/>
      <c r="R1787" s="300"/>
      <c r="S1787" s="300"/>
      <c r="T1787" s="300"/>
      <c r="U1787" s="300"/>
      <c r="V1787" s="300"/>
      <c r="W1787" s="300"/>
      <c r="X1787" s="300"/>
      <c r="Y1787" s="300"/>
      <c r="Z1787" s="300"/>
    </row>
    <row r="1788" spans="1:26">
      <c r="A1788" s="215" t="s">
        <v>2952</v>
      </c>
      <c r="B1788" s="207">
        <v>432</v>
      </c>
      <c r="C1788" s="215" t="s">
        <v>5105</v>
      </c>
      <c r="D1788" s="215" t="s">
        <v>10476</v>
      </c>
      <c r="E1788" s="215" t="s">
        <v>10477</v>
      </c>
      <c r="F1788" s="215" t="s">
        <v>10472</v>
      </c>
      <c r="G1788" s="215" t="s">
        <v>10473</v>
      </c>
      <c r="H1788" s="215" t="s">
        <v>6500</v>
      </c>
      <c r="I1788" s="300"/>
      <c r="J1788" s="300"/>
      <c r="K1788" s="300"/>
      <c r="L1788" s="300"/>
      <c r="M1788" s="300"/>
      <c r="N1788" s="300"/>
      <c r="O1788" s="300"/>
      <c r="P1788" s="300"/>
      <c r="Q1788" s="300"/>
      <c r="R1788" s="300"/>
      <c r="S1788" s="300"/>
      <c r="T1788" s="300"/>
      <c r="U1788" s="300"/>
      <c r="V1788" s="300"/>
      <c r="W1788" s="300"/>
      <c r="X1788" s="300"/>
      <c r="Y1788" s="300"/>
      <c r="Z1788" s="300"/>
    </row>
    <row r="1789" spans="1:26">
      <c r="A1789" s="215" t="s">
        <v>3011</v>
      </c>
      <c r="B1789" s="207">
        <v>434</v>
      </c>
      <c r="C1789" s="215" t="s">
        <v>5150</v>
      </c>
      <c r="D1789" s="215" t="s">
        <v>10478</v>
      </c>
      <c r="E1789" s="215" t="s">
        <v>10479</v>
      </c>
      <c r="F1789" s="215" t="s">
        <v>10472</v>
      </c>
      <c r="G1789" s="215" t="s">
        <v>10473</v>
      </c>
      <c r="H1789" s="215" t="s">
        <v>6504</v>
      </c>
      <c r="I1789" s="300"/>
      <c r="J1789" s="300"/>
      <c r="K1789" s="300"/>
      <c r="L1789" s="300"/>
      <c r="M1789" s="300"/>
      <c r="N1789" s="300"/>
      <c r="O1789" s="300"/>
      <c r="P1789" s="300"/>
      <c r="Q1789" s="300"/>
      <c r="R1789" s="300"/>
      <c r="S1789" s="300"/>
      <c r="T1789" s="300"/>
      <c r="U1789" s="300"/>
      <c r="V1789" s="300"/>
      <c r="W1789" s="300"/>
      <c r="X1789" s="300"/>
      <c r="Y1789" s="300"/>
      <c r="Z1789" s="300"/>
    </row>
    <row r="1790" spans="1:26">
      <c r="A1790" s="215" t="s">
        <v>3039</v>
      </c>
      <c r="B1790" s="207">
        <v>436</v>
      </c>
      <c r="C1790" s="215" t="s">
        <v>5174</v>
      </c>
      <c r="D1790" s="215" t="s">
        <v>10480</v>
      </c>
      <c r="E1790" s="215" t="s">
        <v>10480</v>
      </c>
      <c r="F1790" s="215" t="s">
        <v>10472</v>
      </c>
      <c r="G1790" s="215" t="s">
        <v>10473</v>
      </c>
      <c r="H1790" s="215" t="s">
        <v>6504</v>
      </c>
      <c r="I1790" s="300"/>
      <c r="J1790" s="300"/>
      <c r="K1790" s="300"/>
      <c r="L1790" s="300"/>
      <c r="M1790" s="300"/>
      <c r="N1790" s="300"/>
      <c r="O1790" s="300"/>
      <c r="P1790" s="300"/>
      <c r="Q1790" s="300"/>
      <c r="R1790" s="300"/>
      <c r="S1790" s="300"/>
      <c r="T1790" s="300"/>
      <c r="U1790" s="300"/>
      <c r="V1790" s="300"/>
      <c r="W1790" s="300"/>
      <c r="X1790" s="300"/>
      <c r="Y1790" s="300"/>
      <c r="Z1790" s="300"/>
    </row>
    <row r="1791" spans="1:26">
      <c r="A1791" s="215" t="s">
        <v>3076</v>
      </c>
      <c r="B1791" s="207">
        <v>437</v>
      </c>
      <c r="C1791" s="215" t="s">
        <v>5209</v>
      </c>
      <c r="D1791" s="215" t="s">
        <v>10481</v>
      </c>
      <c r="E1791" s="215" t="s">
        <v>10482</v>
      </c>
      <c r="F1791" s="215" t="s">
        <v>10472</v>
      </c>
      <c r="G1791" s="215" t="s">
        <v>10473</v>
      </c>
      <c r="H1791" s="215" t="s">
        <v>6497</v>
      </c>
      <c r="I1791" s="300"/>
      <c r="J1791" s="300"/>
      <c r="K1791" s="300"/>
      <c r="L1791" s="300"/>
      <c r="M1791" s="300"/>
      <c r="N1791" s="300"/>
      <c r="O1791" s="300"/>
      <c r="P1791" s="300"/>
      <c r="Q1791" s="300"/>
      <c r="R1791" s="300"/>
      <c r="S1791" s="300"/>
      <c r="T1791" s="300"/>
      <c r="U1791" s="300"/>
      <c r="V1791" s="300"/>
      <c r="W1791" s="300"/>
      <c r="X1791" s="300"/>
      <c r="Y1791" s="300"/>
      <c r="Z1791" s="300"/>
    </row>
    <row r="1792" spans="1:26">
      <c r="A1792" s="215" t="s">
        <v>3067</v>
      </c>
      <c r="B1792" s="207">
        <v>438</v>
      </c>
      <c r="C1792" s="215" t="s">
        <v>5202</v>
      </c>
      <c r="D1792" s="215" t="s">
        <v>10483</v>
      </c>
      <c r="E1792" s="215" t="s">
        <v>10483</v>
      </c>
      <c r="F1792" s="215" t="s">
        <v>10472</v>
      </c>
      <c r="G1792" s="215" t="s">
        <v>10473</v>
      </c>
      <c r="H1792" s="215" t="s">
        <v>6548</v>
      </c>
      <c r="I1792" s="300"/>
      <c r="J1792" s="300"/>
      <c r="K1792" s="300"/>
      <c r="L1792" s="300"/>
      <c r="M1792" s="300"/>
      <c r="N1792" s="300"/>
      <c r="O1792" s="300"/>
      <c r="P1792" s="300"/>
      <c r="Q1792" s="300"/>
      <c r="R1792" s="300"/>
      <c r="S1792" s="300"/>
      <c r="T1792" s="300"/>
      <c r="U1792" s="300"/>
      <c r="V1792" s="300"/>
      <c r="W1792" s="300"/>
      <c r="X1792" s="300"/>
      <c r="Y1792" s="300"/>
      <c r="Z1792" s="300"/>
    </row>
    <row r="1793" spans="1:26">
      <c r="A1793" s="215" t="s">
        <v>4390</v>
      </c>
      <c r="B1793" s="207">
        <v>439</v>
      </c>
      <c r="C1793" s="215" t="s">
        <v>6332</v>
      </c>
      <c r="D1793" s="215" t="s">
        <v>10484</v>
      </c>
      <c r="E1793" s="215" t="s">
        <v>10484</v>
      </c>
      <c r="F1793" s="215" t="s">
        <v>10472</v>
      </c>
      <c r="G1793" s="215" t="s">
        <v>10473</v>
      </c>
      <c r="H1793" s="215" t="s">
        <v>6497</v>
      </c>
      <c r="I1793" s="300"/>
      <c r="J1793" s="300"/>
      <c r="K1793" s="300"/>
      <c r="L1793" s="300"/>
      <c r="M1793" s="300"/>
      <c r="N1793" s="300"/>
      <c r="O1793" s="300"/>
      <c r="P1793" s="300"/>
      <c r="Q1793" s="300"/>
      <c r="R1793" s="300"/>
      <c r="S1793" s="300"/>
      <c r="T1793" s="300"/>
      <c r="U1793" s="300"/>
      <c r="V1793" s="300"/>
      <c r="W1793" s="300"/>
      <c r="X1793" s="300"/>
      <c r="Y1793" s="300"/>
      <c r="Z1793" s="300"/>
    </row>
    <row r="1794" spans="1:26">
      <c r="A1794" s="215" t="s">
        <v>4511</v>
      </c>
      <c r="B1794" s="207">
        <v>441</v>
      </c>
      <c r="C1794" s="215" t="s">
        <v>6426</v>
      </c>
      <c r="D1794" s="215" t="s">
        <v>10485</v>
      </c>
      <c r="E1794" s="215" t="s">
        <v>10486</v>
      </c>
      <c r="F1794" s="215" t="s">
        <v>10472</v>
      </c>
      <c r="G1794" s="215" t="s">
        <v>10473</v>
      </c>
      <c r="H1794" s="215" t="s">
        <v>6497</v>
      </c>
      <c r="I1794" s="300"/>
      <c r="J1794" s="300"/>
      <c r="K1794" s="300"/>
      <c r="L1794" s="300"/>
      <c r="M1794" s="300"/>
      <c r="N1794" s="300"/>
      <c r="O1794" s="300"/>
      <c r="P1794" s="300"/>
      <c r="Q1794" s="300"/>
      <c r="R1794" s="300"/>
      <c r="S1794" s="300"/>
      <c r="T1794" s="300"/>
      <c r="U1794" s="300"/>
      <c r="V1794" s="300"/>
      <c r="W1794" s="300"/>
      <c r="X1794" s="300"/>
      <c r="Y1794" s="300"/>
      <c r="Z1794" s="300"/>
    </row>
    <row r="1795" spans="1:26">
      <c r="A1795" s="215" t="s">
        <v>3018</v>
      </c>
      <c r="B1795" s="207">
        <v>442</v>
      </c>
      <c r="C1795" s="215" t="s">
        <v>10487</v>
      </c>
      <c r="D1795" s="215" t="s">
        <v>10487</v>
      </c>
      <c r="E1795" s="215" t="s">
        <v>10488</v>
      </c>
      <c r="F1795" s="215" t="s">
        <v>10472</v>
      </c>
      <c r="G1795" s="215" t="s">
        <v>10473</v>
      </c>
      <c r="H1795" s="215" t="s">
        <v>6500</v>
      </c>
      <c r="I1795" s="300"/>
      <c r="J1795" s="300"/>
      <c r="K1795" s="300"/>
      <c r="L1795" s="300"/>
      <c r="M1795" s="300"/>
      <c r="N1795" s="300"/>
      <c r="O1795" s="300"/>
      <c r="P1795" s="300"/>
      <c r="Q1795" s="300"/>
      <c r="R1795" s="300"/>
      <c r="S1795" s="300"/>
      <c r="T1795" s="300"/>
      <c r="U1795" s="300"/>
      <c r="V1795" s="300"/>
      <c r="W1795" s="300"/>
      <c r="X1795" s="300"/>
      <c r="Y1795" s="300"/>
      <c r="Z1795" s="300"/>
    </row>
    <row r="1796" spans="1:26">
      <c r="A1796" s="215" t="s">
        <v>4001</v>
      </c>
      <c r="B1796" s="207">
        <v>445</v>
      </c>
      <c r="C1796" s="215" t="s">
        <v>10489</v>
      </c>
      <c r="D1796" s="215" t="s">
        <v>10490</v>
      </c>
      <c r="E1796" s="215" t="s">
        <v>10491</v>
      </c>
      <c r="F1796" s="215" t="s">
        <v>10472</v>
      </c>
      <c r="G1796" s="215" t="s">
        <v>10473</v>
      </c>
      <c r="H1796" s="215" t="s">
        <v>6504</v>
      </c>
      <c r="I1796" s="300"/>
      <c r="J1796" s="300"/>
      <c r="K1796" s="300"/>
      <c r="L1796" s="300"/>
      <c r="M1796" s="300"/>
      <c r="N1796" s="300"/>
      <c r="O1796" s="300"/>
      <c r="P1796" s="300"/>
      <c r="Q1796" s="300"/>
      <c r="R1796" s="300"/>
      <c r="S1796" s="300"/>
      <c r="T1796" s="300"/>
      <c r="U1796" s="300"/>
      <c r="V1796" s="300"/>
      <c r="W1796" s="300"/>
      <c r="X1796" s="300"/>
      <c r="Y1796" s="300"/>
      <c r="Z1796" s="300"/>
    </row>
    <row r="1797" spans="1:26">
      <c r="A1797" s="215" t="s">
        <v>4248</v>
      </c>
      <c r="B1797" s="207">
        <v>446</v>
      </c>
      <c r="C1797" s="215" t="s">
        <v>6222</v>
      </c>
      <c r="D1797" s="215" t="s">
        <v>10492</v>
      </c>
      <c r="E1797" s="215" t="s">
        <v>10493</v>
      </c>
      <c r="F1797" s="215" t="s">
        <v>10472</v>
      </c>
      <c r="G1797" s="215" t="s">
        <v>10473</v>
      </c>
      <c r="H1797" s="215" t="s">
        <v>6497</v>
      </c>
      <c r="I1797" s="300"/>
      <c r="J1797" s="300"/>
      <c r="K1797" s="300"/>
      <c r="L1797" s="300"/>
      <c r="M1797" s="300"/>
      <c r="N1797" s="300"/>
      <c r="O1797" s="300"/>
      <c r="P1797" s="300"/>
      <c r="Q1797" s="300"/>
      <c r="R1797" s="300"/>
      <c r="S1797" s="300"/>
      <c r="T1797" s="300"/>
      <c r="U1797" s="300"/>
      <c r="V1797" s="300"/>
      <c r="W1797" s="300"/>
      <c r="X1797" s="300"/>
      <c r="Y1797" s="300"/>
      <c r="Z1797" s="300"/>
    </row>
    <row r="1798" spans="1:26">
      <c r="A1798" s="215" t="s">
        <v>2685</v>
      </c>
      <c r="B1798" s="207">
        <v>961</v>
      </c>
      <c r="C1798" s="215" t="s">
        <v>4856</v>
      </c>
      <c r="D1798" s="215" t="s">
        <v>10494</v>
      </c>
      <c r="E1798" s="215" t="s">
        <v>10495</v>
      </c>
      <c r="F1798" s="215" t="s">
        <v>10472</v>
      </c>
      <c r="G1798" s="215" t="s">
        <v>10473</v>
      </c>
      <c r="H1798" s="215" t="s">
        <v>6500</v>
      </c>
      <c r="I1798" s="300"/>
      <c r="J1798" s="300"/>
      <c r="K1798" s="300"/>
      <c r="L1798" s="300"/>
      <c r="M1798" s="300"/>
      <c r="N1798" s="300"/>
      <c r="O1798" s="300"/>
      <c r="P1798" s="300"/>
      <c r="Q1798" s="300"/>
      <c r="R1798" s="300"/>
      <c r="S1798" s="300"/>
      <c r="T1798" s="300"/>
      <c r="U1798" s="300"/>
      <c r="V1798" s="300"/>
      <c r="W1798" s="300"/>
      <c r="X1798" s="300"/>
      <c r="Y1798" s="300"/>
      <c r="Z1798" s="300"/>
    </row>
    <row r="1799" spans="1:26">
      <c r="A1799" s="215" t="s">
        <v>2796</v>
      </c>
      <c r="B1799" s="207">
        <v>963</v>
      </c>
      <c r="C1799" s="215" t="s">
        <v>4959</v>
      </c>
      <c r="D1799" s="215" t="s">
        <v>10496</v>
      </c>
      <c r="E1799" s="215" t="s">
        <v>10496</v>
      </c>
      <c r="F1799" s="215" t="s">
        <v>10472</v>
      </c>
      <c r="G1799" s="215" t="s">
        <v>10473</v>
      </c>
      <c r="H1799" s="215" t="s">
        <v>6500</v>
      </c>
      <c r="I1799" s="300"/>
      <c r="J1799" s="300"/>
      <c r="K1799" s="300"/>
      <c r="L1799" s="300"/>
      <c r="M1799" s="300"/>
      <c r="N1799" s="300"/>
      <c r="O1799" s="300"/>
      <c r="P1799" s="300"/>
      <c r="Q1799" s="300"/>
      <c r="R1799" s="300"/>
      <c r="S1799" s="300"/>
      <c r="T1799" s="300"/>
      <c r="U1799" s="300"/>
      <c r="V1799" s="300"/>
      <c r="W1799" s="300"/>
      <c r="X1799" s="300"/>
      <c r="Y1799" s="300"/>
      <c r="Z1799" s="300"/>
    </row>
    <row r="1800" spans="1:26">
      <c r="A1800" s="215" t="s">
        <v>2757</v>
      </c>
      <c r="B1800" s="207">
        <v>964</v>
      </c>
      <c r="C1800" s="215" t="s">
        <v>4912</v>
      </c>
      <c r="D1800" s="215" t="s">
        <v>10497</v>
      </c>
      <c r="E1800" s="215" t="s">
        <v>10497</v>
      </c>
      <c r="F1800" s="215" t="s">
        <v>10472</v>
      </c>
      <c r="G1800" s="215" t="s">
        <v>10473</v>
      </c>
      <c r="H1800" s="215" t="s">
        <v>6521</v>
      </c>
      <c r="I1800" s="300"/>
      <c r="J1800" s="300"/>
      <c r="K1800" s="300"/>
      <c r="L1800" s="300"/>
      <c r="M1800" s="300"/>
      <c r="N1800" s="300"/>
      <c r="O1800" s="300"/>
      <c r="P1800" s="300"/>
      <c r="Q1800" s="300"/>
      <c r="R1800" s="300"/>
      <c r="S1800" s="300"/>
      <c r="T1800" s="300"/>
      <c r="U1800" s="300"/>
      <c r="V1800" s="300"/>
      <c r="W1800" s="300"/>
      <c r="X1800" s="300"/>
      <c r="Y1800" s="300"/>
      <c r="Z1800" s="300"/>
    </row>
    <row r="1801" spans="1:26">
      <c r="A1801" s="215" t="s">
        <v>3996</v>
      </c>
      <c r="B1801" s="207">
        <v>1025</v>
      </c>
      <c r="C1801" s="215" t="s">
        <v>6023</v>
      </c>
      <c r="D1801" s="215" t="s">
        <v>10498</v>
      </c>
      <c r="E1801" s="215" t="s">
        <v>10499</v>
      </c>
      <c r="F1801" s="215" t="s">
        <v>10472</v>
      </c>
      <c r="G1801" s="215" t="s">
        <v>10473</v>
      </c>
      <c r="H1801" s="215" t="s">
        <v>6500</v>
      </c>
      <c r="I1801" s="300"/>
      <c r="J1801" s="300"/>
      <c r="K1801" s="300"/>
      <c r="L1801" s="300"/>
      <c r="M1801" s="300"/>
      <c r="N1801" s="300"/>
      <c r="O1801" s="300"/>
      <c r="P1801" s="300"/>
      <c r="Q1801" s="300"/>
      <c r="R1801" s="300"/>
      <c r="S1801" s="300"/>
      <c r="T1801" s="300"/>
      <c r="U1801" s="300"/>
      <c r="V1801" s="300"/>
      <c r="W1801" s="300"/>
      <c r="X1801" s="300"/>
      <c r="Y1801" s="300"/>
      <c r="Z1801" s="300"/>
    </row>
    <row r="1802" spans="1:26">
      <c r="A1802" s="215" t="s">
        <v>3305</v>
      </c>
      <c r="B1802" s="207">
        <v>1033</v>
      </c>
      <c r="C1802" s="215" t="s">
        <v>4820</v>
      </c>
      <c r="D1802" s="215" t="s">
        <v>10500</v>
      </c>
      <c r="E1802" s="215" t="s">
        <v>10501</v>
      </c>
      <c r="F1802" s="215" t="s">
        <v>10472</v>
      </c>
      <c r="G1802" s="215" t="s">
        <v>10473</v>
      </c>
      <c r="H1802" s="215" t="s">
        <v>6521</v>
      </c>
      <c r="I1802" s="300"/>
      <c r="J1802" s="300"/>
      <c r="K1802" s="300"/>
      <c r="L1802" s="300"/>
      <c r="M1802" s="300"/>
      <c r="N1802" s="300"/>
      <c r="O1802" s="300"/>
      <c r="P1802" s="300"/>
      <c r="Q1802" s="300"/>
      <c r="R1802" s="300"/>
      <c r="S1802" s="300"/>
      <c r="T1802" s="300"/>
      <c r="U1802" s="300"/>
      <c r="V1802" s="300"/>
      <c r="W1802" s="300"/>
      <c r="X1802" s="300"/>
      <c r="Y1802" s="300"/>
      <c r="Z1802" s="300"/>
    </row>
    <row r="1803" spans="1:26">
      <c r="A1803" s="215" t="s">
        <v>10502</v>
      </c>
      <c r="B1803" s="207">
        <v>1082</v>
      </c>
      <c r="C1803" s="215" t="s">
        <v>5093</v>
      </c>
      <c r="D1803" s="215" t="s">
        <v>10503</v>
      </c>
      <c r="E1803" s="215" t="s">
        <v>10503</v>
      </c>
      <c r="F1803" s="215" t="s">
        <v>10472</v>
      </c>
      <c r="G1803" s="215" t="s">
        <v>10473</v>
      </c>
      <c r="H1803" s="215" t="s">
        <v>6521</v>
      </c>
      <c r="I1803" s="300"/>
      <c r="J1803" s="300"/>
      <c r="K1803" s="300"/>
      <c r="L1803" s="300"/>
      <c r="M1803" s="300"/>
      <c r="N1803" s="300"/>
      <c r="O1803" s="300"/>
      <c r="P1803" s="300"/>
      <c r="Q1803" s="300"/>
      <c r="R1803" s="300"/>
      <c r="S1803" s="300"/>
      <c r="T1803" s="300"/>
      <c r="U1803" s="300"/>
      <c r="V1803" s="300"/>
      <c r="W1803" s="300"/>
      <c r="X1803" s="300"/>
      <c r="Y1803" s="300"/>
      <c r="Z1803" s="300"/>
    </row>
    <row r="1804" spans="1:26">
      <c r="A1804" s="215" t="s">
        <v>3069</v>
      </c>
      <c r="B1804" s="207">
        <v>1083</v>
      </c>
      <c r="C1804" s="215" t="s">
        <v>5204</v>
      </c>
      <c r="D1804" s="215" t="s">
        <v>10504</v>
      </c>
      <c r="E1804" s="215" t="s">
        <v>10504</v>
      </c>
      <c r="F1804" s="215" t="s">
        <v>10472</v>
      </c>
      <c r="G1804" s="215" t="s">
        <v>10473</v>
      </c>
      <c r="H1804" s="215" t="s">
        <v>6504</v>
      </c>
      <c r="I1804" s="300"/>
      <c r="J1804" s="300"/>
      <c r="K1804" s="300"/>
      <c r="L1804" s="300"/>
      <c r="M1804" s="300"/>
      <c r="N1804" s="300"/>
      <c r="O1804" s="300"/>
      <c r="P1804" s="300"/>
      <c r="Q1804" s="300"/>
      <c r="R1804" s="300"/>
      <c r="S1804" s="300"/>
      <c r="T1804" s="300"/>
      <c r="U1804" s="300"/>
      <c r="V1804" s="300"/>
      <c r="W1804" s="300"/>
      <c r="X1804" s="300"/>
      <c r="Y1804" s="300"/>
      <c r="Z1804" s="300"/>
    </row>
    <row r="1805" spans="1:26">
      <c r="A1805" s="215" t="s">
        <v>3065</v>
      </c>
      <c r="B1805" s="207">
        <v>1085</v>
      </c>
      <c r="C1805" s="215" t="s">
        <v>10505</v>
      </c>
      <c r="D1805" s="215" t="s">
        <v>10506</v>
      </c>
      <c r="E1805" s="215" t="s">
        <v>10506</v>
      </c>
      <c r="F1805" s="215" t="s">
        <v>10472</v>
      </c>
      <c r="G1805" s="215" t="s">
        <v>10473</v>
      </c>
      <c r="H1805" s="215" t="s">
        <v>6500</v>
      </c>
      <c r="I1805" s="300"/>
      <c r="J1805" s="300"/>
      <c r="K1805" s="300"/>
      <c r="L1805" s="300"/>
      <c r="M1805" s="300"/>
      <c r="N1805" s="300"/>
      <c r="O1805" s="300"/>
      <c r="P1805" s="300"/>
      <c r="Q1805" s="300"/>
      <c r="R1805" s="300"/>
      <c r="S1805" s="300"/>
      <c r="T1805" s="300"/>
      <c r="U1805" s="300"/>
      <c r="V1805" s="300"/>
      <c r="W1805" s="300"/>
      <c r="X1805" s="300"/>
      <c r="Y1805" s="300"/>
      <c r="Z1805" s="300"/>
    </row>
    <row r="1806" spans="1:26">
      <c r="A1806" s="215" t="s">
        <v>3995</v>
      </c>
      <c r="B1806" s="207">
        <v>1086</v>
      </c>
      <c r="C1806" s="215" t="s">
        <v>6022</v>
      </c>
      <c r="D1806" s="215" t="s">
        <v>10507</v>
      </c>
      <c r="E1806" s="215" t="s">
        <v>10507</v>
      </c>
      <c r="F1806" s="215" t="s">
        <v>10472</v>
      </c>
      <c r="G1806" s="215" t="s">
        <v>10473</v>
      </c>
      <c r="H1806" s="215" t="s">
        <v>6500</v>
      </c>
      <c r="I1806" s="300"/>
      <c r="J1806" s="300"/>
      <c r="K1806" s="300"/>
      <c r="L1806" s="300"/>
      <c r="M1806" s="300"/>
      <c r="N1806" s="300"/>
      <c r="O1806" s="300"/>
      <c r="P1806" s="300"/>
      <c r="Q1806" s="300"/>
      <c r="R1806" s="300"/>
      <c r="S1806" s="300"/>
      <c r="T1806" s="300"/>
      <c r="U1806" s="300"/>
      <c r="V1806" s="300"/>
      <c r="W1806" s="300"/>
      <c r="X1806" s="300"/>
      <c r="Y1806" s="300"/>
      <c r="Z1806" s="300"/>
    </row>
    <row r="1807" spans="1:26">
      <c r="A1807" s="215" t="s">
        <v>3414</v>
      </c>
      <c r="B1807" s="207">
        <v>1088</v>
      </c>
      <c r="C1807" s="215" t="s">
        <v>5537</v>
      </c>
      <c r="D1807" s="215" t="s">
        <v>10508</v>
      </c>
      <c r="E1807" s="215" t="s">
        <v>10509</v>
      </c>
      <c r="F1807" s="215" t="s">
        <v>10472</v>
      </c>
      <c r="G1807" s="215" t="s">
        <v>10473</v>
      </c>
      <c r="H1807" s="215" t="s">
        <v>6500</v>
      </c>
      <c r="I1807" s="300"/>
      <c r="J1807" s="300"/>
      <c r="K1807" s="300"/>
      <c r="L1807" s="300"/>
      <c r="M1807" s="300"/>
      <c r="N1807" s="300"/>
      <c r="O1807" s="300"/>
      <c r="P1807" s="300"/>
      <c r="Q1807" s="300"/>
      <c r="R1807" s="300"/>
      <c r="S1807" s="300"/>
      <c r="T1807" s="300"/>
      <c r="U1807" s="300"/>
      <c r="V1807" s="300"/>
      <c r="W1807" s="300"/>
      <c r="X1807" s="300"/>
      <c r="Y1807" s="300"/>
      <c r="Z1807" s="300"/>
    </row>
    <row r="1808" spans="1:26">
      <c r="A1808" s="215" t="s">
        <v>3404</v>
      </c>
      <c r="B1808" s="207">
        <v>1089</v>
      </c>
      <c r="C1808" s="215" t="s">
        <v>5528</v>
      </c>
      <c r="D1808" s="215" t="s">
        <v>10510</v>
      </c>
      <c r="E1808" s="215" t="s">
        <v>3431</v>
      </c>
      <c r="F1808" s="215" t="s">
        <v>10472</v>
      </c>
      <c r="G1808" s="215" t="s">
        <v>10473</v>
      </c>
      <c r="H1808" s="215" t="s">
        <v>6521</v>
      </c>
      <c r="I1808" s="300"/>
      <c r="J1808" s="300"/>
      <c r="K1808" s="300"/>
      <c r="L1808" s="300"/>
      <c r="M1808" s="300"/>
      <c r="N1808" s="300"/>
      <c r="O1808" s="300"/>
      <c r="P1808" s="300"/>
      <c r="Q1808" s="300"/>
      <c r="R1808" s="300"/>
      <c r="S1808" s="300"/>
      <c r="T1808" s="300"/>
      <c r="U1808" s="300"/>
      <c r="V1808" s="300"/>
      <c r="W1808" s="300"/>
      <c r="X1808" s="300"/>
      <c r="Y1808" s="300"/>
      <c r="Z1808" s="300"/>
    </row>
    <row r="1809" spans="1:26">
      <c r="A1809" s="215" t="s">
        <v>3410</v>
      </c>
      <c r="B1809" s="207">
        <v>1092</v>
      </c>
      <c r="C1809" s="215" t="s">
        <v>4919</v>
      </c>
      <c r="D1809" s="215" t="s">
        <v>10511</v>
      </c>
      <c r="E1809" s="215" t="s">
        <v>10512</v>
      </c>
      <c r="F1809" s="215" t="s">
        <v>10472</v>
      </c>
      <c r="G1809" s="215" t="s">
        <v>10473</v>
      </c>
      <c r="H1809" s="215" t="s">
        <v>6521</v>
      </c>
      <c r="I1809" s="300"/>
      <c r="J1809" s="300"/>
      <c r="K1809" s="300"/>
      <c r="L1809" s="300"/>
      <c r="M1809" s="300"/>
      <c r="N1809" s="300"/>
      <c r="O1809" s="300"/>
      <c r="P1809" s="300"/>
      <c r="Q1809" s="300"/>
      <c r="R1809" s="300"/>
      <c r="S1809" s="300"/>
      <c r="T1809" s="300"/>
      <c r="U1809" s="300"/>
      <c r="V1809" s="300"/>
      <c r="W1809" s="300"/>
      <c r="X1809" s="300"/>
      <c r="Y1809" s="300"/>
      <c r="Z1809" s="300"/>
    </row>
    <row r="1810" spans="1:26">
      <c r="A1810" s="215" t="s">
        <v>10513</v>
      </c>
      <c r="B1810" s="207">
        <v>1093</v>
      </c>
      <c r="C1810" s="215" t="s">
        <v>5622</v>
      </c>
      <c r="D1810" s="215" t="s">
        <v>10514</v>
      </c>
      <c r="E1810" s="215" t="s">
        <v>10515</v>
      </c>
      <c r="F1810" s="215" t="s">
        <v>10472</v>
      </c>
      <c r="G1810" s="215" t="s">
        <v>10473</v>
      </c>
      <c r="H1810" s="215" t="s">
        <v>6504</v>
      </c>
      <c r="I1810" s="300"/>
      <c r="J1810" s="300"/>
      <c r="K1810" s="300"/>
      <c r="L1810" s="300"/>
      <c r="M1810" s="300"/>
      <c r="N1810" s="300"/>
      <c r="O1810" s="300"/>
      <c r="P1810" s="300"/>
      <c r="Q1810" s="300"/>
      <c r="R1810" s="300"/>
      <c r="S1810" s="300"/>
      <c r="T1810" s="300"/>
      <c r="U1810" s="300"/>
      <c r="V1810" s="300"/>
      <c r="W1810" s="300"/>
      <c r="X1810" s="300"/>
      <c r="Y1810" s="300"/>
      <c r="Z1810" s="300"/>
    </row>
    <row r="1811" spans="1:26">
      <c r="A1811" s="215" t="s">
        <v>10516</v>
      </c>
      <c r="B1811" s="207">
        <v>1095</v>
      </c>
      <c r="C1811" s="215" t="s">
        <v>5223</v>
      </c>
      <c r="D1811" s="215" t="s">
        <v>10517</v>
      </c>
      <c r="E1811" s="215" t="s">
        <v>10518</v>
      </c>
      <c r="F1811" s="215" t="s">
        <v>10472</v>
      </c>
      <c r="G1811" s="215" t="s">
        <v>10473</v>
      </c>
      <c r="H1811" s="215" t="s">
        <v>6504</v>
      </c>
      <c r="I1811" s="300"/>
      <c r="J1811" s="300"/>
      <c r="K1811" s="300"/>
      <c r="L1811" s="300"/>
      <c r="M1811" s="300"/>
      <c r="N1811" s="300"/>
      <c r="O1811" s="300"/>
      <c r="P1811" s="300"/>
      <c r="Q1811" s="300"/>
      <c r="R1811" s="300"/>
      <c r="S1811" s="300"/>
      <c r="T1811" s="300"/>
      <c r="U1811" s="300"/>
      <c r="V1811" s="300"/>
      <c r="W1811" s="300"/>
      <c r="X1811" s="300"/>
      <c r="Y1811" s="300"/>
      <c r="Z1811" s="300"/>
    </row>
    <row r="1812" spans="1:26">
      <c r="A1812" s="215" t="s">
        <v>3739</v>
      </c>
      <c r="B1812" s="207">
        <v>1099</v>
      </c>
      <c r="C1812" s="215" t="s">
        <v>5818</v>
      </c>
      <c r="D1812" s="215" t="s">
        <v>10519</v>
      </c>
      <c r="E1812" s="215" t="s">
        <v>10520</v>
      </c>
      <c r="F1812" s="215" t="s">
        <v>10472</v>
      </c>
      <c r="G1812" s="215" t="s">
        <v>10473</v>
      </c>
      <c r="H1812" s="215" t="s">
        <v>6504</v>
      </c>
      <c r="I1812" s="300"/>
      <c r="J1812" s="300"/>
      <c r="K1812" s="300"/>
      <c r="L1812" s="300"/>
      <c r="M1812" s="300"/>
      <c r="N1812" s="300"/>
      <c r="O1812" s="300"/>
      <c r="P1812" s="300"/>
      <c r="Q1812" s="300"/>
      <c r="R1812" s="300"/>
      <c r="S1812" s="300"/>
      <c r="T1812" s="300"/>
      <c r="U1812" s="300"/>
      <c r="V1812" s="300"/>
      <c r="W1812" s="300"/>
      <c r="X1812" s="300"/>
      <c r="Y1812" s="300"/>
      <c r="Z1812" s="300"/>
    </row>
    <row r="1813" spans="1:26">
      <c r="A1813" s="215" t="s">
        <v>3971</v>
      </c>
      <c r="B1813" s="207">
        <v>1101</v>
      </c>
      <c r="C1813" s="215" t="s">
        <v>6007</v>
      </c>
      <c r="D1813" s="215" t="s">
        <v>10521</v>
      </c>
      <c r="E1813" s="215" t="s">
        <v>10521</v>
      </c>
      <c r="F1813" s="215" t="s">
        <v>10472</v>
      </c>
      <c r="G1813" s="215" t="s">
        <v>10473</v>
      </c>
      <c r="H1813" s="215" t="s">
        <v>6504</v>
      </c>
      <c r="I1813" s="300"/>
      <c r="J1813" s="300"/>
      <c r="K1813" s="300"/>
      <c r="L1813" s="300"/>
      <c r="M1813" s="300"/>
      <c r="N1813" s="300"/>
      <c r="O1813" s="300"/>
      <c r="P1813" s="300"/>
      <c r="Q1813" s="300"/>
      <c r="R1813" s="300"/>
      <c r="S1813" s="300"/>
      <c r="T1813" s="300"/>
      <c r="U1813" s="300"/>
      <c r="V1813" s="300"/>
      <c r="W1813" s="300"/>
      <c r="X1813" s="300"/>
      <c r="Y1813" s="300"/>
      <c r="Z1813" s="300"/>
    </row>
    <row r="1814" spans="1:26">
      <c r="A1814" s="215" t="s">
        <v>4004</v>
      </c>
      <c r="B1814" s="207">
        <v>1102</v>
      </c>
      <c r="C1814" s="215" t="s">
        <v>5681</v>
      </c>
      <c r="D1814" s="215" t="s">
        <v>10522</v>
      </c>
      <c r="E1814" s="215" t="s">
        <v>10522</v>
      </c>
      <c r="F1814" s="215" t="s">
        <v>10472</v>
      </c>
      <c r="G1814" s="215" t="s">
        <v>10473</v>
      </c>
      <c r="H1814" s="215" t="s">
        <v>6521</v>
      </c>
      <c r="I1814" s="300"/>
      <c r="J1814" s="300"/>
      <c r="K1814" s="300"/>
      <c r="L1814" s="300"/>
      <c r="M1814" s="300"/>
      <c r="N1814" s="300"/>
      <c r="O1814" s="300"/>
      <c r="P1814" s="300"/>
      <c r="Q1814" s="300"/>
      <c r="R1814" s="300"/>
      <c r="S1814" s="300"/>
      <c r="T1814" s="300"/>
      <c r="U1814" s="300"/>
      <c r="V1814" s="300"/>
      <c r="W1814" s="300"/>
      <c r="X1814" s="300"/>
      <c r="Y1814" s="300"/>
      <c r="Z1814" s="300"/>
    </row>
    <row r="1815" spans="1:26">
      <c r="A1815" s="215" t="s">
        <v>4164</v>
      </c>
      <c r="B1815" s="207">
        <v>1105</v>
      </c>
      <c r="C1815" s="215" t="s">
        <v>6152</v>
      </c>
      <c r="D1815" s="215" t="s">
        <v>10523</v>
      </c>
      <c r="E1815" s="215" t="s">
        <v>10523</v>
      </c>
      <c r="F1815" s="215" t="s">
        <v>10472</v>
      </c>
      <c r="G1815" s="215" t="s">
        <v>10473</v>
      </c>
      <c r="H1815" s="215" t="s">
        <v>6521</v>
      </c>
      <c r="I1815" s="300"/>
      <c r="J1815" s="300"/>
      <c r="K1815" s="300"/>
      <c r="L1815" s="300"/>
      <c r="M1815" s="300"/>
      <c r="N1815" s="300"/>
      <c r="O1815" s="300"/>
      <c r="P1815" s="300"/>
      <c r="Q1815" s="300"/>
      <c r="R1815" s="300"/>
      <c r="S1815" s="300"/>
      <c r="T1815" s="300"/>
      <c r="U1815" s="300"/>
      <c r="V1815" s="300"/>
      <c r="W1815" s="300"/>
      <c r="X1815" s="300"/>
      <c r="Y1815" s="300"/>
      <c r="Z1815" s="300"/>
    </row>
    <row r="1816" spans="1:26">
      <c r="A1816" s="215"/>
      <c r="B1816" s="207">
        <v>1107</v>
      </c>
      <c r="C1816" s="215" t="s">
        <v>6153</v>
      </c>
      <c r="D1816" s="215" t="s">
        <v>10524</v>
      </c>
      <c r="E1816" s="215" t="s">
        <v>10524</v>
      </c>
      <c r="F1816" s="215" t="s">
        <v>10472</v>
      </c>
      <c r="G1816" s="215" t="s">
        <v>10473</v>
      </c>
      <c r="H1816" s="215" t="s">
        <v>6497</v>
      </c>
      <c r="I1816" s="300"/>
      <c r="J1816" s="300"/>
      <c r="K1816" s="300"/>
      <c r="L1816" s="300"/>
      <c r="M1816" s="300"/>
      <c r="N1816" s="300"/>
      <c r="O1816" s="300"/>
      <c r="P1816" s="300"/>
      <c r="Q1816" s="300"/>
      <c r="R1816" s="300"/>
      <c r="S1816" s="300"/>
      <c r="T1816" s="300"/>
      <c r="U1816" s="300"/>
      <c r="V1816" s="300"/>
      <c r="W1816" s="300"/>
      <c r="X1816" s="300"/>
      <c r="Y1816" s="300"/>
      <c r="Z1816" s="300"/>
    </row>
    <row r="1817" spans="1:26">
      <c r="A1817" s="215" t="s">
        <v>4217</v>
      </c>
      <c r="B1817" s="207">
        <v>1109</v>
      </c>
      <c r="C1817" s="215" t="s">
        <v>6196</v>
      </c>
      <c r="D1817" s="215" t="s">
        <v>10525</v>
      </c>
      <c r="E1817" s="215" t="s">
        <v>10526</v>
      </c>
      <c r="F1817" s="215" t="s">
        <v>10472</v>
      </c>
      <c r="G1817" s="215" t="s">
        <v>10473</v>
      </c>
      <c r="H1817" s="215" t="s">
        <v>6500</v>
      </c>
      <c r="I1817" s="300"/>
      <c r="J1817" s="300"/>
      <c r="K1817" s="300"/>
      <c r="L1817" s="300"/>
      <c r="M1817" s="300"/>
      <c r="N1817" s="300"/>
      <c r="O1817" s="300"/>
      <c r="P1817" s="300"/>
      <c r="Q1817" s="300"/>
      <c r="R1817" s="300"/>
      <c r="S1817" s="300"/>
      <c r="T1817" s="300"/>
      <c r="U1817" s="300"/>
      <c r="V1817" s="300"/>
      <c r="W1817" s="300"/>
      <c r="X1817" s="300"/>
      <c r="Y1817" s="300"/>
      <c r="Z1817" s="300"/>
    </row>
    <row r="1818" spans="1:26">
      <c r="A1818" s="215" t="s">
        <v>10527</v>
      </c>
      <c r="B1818" s="207">
        <v>1110</v>
      </c>
      <c r="C1818" s="215" t="s">
        <v>5668</v>
      </c>
      <c r="D1818" s="215" t="s">
        <v>10528</v>
      </c>
      <c r="E1818" s="215" t="s">
        <v>10528</v>
      </c>
      <c r="F1818" s="215" t="s">
        <v>10472</v>
      </c>
      <c r="G1818" s="215" t="s">
        <v>10473</v>
      </c>
      <c r="H1818" s="215" t="s">
        <v>6500</v>
      </c>
      <c r="I1818" s="300"/>
      <c r="J1818" s="300"/>
      <c r="K1818" s="300"/>
      <c r="L1818" s="300"/>
      <c r="M1818" s="300"/>
      <c r="N1818" s="300"/>
      <c r="O1818" s="300"/>
      <c r="P1818" s="300"/>
      <c r="Q1818" s="300"/>
      <c r="R1818" s="300"/>
      <c r="S1818" s="300"/>
      <c r="T1818" s="300"/>
      <c r="U1818" s="300"/>
      <c r="V1818" s="300"/>
      <c r="W1818" s="300"/>
      <c r="X1818" s="300"/>
      <c r="Y1818" s="300"/>
      <c r="Z1818" s="300"/>
    </row>
    <row r="1819" spans="1:26">
      <c r="A1819" s="215" t="s">
        <v>4435</v>
      </c>
      <c r="B1819" s="207">
        <v>1111</v>
      </c>
      <c r="C1819" s="215" t="s">
        <v>6368</v>
      </c>
      <c r="D1819" s="215" t="s">
        <v>10529</v>
      </c>
      <c r="E1819" s="215" t="s">
        <v>10529</v>
      </c>
      <c r="F1819" s="215" t="s">
        <v>10472</v>
      </c>
      <c r="G1819" s="215" t="s">
        <v>10473</v>
      </c>
      <c r="H1819" s="215" t="s">
        <v>6521</v>
      </c>
      <c r="I1819" s="300"/>
      <c r="J1819" s="300"/>
      <c r="K1819" s="300"/>
      <c r="L1819" s="300"/>
      <c r="M1819" s="300"/>
      <c r="N1819" s="300"/>
      <c r="O1819" s="300"/>
      <c r="P1819" s="300"/>
      <c r="Q1819" s="300"/>
      <c r="R1819" s="300"/>
      <c r="S1819" s="300"/>
      <c r="T1819" s="300"/>
      <c r="U1819" s="300"/>
      <c r="V1819" s="300"/>
      <c r="W1819" s="300"/>
      <c r="X1819" s="300"/>
      <c r="Y1819" s="300"/>
      <c r="Z1819" s="300"/>
    </row>
    <row r="1820" spans="1:26">
      <c r="A1820" s="215" t="s">
        <v>10530</v>
      </c>
      <c r="B1820" s="207">
        <v>1112</v>
      </c>
      <c r="C1820" s="215" t="s">
        <v>10531</v>
      </c>
      <c r="D1820" s="215" t="s">
        <v>10532</v>
      </c>
      <c r="E1820" s="215" t="s">
        <v>10532</v>
      </c>
      <c r="F1820" s="215" t="s">
        <v>10472</v>
      </c>
      <c r="G1820" s="215" t="s">
        <v>10473</v>
      </c>
      <c r="H1820" s="215" t="s">
        <v>6521</v>
      </c>
      <c r="I1820" s="300"/>
      <c r="J1820" s="300"/>
      <c r="K1820" s="300"/>
      <c r="L1820" s="300"/>
      <c r="M1820" s="300"/>
      <c r="N1820" s="300"/>
      <c r="O1820" s="300"/>
      <c r="P1820" s="300"/>
      <c r="Q1820" s="300"/>
      <c r="R1820" s="300"/>
      <c r="S1820" s="300"/>
      <c r="T1820" s="300"/>
      <c r="U1820" s="300"/>
      <c r="V1820" s="300"/>
      <c r="W1820" s="300"/>
      <c r="X1820" s="300"/>
      <c r="Y1820" s="300"/>
      <c r="Z1820" s="300"/>
    </row>
    <row r="1821" spans="1:26">
      <c r="A1821" s="215" t="s">
        <v>10533</v>
      </c>
      <c r="B1821" s="207">
        <v>1113</v>
      </c>
      <c r="C1821" s="215" t="s">
        <v>5327</v>
      </c>
      <c r="D1821" s="215" t="s">
        <v>10534</v>
      </c>
      <c r="E1821" s="215" t="s">
        <v>10534</v>
      </c>
      <c r="F1821" s="215" t="s">
        <v>10472</v>
      </c>
      <c r="G1821" s="215" t="s">
        <v>10473</v>
      </c>
      <c r="H1821" s="215" t="s">
        <v>6500</v>
      </c>
      <c r="I1821" s="300"/>
      <c r="J1821" s="300"/>
      <c r="K1821" s="300"/>
      <c r="L1821" s="300"/>
      <c r="M1821" s="300"/>
      <c r="N1821" s="300"/>
      <c r="O1821" s="300"/>
      <c r="P1821" s="300"/>
      <c r="Q1821" s="300"/>
      <c r="R1821" s="300"/>
      <c r="S1821" s="300"/>
      <c r="T1821" s="300"/>
      <c r="U1821" s="300"/>
      <c r="V1821" s="300"/>
      <c r="W1821" s="300"/>
      <c r="X1821" s="300"/>
      <c r="Y1821" s="300"/>
      <c r="Z1821" s="300"/>
    </row>
    <row r="1822" spans="1:26">
      <c r="A1822" s="215" t="s">
        <v>4242</v>
      </c>
      <c r="B1822" s="207">
        <v>1115</v>
      </c>
      <c r="C1822" s="215" t="s">
        <v>6218</v>
      </c>
      <c r="D1822" s="215" t="s">
        <v>10535</v>
      </c>
      <c r="E1822" s="215" t="s">
        <v>10535</v>
      </c>
      <c r="F1822" s="215" t="s">
        <v>10472</v>
      </c>
      <c r="G1822" s="215" t="s">
        <v>10473</v>
      </c>
      <c r="H1822" s="215" t="s">
        <v>6521</v>
      </c>
      <c r="I1822" s="300"/>
      <c r="J1822" s="300"/>
      <c r="K1822" s="300"/>
      <c r="L1822" s="300"/>
      <c r="M1822" s="300"/>
      <c r="N1822" s="300"/>
      <c r="O1822" s="300"/>
      <c r="P1822" s="300"/>
      <c r="Q1822" s="300"/>
      <c r="R1822" s="300"/>
      <c r="S1822" s="300"/>
      <c r="T1822" s="300"/>
      <c r="U1822" s="300"/>
      <c r="V1822" s="300"/>
      <c r="W1822" s="300"/>
      <c r="X1822" s="300"/>
      <c r="Y1822" s="300"/>
      <c r="Z1822" s="300"/>
    </row>
    <row r="1823" spans="1:26">
      <c r="A1823" s="215" t="s">
        <v>4239</v>
      </c>
      <c r="B1823" s="207">
        <v>1116</v>
      </c>
      <c r="C1823" s="215" t="s">
        <v>6215</v>
      </c>
      <c r="D1823" s="215" t="s">
        <v>10536</v>
      </c>
      <c r="E1823" s="215" t="s">
        <v>10536</v>
      </c>
      <c r="F1823" s="215" t="s">
        <v>10472</v>
      </c>
      <c r="G1823" s="215" t="s">
        <v>10473</v>
      </c>
      <c r="H1823" s="215" t="s">
        <v>6500</v>
      </c>
      <c r="I1823" s="300"/>
      <c r="J1823" s="300"/>
      <c r="K1823" s="300"/>
      <c r="L1823" s="300"/>
      <c r="M1823" s="300"/>
      <c r="N1823" s="300"/>
      <c r="O1823" s="300"/>
      <c r="P1823" s="300"/>
      <c r="Q1823" s="300"/>
      <c r="R1823" s="300"/>
      <c r="S1823" s="300"/>
      <c r="T1823" s="300"/>
      <c r="U1823" s="300"/>
      <c r="V1823" s="300"/>
      <c r="W1823" s="300"/>
      <c r="X1823" s="300"/>
      <c r="Y1823" s="300"/>
      <c r="Z1823" s="300"/>
    </row>
    <row r="1824" spans="1:26">
      <c r="A1824" s="215" t="s">
        <v>741</v>
      </c>
      <c r="B1824" s="207">
        <v>1117</v>
      </c>
      <c r="C1824" s="215" t="s">
        <v>5829</v>
      </c>
      <c r="D1824" s="215" t="s">
        <v>10537</v>
      </c>
      <c r="E1824" s="215" t="s">
        <v>10538</v>
      </c>
      <c r="F1824" s="215" t="s">
        <v>10472</v>
      </c>
      <c r="G1824" s="215" t="s">
        <v>10473</v>
      </c>
      <c r="H1824" s="215" t="s">
        <v>6500</v>
      </c>
      <c r="I1824" s="300"/>
      <c r="J1824" s="300"/>
      <c r="K1824" s="300"/>
      <c r="L1824" s="300"/>
      <c r="M1824" s="300"/>
      <c r="N1824" s="300"/>
      <c r="O1824" s="300"/>
      <c r="P1824" s="300"/>
      <c r="Q1824" s="300"/>
      <c r="R1824" s="300"/>
      <c r="S1824" s="300"/>
      <c r="T1824" s="300"/>
      <c r="U1824" s="300"/>
      <c r="V1824" s="300"/>
      <c r="W1824" s="300"/>
      <c r="X1824" s="300"/>
      <c r="Y1824" s="300"/>
      <c r="Z1824" s="300"/>
    </row>
    <row r="1825" spans="1:26">
      <c r="A1825" s="215" t="s">
        <v>10539</v>
      </c>
      <c r="B1825" s="207">
        <v>1118</v>
      </c>
      <c r="C1825" s="215" t="s">
        <v>5710</v>
      </c>
      <c r="D1825" s="215" t="s">
        <v>10540</v>
      </c>
      <c r="E1825" s="215" t="s">
        <v>10541</v>
      </c>
      <c r="F1825" s="215" t="s">
        <v>10472</v>
      </c>
      <c r="G1825" s="215" t="s">
        <v>10473</v>
      </c>
      <c r="H1825" s="215" t="s">
        <v>6500</v>
      </c>
      <c r="I1825" s="300"/>
      <c r="J1825" s="300"/>
      <c r="K1825" s="300"/>
      <c r="L1825" s="300"/>
      <c r="M1825" s="300"/>
      <c r="N1825" s="300"/>
      <c r="O1825" s="300"/>
      <c r="P1825" s="300"/>
      <c r="Q1825" s="300"/>
      <c r="R1825" s="300"/>
      <c r="S1825" s="300"/>
      <c r="T1825" s="300"/>
      <c r="U1825" s="300"/>
      <c r="V1825" s="300"/>
      <c r="W1825" s="300"/>
      <c r="X1825" s="300"/>
      <c r="Y1825" s="300"/>
      <c r="Z1825" s="300"/>
    </row>
    <row r="1826" spans="1:26">
      <c r="A1826" s="215" t="s">
        <v>10542</v>
      </c>
      <c r="B1826" s="207">
        <v>1120</v>
      </c>
      <c r="C1826" s="215" t="s">
        <v>5381</v>
      </c>
      <c r="D1826" s="215" t="s">
        <v>10543</v>
      </c>
      <c r="E1826" s="215" t="s">
        <v>10544</v>
      </c>
      <c r="F1826" s="215" t="s">
        <v>10472</v>
      </c>
      <c r="G1826" s="215" t="s">
        <v>10473</v>
      </c>
      <c r="H1826" s="215" t="s">
        <v>6500</v>
      </c>
      <c r="I1826" s="300"/>
      <c r="J1826" s="300"/>
      <c r="K1826" s="300"/>
      <c r="L1826" s="300"/>
      <c r="M1826" s="300"/>
      <c r="N1826" s="300"/>
      <c r="O1826" s="300"/>
      <c r="P1826" s="300"/>
      <c r="Q1826" s="300"/>
      <c r="R1826" s="300"/>
      <c r="S1826" s="300"/>
      <c r="T1826" s="300"/>
      <c r="U1826" s="300"/>
      <c r="V1826" s="300"/>
      <c r="W1826" s="300"/>
      <c r="X1826" s="300"/>
      <c r="Y1826" s="300"/>
      <c r="Z1826" s="300"/>
    </row>
    <row r="1827" spans="1:26">
      <c r="A1827" s="215"/>
      <c r="B1827" s="207">
        <v>1121</v>
      </c>
      <c r="C1827" s="215" t="s">
        <v>10545</v>
      </c>
      <c r="D1827" s="215" t="s">
        <v>10546</v>
      </c>
      <c r="E1827" s="215" t="s">
        <v>10546</v>
      </c>
      <c r="F1827" s="215" t="s">
        <v>10472</v>
      </c>
      <c r="G1827" s="215" t="s">
        <v>10473</v>
      </c>
      <c r="H1827" s="215" t="s">
        <v>6500</v>
      </c>
      <c r="I1827" s="300"/>
      <c r="J1827" s="300"/>
      <c r="K1827" s="300"/>
      <c r="L1827" s="300"/>
      <c r="M1827" s="300"/>
      <c r="N1827" s="300"/>
      <c r="O1827" s="300"/>
      <c r="P1827" s="300"/>
      <c r="Q1827" s="300"/>
      <c r="R1827" s="300"/>
      <c r="S1827" s="300"/>
      <c r="T1827" s="300"/>
      <c r="U1827" s="300"/>
      <c r="V1827" s="300"/>
      <c r="W1827" s="300"/>
      <c r="X1827" s="300"/>
      <c r="Y1827" s="300"/>
      <c r="Z1827" s="300"/>
    </row>
    <row r="1828" spans="1:26">
      <c r="A1828" s="215" t="s">
        <v>3798</v>
      </c>
      <c r="B1828" s="207">
        <v>1122</v>
      </c>
      <c r="C1828" s="215" t="s">
        <v>10547</v>
      </c>
      <c r="D1828" s="215" t="s">
        <v>10548</v>
      </c>
      <c r="E1828" s="215" t="s">
        <v>10549</v>
      </c>
      <c r="F1828" s="215" t="s">
        <v>10472</v>
      </c>
      <c r="G1828" s="215" t="s">
        <v>10473</v>
      </c>
      <c r="H1828" s="215" t="s">
        <v>6500</v>
      </c>
      <c r="I1828" s="300"/>
      <c r="J1828" s="300"/>
      <c r="K1828" s="300"/>
      <c r="L1828" s="300"/>
      <c r="M1828" s="300"/>
      <c r="N1828" s="300"/>
      <c r="O1828" s="300"/>
      <c r="P1828" s="300"/>
      <c r="Q1828" s="300"/>
      <c r="R1828" s="300"/>
      <c r="S1828" s="300"/>
      <c r="T1828" s="300"/>
      <c r="U1828" s="300"/>
      <c r="V1828" s="300"/>
      <c r="W1828" s="300"/>
      <c r="X1828" s="300"/>
      <c r="Y1828" s="300"/>
      <c r="Z1828" s="300"/>
    </row>
    <row r="1829" spans="1:26">
      <c r="A1829" s="215" t="s">
        <v>3783</v>
      </c>
      <c r="B1829" s="207">
        <v>1123</v>
      </c>
      <c r="C1829" s="215" t="s">
        <v>5859</v>
      </c>
      <c r="D1829" s="215" t="s">
        <v>10550</v>
      </c>
      <c r="E1829" s="215" t="s">
        <v>10550</v>
      </c>
      <c r="F1829" s="215" t="s">
        <v>10472</v>
      </c>
      <c r="G1829" s="215" t="s">
        <v>10473</v>
      </c>
      <c r="H1829" s="215" t="s">
        <v>6500</v>
      </c>
      <c r="I1829" s="300"/>
      <c r="J1829" s="300"/>
      <c r="K1829" s="300"/>
      <c r="L1829" s="300"/>
      <c r="M1829" s="300"/>
      <c r="N1829" s="300"/>
      <c r="O1829" s="300"/>
      <c r="P1829" s="300"/>
      <c r="Q1829" s="300"/>
      <c r="R1829" s="300"/>
      <c r="S1829" s="300"/>
      <c r="T1829" s="300"/>
      <c r="U1829" s="300"/>
      <c r="V1829" s="300"/>
      <c r="W1829" s="300"/>
      <c r="X1829" s="300"/>
      <c r="Y1829" s="300"/>
      <c r="Z1829" s="300"/>
    </row>
    <row r="1830" spans="1:26">
      <c r="A1830" s="215" t="s">
        <v>3500</v>
      </c>
      <c r="B1830" s="207">
        <v>1124</v>
      </c>
      <c r="C1830" s="215" t="s">
        <v>5607</v>
      </c>
      <c r="D1830" s="215" t="s">
        <v>10551</v>
      </c>
      <c r="E1830" s="215" t="s">
        <v>10551</v>
      </c>
      <c r="F1830" s="215" t="s">
        <v>10472</v>
      </c>
      <c r="G1830" s="215" t="s">
        <v>10473</v>
      </c>
      <c r="H1830" s="215" t="s">
        <v>6500</v>
      </c>
      <c r="I1830" s="300"/>
      <c r="J1830" s="300"/>
      <c r="K1830" s="300"/>
      <c r="L1830" s="300"/>
      <c r="M1830" s="300"/>
      <c r="N1830" s="300"/>
      <c r="O1830" s="300"/>
      <c r="P1830" s="300"/>
      <c r="Q1830" s="300"/>
      <c r="R1830" s="300"/>
      <c r="S1830" s="300"/>
      <c r="T1830" s="300"/>
      <c r="U1830" s="300"/>
      <c r="V1830" s="300"/>
      <c r="W1830" s="300"/>
      <c r="X1830" s="300"/>
      <c r="Y1830" s="300"/>
      <c r="Z1830" s="300"/>
    </row>
    <row r="1831" spans="1:26">
      <c r="A1831" s="215" t="s">
        <v>3323</v>
      </c>
      <c r="B1831" s="207">
        <v>1125</v>
      </c>
      <c r="C1831" s="215" t="s">
        <v>5452</v>
      </c>
      <c r="D1831" s="215" t="s">
        <v>10552</v>
      </c>
      <c r="E1831" s="215" t="s">
        <v>10552</v>
      </c>
      <c r="F1831" s="215" t="s">
        <v>10472</v>
      </c>
      <c r="G1831" s="215" t="s">
        <v>10473</v>
      </c>
      <c r="H1831" s="215" t="s">
        <v>6500</v>
      </c>
      <c r="I1831" s="300"/>
      <c r="J1831" s="300"/>
      <c r="K1831" s="300"/>
      <c r="L1831" s="300"/>
      <c r="M1831" s="300"/>
      <c r="N1831" s="300"/>
      <c r="O1831" s="300"/>
      <c r="P1831" s="300"/>
      <c r="Q1831" s="300"/>
      <c r="R1831" s="300"/>
      <c r="S1831" s="300"/>
      <c r="T1831" s="300"/>
      <c r="U1831" s="300"/>
      <c r="V1831" s="300"/>
      <c r="W1831" s="300"/>
      <c r="X1831" s="300"/>
      <c r="Y1831" s="300"/>
      <c r="Z1831" s="300"/>
    </row>
    <row r="1832" spans="1:26">
      <c r="A1832" s="215" t="s">
        <v>4179</v>
      </c>
      <c r="B1832" s="207">
        <v>1126</v>
      </c>
      <c r="C1832" s="215" t="s">
        <v>10553</v>
      </c>
      <c r="D1832" s="215" t="s">
        <v>10554</v>
      </c>
      <c r="E1832" s="215" t="s">
        <v>10555</v>
      </c>
      <c r="F1832" s="215" t="s">
        <v>10472</v>
      </c>
      <c r="G1832" s="215" t="s">
        <v>10473</v>
      </c>
      <c r="H1832" s="215" t="s">
        <v>6500</v>
      </c>
      <c r="I1832" s="300"/>
      <c r="J1832" s="300"/>
      <c r="K1832" s="300"/>
      <c r="L1832" s="300"/>
      <c r="M1832" s="300"/>
      <c r="N1832" s="300"/>
      <c r="O1832" s="300"/>
      <c r="P1832" s="300"/>
      <c r="Q1832" s="300"/>
      <c r="R1832" s="300"/>
      <c r="S1832" s="300"/>
      <c r="T1832" s="300"/>
      <c r="U1832" s="300"/>
      <c r="V1832" s="300"/>
      <c r="W1832" s="300"/>
      <c r="X1832" s="300"/>
      <c r="Y1832" s="300"/>
      <c r="Z1832" s="300"/>
    </row>
    <row r="1833" spans="1:26">
      <c r="A1833" s="215" t="s">
        <v>3841</v>
      </c>
      <c r="B1833" s="207">
        <v>1145</v>
      </c>
      <c r="C1833" s="215" t="s">
        <v>10556</v>
      </c>
      <c r="D1833" s="215" t="s">
        <v>10557</v>
      </c>
      <c r="E1833" s="215" t="s">
        <v>10558</v>
      </c>
      <c r="F1833" s="215" t="s">
        <v>10472</v>
      </c>
      <c r="G1833" s="215" t="s">
        <v>10473</v>
      </c>
      <c r="H1833" s="215" t="s">
        <v>6500</v>
      </c>
      <c r="I1833" s="300"/>
      <c r="J1833" s="300"/>
      <c r="K1833" s="300"/>
      <c r="L1833" s="300"/>
      <c r="M1833" s="300"/>
      <c r="N1833" s="300"/>
      <c r="O1833" s="300"/>
      <c r="P1833" s="300"/>
      <c r="Q1833" s="300"/>
      <c r="R1833" s="300"/>
      <c r="S1833" s="300"/>
      <c r="T1833" s="300"/>
      <c r="U1833" s="300"/>
      <c r="V1833" s="300"/>
      <c r="W1833" s="300"/>
      <c r="X1833" s="300"/>
      <c r="Y1833" s="300"/>
      <c r="Z1833" s="300"/>
    </row>
    <row r="1834" spans="1:26">
      <c r="A1834" s="215"/>
      <c r="B1834" s="207">
        <v>1148</v>
      </c>
      <c r="C1834" s="215" t="s">
        <v>10559</v>
      </c>
      <c r="D1834" s="215" t="s">
        <v>10560</v>
      </c>
      <c r="E1834" s="215" t="s">
        <v>10561</v>
      </c>
      <c r="F1834" s="215" t="s">
        <v>10472</v>
      </c>
      <c r="G1834" s="215" t="s">
        <v>10473</v>
      </c>
      <c r="H1834" s="215" t="s">
        <v>6500</v>
      </c>
      <c r="I1834" s="300"/>
      <c r="J1834" s="300"/>
      <c r="K1834" s="300"/>
      <c r="L1834" s="300"/>
      <c r="M1834" s="300"/>
      <c r="N1834" s="300"/>
      <c r="O1834" s="300"/>
      <c r="P1834" s="300"/>
      <c r="Q1834" s="300"/>
      <c r="R1834" s="300"/>
      <c r="S1834" s="300"/>
      <c r="T1834" s="300"/>
      <c r="U1834" s="300"/>
      <c r="V1834" s="300"/>
      <c r="W1834" s="300"/>
      <c r="X1834" s="300"/>
      <c r="Y1834" s="300"/>
      <c r="Z1834" s="300"/>
    </row>
    <row r="1835" spans="1:26">
      <c r="A1835" s="215"/>
      <c r="B1835" s="207">
        <v>1149</v>
      </c>
      <c r="C1835" s="215" t="s">
        <v>10562</v>
      </c>
      <c r="D1835" s="215" t="s">
        <v>10563</v>
      </c>
      <c r="E1835" s="215" t="s">
        <v>10564</v>
      </c>
      <c r="F1835" s="215" t="s">
        <v>10472</v>
      </c>
      <c r="G1835" s="215" t="s">
        <v>10473</v>
      </c>
      <c r="H1835" s="215" t="s">
        <v>6500</v>
      </c>
      <c r="I1835" s="300"/>
      <c r="J1835" s="300"/>
      <c r="K1835" s="300"/>
      <c r="L1835" s="300"/>
      <c r="M1835" s="300"/>
      <c r="N1835" s="300"/>
      <c r="O1835" s="300"/>
      <c r="P1835" s="300"/>
      <c r="Q1835" s="300"/>
      <c r="R1835" s="300"/>
      <c r="S1835" s="300"/>
      <c r="T1835" s="300"/>
      <c r="U1835" s="300"/>
      <c r="V1835" s="300"/>
      <c r="W1835" s="300"/>
      <c r="X1835" s="300"/>
      <c r="Y1835" s="300"/>
      <c r="Z1835" s="300"/>
    </row>
    <row r="1836" spans="1:26">
      <c r="A1836" s="215"/>
      <c r="B1836" s="207">
        <v>1153</v>
      </c>
      <c r="C1836" s="215" t="s">
        <v>10565</v>
      </c>
      <c r="D1836" s="215" t="s">
        <v>10566</v>
      </c>
      <c r="E1836" s="215" t="s">
        <v>10567</v>
      </c>
      <c r="F1836" s="215" t="s">
        <v>10472</v>
      </c>
      <c r="G1836" s="215" t="s">
        <v>10473</v>
      </c>
      <c r="H1836" s="215" t="s">
        <v>6500</v>
      </c>
      <c r="I1836" s="300"/>
      <c r="J1836" s="300"/>
      <c r="K1836" s="300"/>
      <c r="L1836" s="300"/>
      <c r="M1836" s="300"/>
      <c r="N1836" s="300"/>
      <c r="O1836" s="300"/>
      <c r="P1836" s="300"/>
      <c r="Q1836" s="300"/>
      <c r="R1836" s="300"/>
      <c r="S1836" s="300"/>
      <c r="T1836" s="300"/>
      <c r="U1836" s="300"/>
      <c r="V1836" s="300"/>
      <c r="W1836" s="300"/>
      <c r="X1836" s="300"/>
      <c r="Y1836" s="300"/>
      <c r="Z1836" s="300"/>
    </row>
    <row r="1837" spans="1:26">
      <c r="A1837" s="215"/>
      <c r="B1837" s="207">
        <v>1156</v>
      </c>
      <c r="C1837" s="215" t="s">
        <v>10568</v>
      </c>
      <c r="D1837" s="215" t="s">
        <v>10569</v>
      </c>
      <c r="E1837" s="215" t="s">
        <v>10570</v>
      </c>
      <c r="F1837" s="215" t="s">
        <v>10472</v>
      </c>
      <c r="G1837" s="215" t="s">
        <v>10473</v>
      </c>
      <c r="H1837" s="215" t="s">
        <v>6500</v>
      </c>
      <c r="I1837" s="300"/>
      <c r="J1837" s="300"/>
      <c r="K1837" s="300"/>
      <c r="L1837" s="300"/>
      <c r="M1837" s="300"/>
      <c r="N1837" s="300"/>
      <c r="O1837" s="300"/>
      <c r="P1837" s="300"/>
      <c r="Q1837" s="300"/>
      <c r="R1837" s="300"/>
      <c r="S1837" s="300"/>
      <c r="T1837" s="300"/>
      <c r="U1837" s="300"/>
      <c r="V1837" s="300"/>
      <c r="W1837" s="300"/>
      <c r="X1837" s="300"/>
      <c r="Y1837" s="300"/>
      <c r="Z1837" s="300"/>
    </row>
    <row r="1838" spans="1:26">
      <c r="A1838" s="215" t="s">
        <v>3461</v>
      </c>
      <c r="B1838" s="207">
        <v>1158</v>
      </c>
      <c r="C1838" s="215" t="s">
        <v>10571</v>
      </c>
      <c r="D1838" s="215" t="s">
        <v>10572</v>
      </c>
      <c r="E1838" s="215" t="s">
        <v>10573</v>
      </c>
      <c r="F1838" s="215" t="s">
        <v>10472</v>
      </c>
      <c r="G1838" s="215" t="s">
        <v>10473</v>
      </c>
      <c r="H1838" s="215" t="s">
        <v>6500</v>
      </c>
      <c r="I1838" s="300"/>
      <c r="J1838" s="300"/>
      <c r="K1838" s="300"/>
      <c r="L1838" s="300"/>
      <c r="M1838" s="300"/>
      <c r="N1838" s="300"/>
      <c r="O1838" s="300"/>
      <c r="P1838" s="300"/>
      <c r="Q1838" s="300"/>
      <c r="R1838" s="300"/>
      <c r="S1838" s="300"/>
      <c r="T1838" s="300"/>
      <c r="U1838" s="300"/>
      <c r="V1838" s="300"/>
      <c r="W1838" s="300"/>
      <c r="X1838" s="300"/>
      <c r="Y1838" s="300"/>
      <c r="Z1838" s="300"/>
    </row>
    <row r="1839" spans="1:26">
      <c r="A1839" s="215" t="s">
        <v>4328</v>
      </c>
      <c r="B1839" s="207">
        <v>1160</v>
      </c>
      <c r="C1839" s="215" t="s">
        <v>6281</v>
      </c>
      <c r="D1839" s="215" t="s">
        <v>10574</v>
      </c>
      <c r="E1839" s="215" t="s">
        <v>10574</v>
      </c>
      <c r="F1839" s="215" t="s">
        <v>10472</v>
      </c>
      <c r="G1839" s="215" t="s">
        <v>10473</v>
      </c>
      <c r="H1839" s="215" t="s">
        <v>6500</v>
      </c>
      <c r="I1839" s="300"/>
      <c r="J1839" s="300"/>
      <c r="K1839" s="300"/>
      <c r="L1839" s="300"/>
      <c r="M1839" s="300"/>
      <c r="N1839" s="300"/>
      <c r="O1839" s="300"/>
      <c r="P1839" s="300"/>
      <c r="Q1839" s="300"/>
      <c r="R1839" s="300"/>
      <c r="S1839" s="300"/>
      <c r="T1839" s="300"/>
      <c r="U1839" s="300"/>
      <c r="V1839" s="300"/>
      <c r="W1839" s="300"/>
      <c r="X1839" s="300"/>
      <c r="Y1839" s="300"/>
      <c r="Z1839" s="300"/>
    </row>
    <row r="1840" spans="1:26">
      <c r="A1840" s="215" t="s">
        <v>4102</v>
      </c>
      <c r="B1840" s="207">
        <v>1163</v>
      </c>
      <c r="C1840" s="215" t="s">
        <v>6108</v>
      </c>
      <c r="D1840" s="215" t="s">
        <v>10575</v>
      </c>
      <c r="E1840" s="215" t="s">
        <v>10575</v>
      </c>
      <c r="F1840" s="215" t="s">
        <v>10472</v>
      </c>
      <c r="G1840" s="215" t="s">
        <v>10473</v>
      </c>
      <c r="H1840" s="215" t="s">
        <v>6521</v>
      </c>
      <c r="I1840" s="300"/>
      <c r="J1840" s="300"/>
      <c r="K1840" s="300"/>
      <c r="L1840" s="300"/>
      <c r="M1840" s="300"/>
      <c r="N1840" s="300"/>
      <c r="O1840" s="300"/>
      <c r="P1840" s="300"/>
      <c r="Q1840" s="300"/>
      <c r="R1840" s="300"/>
      <c r="S1840" s="300"/>
      <c r="T1840" s="300"/>
      <c r="U1840" s="300"/>
      <c r="V1840" s="300"/>
      <c r="W1840" s="300"/>
      <c r="X1840" s="300"/>
      <c r="Y1840" s="300"/>
      <c r="Z1840" s="300"/>
    </row>
    <row r="1841" spans="1:26">
      <c r="A1841" s="215" t="s">
        <v>3448</v>
      </c>
      <c r="B1841" s="207">
        <v>1166</v>
      </c>
      <c r="C1841" s="215" t="s">
        <v>10576</v>
      </c>
      <c r="D1841" s="215" t="s">
        <v>10577</v>
      </c>
      <c r="E1841" s="215" t="s">
        <v>10578</v>
      </c>
      <c r="F1841" s="215" t="s">
        <v>10472</v>
      </c>
      <c r="G1841" s="215" t="s">
        <v>10473</v>
      </c>
      <c r="H1841" s="215" t="s">
        <v>6504</v>
      </c>
      <c r="I1841" s="300"/>
      <c r="J1841" s="300"/>
      <c r="K1841" s="300"/>
      <c r="L1841" s="300"/>
      <c r="M1841" s="300"/>
      <c r="N1841" s="300"/>
      <c r="O1841" s="300"/>
      <c r="P1841" s="300"/>
      <c r="Q1841" s="300"/>
      <c r="R1841" s="300"/>
      <c r="S1841" s="300"/>
      <c r="T1841" s="300"/>
      <c r="U1841" s="300"/>
      <c r="V1841" s="300"/>
      <c r="W1841" s="300"/>
      <c r="X1841" s="300"/>
      <c r="Y1841" s="300"/>
      <c r="Z1841" s="300"/>
    </row>
    <row r="1842" spans="1:26">
      <c r="A1842" s="215" t="s">
        <v>2819</v>
      </c>
      <c r="B1842" s="207">
        <v>1169</v>
      </c>
      <c r="C1842" s="215" t="s">
        <v>5724</v>
      </c>
      <c r="D1842" s="215" t="s">
        <v>10579</v>
      </c>
      <c r="E1842" s="215" t="s">
        <v>10580</v>
      </c>
      <c r="F1842" s="215" t="s">
        <v>10472</v>
      </c>
      <c r="G1842" s="215" t="s">
        <v>10473</v>
      </c>
      <c r="H1842" s="215" t="s">
        <v>6504</v>
      </c>
      <c r="I1842" s="300"/>
      <c r="J1842" s="300"/>
      <c r="K1842" s="300"/>
      <c r="L1842" s="300"/>
      <c r="M1842" s="300"/>
      <c r="N1842" s="300"/>
      <c r="O1842" s="300"/>
      <c r="P1842" s="300"/>
      <c r="Q1842" s="300"/>
      <c r="R1842" s="300"/>
      <c r="S1842" s="300"/>
      <c r="T1842" s="300"/>
      <c r="U1842" s="300"/>
      <c r="V1842" s="300"/>
      <c r="W1842" s="300"/>
      <c r="X1842" s="300"/>
      <c r="Y1842" s="300"/>
      <c r="Z1842" s="300"/>
    </row>
    <row r="1843" spans="1:26">
      <c r="A1843" s="215" t="s">
        <v>4015</v>
      </c>
      <c r="B1843" s="207">
        <v>1172</v>
      </c>
      <c r="C1843" s="215" t="s">
        <v>5447</v>
      </c>
      <c r="D1843" s="215" t="s">
        <v>10581</v>
      </c>
      <c r="E1843" s="215" t="s">
        <v>10581</v>
      </c>
      <c r="F1843" s="215" t="s">
        <v>10472</v>
      </c>
      <c r="G1843" s="215" t="s">
        <v>10473</v>
      </c>
      <c r="H1843" s="215" t="s">
        <v>6504</v>
      </c>
      <c r="I1843" s="300"/>
      <c r="J1843" s="300"/>
      <c r="K1843" s="300"/>
      <c r="L1843" s="300"/>
      <c r="M1843" s="300"/>
      <c r="N1843" s="300"/>
      <c r="O1843" s="300"/>
      <c r="P1843" s="300"/>
      <c r="Q1843" s="300"/>
      <c r="R1843" s="300"/>
      <c r="S1843" s="300"/>
      <c r="T1843" s="300"/>
      <c r="U1843" s="300"/>
      <c r="V1843" s="300"/>
      <c r="W1843" s="300"/>
      <c r="X1843" s="300"/>
      <c r="Y1843" s="300"/>
      <c r="Z1843" s="300"/>
    </row>
    <row r="1844" spans="1:26">
      <c r="A1844" s="215" t="s">
        <v>4003</v>
      </c>
      <c r="B1844" s="207">
        <v>1175</v>
      </c>
      <c r="C1844" s="215" t="s">
        <v>6030</v>
      </c>
      <c r="D1844" s="215" t="s">
        <v>10582</v>
      </c>
      <c r="E1844" s="215" t="s">
        <v>10582</v>
      </c>
      <c r="F1844" s="215" t="s">
        <v>10472</v>
      </c>
      <c r="G1844" s="215" t="s">
        <v>10473</v>
      </c>
      <c r="H1844" s="215" t="s">
        <v>6504</v>
      </c>
      <c r="I1844" s="300"/>
      <c r="J1844" s="300"/>
      <c r="K1844" s="300"/>
      <c r="L1844" s="300"/>
      <c r="M1844" s="300"/>
      <c r="N1844" s="300"/>
      <c r="O1844" s="300"/>
      <c r="P1844" s="300"/>
      <c r="Q1844" s="300"/>
      <c r="R1844" s="300"/>
      <c r="S1844" s="300"/>
      <c r="T1844" s="300"/>
      <c r="U1844" s="300"/>
      <c r="V1844" s="300"/>
      <c r="W1844" s="300"/>
      <c r="X1844" s="300"/>
      <c r="Y1844" s="300"/>
      <c r="Z1844" s="300"/>
    </row>
    <row r="1845" spans="1:26">
      <c r="A1845" s="215" t="s">
        <v>10583</v>
      </c>
      <c r="B1845" s="207">
        <v>1259</v>
      </c>
      <c r="C1845" s="215" t="s">
        <v>5498</v>
      </c>
      <c r="D1845" s="215" t="s">
        <v>10584</v>
      </c>
      <c r="E1845" s="215" t="s">
        <v>10584</v>
      </c>
      <c r="F1845" s="215" t="s">
        <v>10472</v>
      </c>
      <c r="G1845" s="215" t="s">
        <v>10473</v>
      </c>
      <c r="H1845" s="215" t="s">
        <v>6497</v>
      </c>
      <c r="I1845" s="300"/>
      <c r="J1845" s="300"/>
      <c r="K1845" s="300"/>
      <c r="L1845" s="300"/>
      <c r="M1845" s="300"/>
      <c r="N1845" s="300"/>
      <c r="O1845" s="300"/>
      <c r="P1845" s="300"/>
      <c r="Q1845" s="300"/>
      <c r="R1845" s="300"/>
      <c r="S1845" s="300"/>
      <c r="T1845" s="300"/>
      <c r="U1845" s="300"/>
      <c r="V1845" s="300"/>
      <c r="W1845" s="300"/>
      <c r="X1845" s="300"/>
      <c r="Y1845" s="300"/>
      <c r="Z1845" s="300"/>
    </row>
    <row r="1846" spans="1:26">
      <c r="A1846" s="215" t="s">
        <v>3456</v>
      </c>
      <c r="B1846" s="207">
        <v>1446</v>
      </c>
      <c r="C1846" s="215" t="s">
        <v>10585</v>
      </c>
      <c r="D1846" s="215" t="s">
        <v>10586</v>
      </c>
      <c r="E1846" s="215" t="s">
        <v>10587</v>
      </c>
      <c r="F1846" s="215" t="s">
        <v>10472</v>
      </c>
      <c r="G1846" s="215" t="s">
        <v>10473</v>
      </c>
      <c r="H1846" s="215" t="s">
        <v>6521</v>
      </c>
      <c r="I1846" s="300"/>
      <c r="J1846" s="300"/>
      <c r="K1846" s="300"/>
      <c r="L1846" s="300"/>
      <c r="M1846" s="300"/>
      <c r="N1846" s="300"/>
      <c r="O1846" s="300"/>
      <c r="P1846" s="300"/>
      <c r="Q1846" s="300"/>
      <c r="R1846" s="300"/>
      <c r="S1846" s="300"/>
      <c r="T1846" s="300"/>
      <c r="U1846" s="300"/>
      <c r="V1846" s="300"/>
      <c r="W1846" s="300"/>
      <c r="X1846" s="300"/>
      <c r="Y1846" s="300"/>
      <c r="Z1846" s="300"/>
    </row>
    <row r="1847" spans="1:26">
      <c r="A1847" s="215" t="s">
        <v>4043</v>
      </c>
      <c r="B1847" s="207">
        <v>1447</v>
      </c>
      <c r="C1847" s="215" t="s">
        <v>10588</v>
      </c>
      <c r="D1847" s="215" t="s">
        <v>10589</v>
      </c>
      <c r="E1847" s="215" t="s">
        <v>10590</v>
      </c>
      <c r="F1847" s="215" t="s">
        <v>10472</v>
      </c>
      <c r="G1847" s="215" t="s">
        <v>10473</v>
      </c>
      <c r="H1847" s="215" t="s">
        <v>6521</v>
      </c>
      <c r="I1847" s="300"/>
      <c r="J1847" s="300"/>
      <c r="K1847" s="300"/>
      <c r="L1847" s="300"/>
      <c r="M1847" s="300"/>
      <c r="N1847" s="300"/>
      <c r="O1847" s="300"/>
      <c r="P1847" s="300"/>
      <c r="Q1847" s="300"/>
      <c r="R1847" s="300"/>
      <c r="S1847" s="300"/>
      <c r="T1847" s="300"/>
      <c r="U1847" s="300"/>
      <c r="V1847" s="300"/>
      <c r="W1847" s="300"/>
      <c r="X1847" s="300"/>
      <c r="Y1847" s="300"/>
      <c r="Z1847" s="300"/>
    </row>
    <row r="1848" spans="1:26">
      <c r="A1848" s="215" t="s">
        <v>3730</v>
      </c>
      <c r="B1848" s="207">
        <v>2624</v>
      </c>
      <c r="C1848" s="215" t="s">
        <v>5810</v>
      </c>
      <c r="D1848" s="215" t="s">
        <v>10591</v>
      </c>
      <c r="E1848" s="215" t="s">
        <v>10592</v>
      </c>
      <c r="F1848" s="215" t="s">
        <v>5809</v>
      </c>
      <c r="G1848" s="215" t="s">
        <v>10593</v>
      </c>
      <c r="H1848" s="215" t="s">
        <v>6504</v>
      </c>
      <c r="I1848" s="300"/>
      <c r="J1848" s="300"/>
      <c r="K1848" s="300"/>
      <c r="L1848" s="300"/>
      <c r="M1848" s="300"/>
      <c r="N1848" s="300"/>
      <c r="O1848" s="300"/>
      <c r="P1848" s="300"/>
      <c r="Q1848" s="300"/>
      <c r="R1848" s="300"/>
      <c r="S1848" s="300"/>
      <c r="T1848" s="300"/>
      <c r="U1848" s="300"/>
      <c r="V1848" s="300"/>
      <c r="W1848" s="300"/>
      <c r="X1848" s="300"/>
      <c r="Y1848" s="300"/>
      <c r="Z1848" s="300"/>
    </row>
    <row r="1849" spans="1:26">
      <c r="A1849" s="215" t="s">
        <v>3679</v>
      </c>
      <c r="B1849" s="207">
        <v>702</v>
      </c>
      <c r="C1849" s="215" t="s">
        <v>5767</v>
      </c>
      <c r="D1849" s="215" t="s">
        <v>10594</v>
      </c>
      <c r="E1849" s="215" t="s">
        <v>10595</v>
      </c>
      <c r="F1849" s="215" t="s">
        <v>10596</v>
      </c>
      <c r="G1849" s="215" t="s">
        <v>10597</v>
      </c>
      <c r="H1849" s="215" t="s">
        <v>6521</v>
      </c>
      <c r="I1849" s="300"/>
      <c r="J1849" s="300"/>
      <c r="K1849" s="300"/>
      <c r="L1849" s="300"/>
      <c r="M1849" s="300"/>
      <c r="N1849" s="300"/>
      <c r="O1849" s="300"/>
      <c r="P1849" s="300"/>
      <c r="Q1849" s="300"/>
      <c r="R1849" s="300"/>
      <c r="S1849" s="300"/>
      <c r="T1849" s="300"/>
      <c r="U1849" s="300"/>
      <c r="V1849" s="300"/>
      <c r="W1849" s="300"/>
      <c r="X1849" s="300"/>
      <c r="Y1849" s="300"/>
      <c r="Z1849" s="300"/>
    </row>
    <row r="1850" spans="1:26">
      <c r="A1850" s="215" t="s">
        <v>3241</v>
      </c>
      <c r="B1850" s="207">
        <v>1950</v>
      </c>
      <c r="C1850" s="215" t="s">
        <v>5372</v>
      </c>
      <c r="D1850" s="215" t="s">
        <v>10598</v>
      </c>
      <c r="E1850" s="215" t="s">
        <v>10598</v>
      </c>
      <c r="F1850" s="215" t="s">
        <v>10599</v>
      </c>
      <c r="G1850" s="215" t="s">
        <v>10600</v>
      </c>
      <c r="H1850" s="215" t="s">
        <v>6500</v>
      </c>
      <c r="I1850" s="300"/>
      <c r="J1850" s="300"/>
      <c r="K1850" s="300"/>
      <c r="L1850" s="300"/>
      <c r="M1850" s="300"/>
      <c r="N1850" s="300"/>
      <c r="O1850" s="300"/>
      <c r="P1850" s="300"/>
      <c r="Q1850" s="300"/>
      <c r="R1850" s="300"/>
      <c r="S1850" s="300"/>
      <c r="T1850" s="300"/>
      <c r="U1850" s="300"/>
      <c r="V1850" s="300"/>
      <c r="W1850" s="300"/>
      <c r="X1850" s="300"/>
      <c r="Y1850" s="300"/>
      <c r="Z1850" s="300"/>
    </row>
    <row r="1851" spans="1:26">
      <c r="A1851" s="215" t="s">
        <v>4079</v>
      </c>
      <c r="B1851" s="207">
        <v>1962</v>
      </c>
      <c r="C1851" s="215" t="s">
        <v>6098</v>
      </c>
      <c r="D1851" s="215" t="s">
        <v>10601</v>
      </c>
      <c r="E1851" s="215" t="s">
        <v>10602</v>
      </c>
      <c r="F1851" s="215" t="s">
        <v>10599</v>
      </c>
      <c r="G1851" s="215" t="s">
        <v>10600</v>
      </c>
      <c r="H1851" s="215" t="s">
        <v>6504</v>
      </c>
      <c r="I1851" s="300"/>
      <c r="J1851" s="300"/>
      <c r="K1851" s="300"/>
      <c r="L1851" s="300"/>
      <c r="M1851" s="300"/>
      <c r="N1851" s="300"/>
      <c r="O1851" s="300"/>
      <c r="P1851" s="300"/>
      <c r="Q1851" s="300"/>
      <c r="R1851" s="300"/>
      <c r="S1851" s="300"/>
      <c r="T1851" s="300"/>
      <c r="U1851" s="300"/>
      <c r="V1851" s="300"/>
      <c r="W1851" s="300"/>
      <c r="X1851" s="300"/>
      <c r="Y1851" s="300"/>
      <c r="Z1851" s="300"/>
    </row>
    <row r="1852" spans="1:26">
      <c r="A1852" s="215" t="s">
        <v>3570</v>
      </c>
      <c r="B1852" s="207">
        <v>2068</v>
      </c>
      <c r="C1852" s="215" t="s">
        <v>2597</v>
      </c>
      <c r="D1852" s="215" t="s">
        <v>10603</v>
      </c>
      <c r="E1852" s="215" t="s">
        <v>10604</v>
      </c>
      <c r="F1852" s="215" t="s">
        <v>10599</v>
      </c>
      <c r="G1852" s="215" t="s">
        <v>10600</v>
      </c>
      <c r="H1852" s="215" t="s">
        <v>6504</v>
      </c>
      <c r="I1852" s="300"/>
      <c r="J1852" s="300"/>
      <c r="K1852" s="300"/>
      <c r="L1852" s="300"/>
      <c r="M1852" s="300"/>
      <c r="N1852" s="300"/>
      <c r="O1852" s="300"/>
      <c r="P1852" s="300"/>
      <c r="Q1852" s="300"/>
      <c r="R1852" s="300"/>
      <c r="S1852" s="300"/>
      <c r="T1852" s="300"/>
      <c r="U1852" s="300"/>
      <c r="V1852" s="300"/>
      <c r="W1852" s="300"/>
      <c r="X1852" s="300"/>
      <c r="Y1852" s="300"/>
      <c r="Z1852" s="300"/>
    </row>
    <row r="1853" spans="1:26">
      <c r="A1853" s="215" t="s">
        <v>2797</v>
      </c>
      <c r="B1853" s="207">
        <v>2088</v>
      </c>
      <c r="C1853" s="215" t="s">
        <v>4960</v>
      </c>
      <c r="D1853" s="215" t="s">
        <v>10605</v>
      </c>
      <c r="E1853" s="215" t="s">
        <v>10606</v>
      </c>
      <c r="F1853" s="215" t="s">
        <v>10599</v>
      </c>
      <c r="G1853" s="215" t="s">
        <v>10600</v>
      </c>
      <c r="H1853" s="215" t="s">
        <v>6497</v>
      </c>
      <c r="I1853" s="300"/>
      <c r="J1853" s="300"/>
      <c r="K1853" s="300"/>
      <c r="L1853" s="300"/>
      <c r="M1853" s="300"/>
      <c r="N1853" s="300"/>
      <c r="O1853" s="300"/>
      <c r="P1853" s="300"/>
      <c r="Q1853" s="300"/>
      <c r="R1853" s="300"/>
      <c r="S1853" s="300"/>
      <c r="T1853" s="300"/>
      <c r="U1853" s="300"/>
      <c r="V1853" s="300"/>
      <c r="W1853" s="300"/>
      <c r="X1853" s="300"/>
      <c r="Y1853" s="300"/>
      <c r="Z1853" s="300"/>
    </row>
    <row r="1854" spans="1:26">
      <c r="A1854" s="215"/>
      <c r="B1854" s="207">
        <v>2177</v>
      </c>
      <c r="C1854" s="215" t="s">
        <v>10607</v>
      </c>
      <c r="D1854" s="215" t="s">
        <v>10608</v>
      </c>
      <c r="E1854" s="215" t="s">
        <v>10608</v>
      </c>
      <c r="F1854" s="215" t="s">
        <v>10599</v>
      </c>
      <c r="G1854" s="215" t="s">
        <v>10600</v>
      </c>
      <c r="H1854" s="215" t="s">
        <v>6497</v>
      </c>
      <c r="I1854" s="300"/>
      <c r="J1854" s="300"/>
      <c r="K1854" s="300"/>
      <c r="L1854" s="300"/>
      <c r="M1854" s="300"/>
      <c r="N1854" s="300"/>
      <c r="O1854" s="300"/>
      <c r="P1854" s="300"/>
      <c r="Q1854" s="300"/>
      <c r="R1854" s="300"/>
      <c r="S1854" s="300"/>
      <c r="T1854" s="300"/>
      <c r="U1854" s="300"/>
      <c r="V1854" s="300"/>
      <c r="W1854" s="300"/>
      <c r="X1854" s="300"/>
      <c r="Y1854" s="300"/>
      <c r="Z1854" s="300"/>
    </row>
    <row r="1855" spans="1:26">
      <c r="A1855" s="215" t="s">
        <v>4579</v>
      </c>
      <c r="B1855" s="207">
        <v>2178</v>
      </c>
      <c r="C1855" s="215" t="s">
        <v>6480</v>
      </c>
      <c r="D1855" s="215" t="s">
        <v>10609</v>
      </c>
      <c r="E1855" s="215" t="s">
        <v>10609</v>
      </c>
      <c r="F1855" s="215" t="s">
        <v>10599</v>
      </c>
      <c r="G1855" s="215" t="s">
        <v>10600</v>
      </c>
      <c r="H1855" s="215" t="s">
        <v>6504</v>
      </c>
      <c r="I1855" s="300"/>
      <c r="J1855" s="300"/>
      <c r="K1855" s="300"/>
      <c r="L1855" s="300"/>
      <c r="M1855" s="300"/>
      <c r="N1855" s="300"/>
      <c r="O1855" s="300"/>
      <c r="P1855" s="300"/>
      <c r="Q1855" s="300"/>
      <c r="R1855" s="300"/>
      <c r="S1855" s="300"/>
      <c r="T1855" s="300"/>
      <c r="U1855" s="300"/>
      <c r="V1855" s="300"/>
      <c r="W1855" s="300"/>
      <c r="X1855" s="300"/>
      <c r="Y1855" s="300"/>
      <c r="Z1855" s="300"/>
    </row>
    <row r="1856" spans="1:26">
      <c r="A1856" s="215" t="s">
        <v>3141</v>
      </c>
      <c r="B1856" s="207">
        <v>1620</v>
      </c>
      <c r="C1856" s="215" t="s">
        <v>5278</v>
      </c>
      <c r="D1856" s="215" t="s">
        <v>10610</v>
      </c>
      <c r="E1856" s="215" t="s">
        <v>10611</v>
      </c>
      <c r="F1856" s="215" t="s">
        <v>10612</v>
      </c>
      <c r="G1856" s="215" t="s">
        <v>10613</v>
      </c>
      <c r="H1856" s="215" t="s">
        <v>6500</v>
      </c>
      <c r="I1856" s="300"/>
      <c r="J1856" s="300"/>
      <c r="K1856" s="300"/>
      <c r="L1856" s="300"/>
      <c r="M1856" s="300"/>
      <c r="N1856" s="300"/>
      <c r="O1856" s="300"/>
      <c r="P1856" s="300"/>
      <c r="Q1856" s="300"/>
      <c r="R1856" s="300"/>
      <c r="S1856" s="300"/>
      <c r="T1856" s="300"/>
      <c r="U1856" s="300"/>
      <c r="V1856" s="300"/>
      <c r="W1856" s="300"/>
      <c r="X1856" s="300"/>
      <c r="Y1856" s="300"/>
      <c r="Z1856" s="300"/>
    </row>
    <row r="1857" spans="1:26">
      <c r="A1857" s="215" t="s">
        <v>3231</v>
      </c>
      <c r="B1857" s="207">
        <v>1821</v>
      </c>
      <c r="C1857" s="215" t="s">
        <v>10614</v>
      </c>
      <c r="D1857" s="215" t="s">
        <v>10615</v>
      </c>
      <c r="E1857" s="215" t="s">
        <v>10616</v>
      </c>
      <c r="F1857" s="215" t="s">
        <v>10612</v>
      </c>
      <c r="G1857" s="215" t="s">
        <v>10613</v>
      </c>
      <c r="H1857" s="215" t="s">
        <v>6504</v>
      </c>
      <c r="I1857" s="300"/>
      <c r="J1857" s="300"/>
      <c r="K1857" s="300"/>
      <c r="L1857" s="300"/>
      <c r="M1857" s="300"/>
      <c r="N1857" s="300"/>
      <c r="O1857" s="300"/>
      <c r="P1857" s="300"/>
      <c r="Q1857" s="300"/>
      <c r="R1857" s="300"/>
      <c r="S1857" s="300"/>
      <c r="T1857" s="300"/>
      <c r="U1857" s="300"/>
      <c r="V1857" s="300"/>
      <c r="W1857" s="300"/>
      <c r="X1857" s="300"/>
      <c r="Y1857" s="300"/>
      <c r="Z1857" s="300"/>
    </row>
    <row r="1858" spans="1:26">
      <c r="A1858" s="215" t="s">
        <v>3054</v>
      </c>
      <c r="B1858" s="207">
        <v>43</v>
      </c>
      <c r="C1858" s="215" t="s">
        <v>5189</v>
      </c>
      <c r="D1858" s="215" t="s">
        <v>10617</v>
      </c>
      <c r="E1858" s="215" t="s">
        <v>10618</v>
      </c>
      <c r="F1858" s="215" t="s">
        <v>10619</v>
      </c>
      <c r="G1858" s="215" t="s">
        <v>10620</v>
      </c>
      <c r="H1858" s="215" t="s">
        <v>6504</v>
      </c>
      <c r="I1858" s="300"/>
      <c r="J1858" s="300"/>
      <c r="K1858" s="300"/>
      <c r="L1858" s="300"/>
      <c r="M1858" s="300"/>
      <c r="N1858" s="300"/>
      <c r="O1858" s="300"/>
      <c r="P1858" s="300"/>
      <c r="Q1858" s="300"/>
      <c r="R1858" s="300"/>
      <c r="S1858" s="300"/>
      <c r="T1858" s="300"/>
      <c r="U1858" s="300"/>
      <c r="V1858" s="300"/>
      <c r="W1858" s="300"/>
      <c r="X1858" s="300"/>
      <c r="Y1858" s="300"/>
      <c r="Z1858" s="300"/>
    </row>
    <row r="1859" spans="1:26">
      <c r="A1859" s="215" t="s">
        <v>2862</v>
      </c>
      <c r="B1859" s="207">
        <v>1599</v>
      </c>
      <c r="C1859" s="215" t="s">
        <v>5030</v>
      </c>
      <c r="D1859" s="215" t="s">
        <v>10621</v>
      </c>
      <c r="E1859" s="215" t="s">
        <v>10622</v>
      </c>
      <c r="F1859" s="215" t="s">
        <v>10619</v>
      </c>
      <c r="G1859" s="215" t="s">
        <v>10620</v>
      </c>
      <c r="H1859" s="215" t="s">
        <v>6521</v>
      </c>
      <c r="I1859" s="300"/>
      <c r="J1859" s="300"/>
      <c r="K1859" s="300"/>
      <c r="L1859" s="300"/>
      <c r="M1859" s="300"/>
      <c r="N1859" s="300"/>
      <c r="O1859" s="300"/>
      <c r="P1859" s="300"/>
      <c r="Q1859" s="300"/>
      <c r="R1859" s="300"/>
      <c r="S1859" s="300"/>
      <c r="T1859" s="300"/>
      <c r="U1859" s="300"/>
      <c r="V1859" s="300"/>
      <c r="W1859" s="300"/>
      <c r="X1859" s="300"/>
      <c r="Y1859" s="300"/>
      <c r="Z1859" s="300"/>
    </row>
    <row r="1860" spans="1:26">
      <c r="A1860" s="215" t="s">
        <v>3386</v>
      </c>
      <c r="B1860" s="207">
        <v>1600</v>
      </c>
      <c r="C1860" s="215" t="s">
        <v>5509</v>
      </c>
      <c r="D1860" s="215" t="s">
        <v>10623</v>
      </c>
      <c r="E1860" s="215" t="s">
        <v>10624</v>
      </c>
      <c r="F1860" s="215" t="s">
        <v>10619</v>
      </c>
      <c r="G1860" s="215" t="s">
        <v>10620</v>
      </c>
      <c r="H1860" s="215" t="s">
        <v>6521</v>
      </c>
      <c r="I1860" s="300"/>
      <c r="J1860" s="300"/>
      <c r="K1860" s="300"/>
      <c r="L1860" s="300"/>
      <c r="M1860" s="300"/>
      <c r="N1860" s="300"/>
      <c r="O1860" s="300"/>
      <c r="P1860" s="300"/>
      <c r="Q1860" s="300"/>
      <c r="R1860" s="300"/>
      <c r="S1860" s="300"/>
      <c r="T1860" s="300"/>
      <c r="U1860" s="300"/>
      <c r="V1860" s="300"/>
      <c r="W1860" s="300"/>
      <c r="X1860" s="300"/>
      <c r="Y1860" s="300"/>
      <c r="Z1860" s="300"/>
    </row>
    <row r="1861" spans="1:26">
      <c r="A1861" s="215" t="s">
        <v>3415</v>
      </c>
      <c r="B1861" s="207">
        <v>1602</v>
      </c>
      <c r="C1861" s="215" t="s">
        <v>5538</v>
      </c>
      <c r="D1861" s="215" t="s">
        <v>10625</v>
      </c>
      <c r="E1861" s="215" t="s">
        <v>10626</v>
      </c>
      <c r="F1861" s="215" t="s">
        <v>10619</v>
      </c>
      <c r="G1861" s="215" t="s">
        <v>10620</v>
      </c>
      <c r="H1861" s="215" t="s">
        <v>6504</v>
      </c>
      <c r="I1861" s="300"/>
      <c r="J1861" s="300"/>
      <c r="K1861" s="300"/>
      <c r="L1861" s="300"/>
      <c r="M1861" s="300"/>
      <c r="N1861" s="300"/>
      <c r="O1861" s="300"/>
      <c r="P1861" s="300"/>
      <c r="Q1861" s="300"/>
      <c r="R1861" s="300"/>
      <c r="S1861" s="300"/>
      <c r="T1861" s="300"/>
      <c r="U1861" s="300"/>
      <c r="V1861" s="300"/>
      <c r="W1861" s="300"/>
      <c r="X1861" s="300"/>
      <c r="Y1861" s="300"/>
      <c r="Z1861" s="300"/>
    </row>
    <row r="1862" spans="1:26">
      <c r="A1862" s="215" t="s">
        <v>4516</v>
      </c>
      <c r="B1862" s="207">
        <v>1603</v>
      </c>
      <c r="C1862" s="215" t="s">
        <v>6430</v>
      </c>
      <c r="D1862" s="215" t="s">
        <v>10627</v>
      </c>
      <c r="E1862" s="215" t="s">
        <v>10628</v>
      </c>
      <c r="F1862" s="215" t="s">
        <v>10619</v>
      </c>
      <c r="G1862" s="215" t="s">
        <v>10620</v>
      </c>
      <c r="H1862" s="215" t="s">
        <v>6500</v>
      </c>
      <c r="I1862" s="300"/>
      <c r="J1862" s="300"/>
      <c r="K1862" s="300"/>
      <c r="L1862" s="300"/>
      <c r="M1862" s="300"/>
      <c r="N1862" s="300"/>
      <c r="O1862" s="300"/>
      <c r="P1862" s="300"/>
      <c r="Q1862" s="300"/>
      <c r="R1862" s="300"/>
      <c r="S1862" s="300"/>
      <c r="T1862" s="300"/>
      <c r="U1862" s="300"/>
      <c r="V1862" s="300"/>
      <c r="W1862" s="300"/>
      <c r="X1862" s="300"/>
      <c r="Y1862" s="300"/>
      <c r="Z1862" s="300"/>
    </row>
    <row r="1863" spans="1:26">
      <c r="A1863" s="215" t="s">
        <v>3914</v>
      </c>
      <c r="B1863" s="207">
        <v>1604</v>
      </c>
      <c r="C1863" s="215" t="s">
        <v>5964</v>
      </c>
      <c r="D1863" s="215" t="s">
        <v>10629</v>
      </c>
      <c r="E1863" s="215" t="s">
        <v>10629</v>
      </c>
      <c r="F1863" s="215" t="s">
        <v>10619</v>
      </c>
      <c r="G1863" s="215" t="s">
        <v>10620</v>
      </c>
      <c r="H1863" s="215" t="s">
        <v>6500</v>
      </c>
      <c r="I1863" s="300"/>
      <c r="J1863" s="300"/>
      <c r="K1863" s="300"/>
      <c r="L1863" s="300"/>
      <c r="M1863" s="300"/>
      <c r="N1863" s="300"/>
      <c r="O1863" s="300"/>
      <c r="P1863" s="300"/>
      <c r="Q1863" s="300"/>
      <c r="R1863" s="300"/>
      <c r="S1863" s="300"/>
      <c r="T1863" s="300"/>
      <c r="U1863" s="300"/>
      <c r="V1863" s="300"/>
      <c r="W1863" s="300"/>
      <c r="X1863" s="300"/>
      <c r="Y1863" s="300"/>
      <c r="Z1863" s="300"/>
    </row>
    <row r="1864" spans="1:26">
      <c r="A1864" s="215" t="s">
        <v>3055</v>
      </c>
      <c r="B1864" s="207">
        <v>1605</v>
      </c>
      <c r="C1864" s="215" t="s">
        <v>5190</v>
      </c>
      <c r="D1864" s="215" t="s">
        <v>10630</v>
      </c>
      <c r="E1864" s="215" t="s">
        <v>10631</v>
      </c>
      <c r="F1864" s="215" t="s">
        <v>10619</v>
      </c>
      <c r="G1864" s="215" t="s">
        <v>10620</v>
      </c>
      <c r="H1864" s="215" t="s">
        <v>6504</v>
      </c>
      <c r="I1864" s="300"/>
      <c r="J1864" s="300"/>
      <c r="K1864" s="300"/>
      <c r="L1864" s="300"/>
      <c r="M1864" s="300"/>
      <c r="N1864" s="300"/>
      <c r="O1864" s="300"/>
      <c r="P1864" s="300"/>
      <c r="Q1864" s="300"/>
      <c r="R1864" s="300"/>
      <c r="S1864" s="300"/>
      <c r="T1864" s="300"/>
      <c r="U1864" s="300"/>
      <c r="V1864" s="300"/>
      <c r="W1864" s="300"/>
      <c r="X1864" s="300"/>
      <c r="Y1864" s="300"/>
      <c r="Z1864" s="300"/>
    </row>
    <row r="1865" spans="1:26">
      <c r="A1865" s="215" t="s">
        <v>4379</v>
      </c>
      <c r="B1865" s="207">
        <v>1836</v>
      </c>
      <c r="C1865" s="215" t="s">
        <v>6324</v>
      </c>
      <c r="D1865" s="215" t="s">
        <v>10632</v>
      </c>
      <c r="E1865" s="215" t="s">
        <v>10633</v>
      </c>
      <c r="F1865" s="215" t="s">
        <v>10619</v>
      </c>
      <c r="G1865" s="215" t="s">
        <v>10620</v>
      </c>
      <c r="H1865" s="215" t="s">
        <v>6500</v>
      </c>
      <c r="I1865" s="300"/>
      <c r="J1865" s="300"/>
      <c r="K1865" s="300"/>
      <c r="L1865" s="300"/>
      <c r="M1865" s="300"/>
      <c r="N1865" s="300"/>
      <c r="O1865" s="300"/>
      <c r="P1865" s="300"/>
      <c r="Q1865" s="300"/>
      <c r="R1865" s="300"/>
      <c r="S1865" s="300"/>
      <c r="T1865" s="300"/>
      <c r="U1865" s="300"/>
      <c r="V1865" s="300"/>
      <c r="W1865" s="300"/>
      <c r="X1865" s="300"/>
      <c r="Y1865" s="300"/>
      <c r="Z1865" s="300"/>
    </row>
    <row r="1866" spans="1:26">
      <c r="A1866" s="215" t="s">
        <v>3199</v>
      </c>
      <c r="B1866" s="207">
        <v>1841</v>
      </c>
      <c r="C1866" s="215" t="s">
        <v>5330</v>
      </c>
      <c r="D1866" s="215" t="s">
        <v>10634</v>
      </c>
      <c r="E1866" s="215" t="s">
        <v>10634</v>
      </c>
      <c r="F1866" s="215" t="s">
        <v>10619</v>
      </c>
      <c r="G1866" s="215" t="s">
        <v>10620</v>
      </c>
      <c r="H1866" s="215" t="s">
        <v>6504</v>
      </c>
      <c r="I1866" s="300"/>
      <c r="J1866" s="300"/>
      <c r="K1866" s="300"/>
      <c r="L1866" s="300"/>
      <c r="M1866" s="300"/>
      <c r="N1866" s="300"/>
      <c r="O1866" s="300"/>
      <c r="P1866" s="300"/>
      <c r="Q1866" s="300"/>
      <c r="R1866" s="300"/>
      <c r="S1866" s="300"/>
      <c r="T1866" s="300"/>
      <c r="U1866" s="300"/>
      <c r="V1866" s="300"/>
      <c r="W1866" s="300"/>
      <c r="X1866" s="300"/>
      <c r="Y1866" s="300"/>
      <c r="Z1866" s="300"/>
    </row>
    <row r="1867" spans="1:26">
      <c r="A1867" s="215" t="s">
        <v>2872</v>
      </c>
      <c r="B1867" s="207">
        <v>1844</v>
      </c>
      <c r="C1867" s="215" t="s">
        <v>5039</v>
      </c>
      <c r="D1867" s="215" t="s">
        <v>10635</v>
      </c>
      <c r="E1867" s="215" t="s">
        <v>10635</v>
      </c>
      <c r="F1867" s="215" t="s">
        <v>10619</v>
      </c>
      <c r="G1867" s="215" t="s">
        <v>10620</v>
      </c>
      <c r="H1867" s="215" t="s">
        <v>6500</v>
      </c>
      <c r="I1867" s="300"/>
      <c r="J1867" s="300"/>
      <c r="K1867" s="300"/>
      <c r="L1867" s="300"/>
      <c r="M1867" s="300"/>
      <c r="N1867" s="300"/>
      <c r="O1867" s="300"/>
      <c r="P1867" s="300"/>
      <c r="Q1867" s="300"/>
      <c r="R1867" s="300"/>
      <c r="S1867" s="300"/>
      <c r="T1867" s="300"/>
      <c r="U1867" s="300"/>
      <c r="V1867" s="300"/>
      <c r="W1867" s="300"/>
      <c r="X1867" s="300"/>
      <c r="Y1867" s="300"/>
      <c r="Z1867" s="300"/>
    </row>
    <row r="1868" spans="1:26">
      <c r="A1868" s="215" t="s">
        <v>2969</v>
      </c>
      <c r="B1868" s="207">
        <v>1846</v>
      </c>
      <c r="C1868" s="215" t="s">
        <v>5119</v>
      </c>
      <c r="D1868" s="215" t="s">
        <v>10636</v>
      </c>
      <c r="E1868" s="215" t="s">
        <v>10637</v>
      </c>
      <c r="F1868" s="215" t="s">
        <v>10619</v>
      </c>
      <c r="G1868" s="215" t="s">
        <v>10620</v>
      </c>
      <c r="H1868" s="215" t="s">
        <v>6504</v>
      </c>
      <c r="I1868" s="300"/>
      <c r="J1868" s="300"/>
      <c r="K1868" s="300"/>
      <c r="L1868" s="300"/>
      <c r="M1868" s="300"/>
      <c r="N1868" s="300"/>
      <c r="O1868" s="300"/>
      <c r="P1868" s="300"/>
      <c r="Q1868" s="300"/>
      <c r="R1868" s="300"/>
      <c r="S1868" s="300"/>
      <c r="T1868" s="300"/>
      <c r="U1868" s="300"/>
      <c r="V1868" s="300"/>
      <c r="W1868" s="300"/>
      <c r="X1868" s="300"/>
      <c r="Y1868" s="300"/>
      <c r="Z1868" s="300"/>
    </row>
    <row r="1869" spans="1:26">
      <c r="A1869" s="215" t="s">
        <v>10638</v>
      </c>
      <c r="B1869" s="207">
        <v>1848</v>
      </c>
      <c r="C1869" s="215" t="s">
        <v>5328</v>
      </c>
      <c r="D1869" s="215" t="s">
        <v>10639</v>
      </c>
      <c r="E1869" s="215" t="s">
        <v>10640</v>
      </c>
      <c r="F1869" s="215" t="s">
        <v>10619</v>
      </c>
      <c r="G1869" s="215" t="s">
        <v>10620</v>
      </c>
      <c r="H1869" s="215" t="s">
        <v>6500</v>
      </c>
      <c r="I1869" s="300"/>
      <c r="J1869" s="300"/>
      <c r="K1869" s="300"/>
      <c r="L1869" s="300"/>
      <c r="M1869" s="300"/>
      <c r="N1869" s="300"/>
      <c r="O1869" s="300"/>
      <c r="P1869" s="300"/>
      <c r="Q1869" s="300"/>
      <c r="R1869" s="300"/>
      <c r="S1869" s="300"/>
      <c r="T1869" s="300"/>
      <c r="U1869" s="300"/>
      <c r="V1869" s="300"/>
      <c r="W1869" s="300"/>
      <c r="X1869" s="300"/>
      <c r="Y1869" s="300"/>
      <c r="Z1869" s="300"/>
    </row>
    <row r="1870" spans="1:26">
      <c r="A1870" s="215" t="s">
        <v>4313</v>
      </c>
      <c r="B1870" s="207">
        <v>2480</v>
      </c>
      <c r="C1870" s="215" t="s">
        <v>6270</v>
      </c>
      <c r="D1870" s="215" t="s">
        <v>10641</v>
      </c>
      <c r="E1870" s="215" t="s">
        <v>10642</v>
      </c>
      <c r="F1870" s="215" t="s">
        <v>10619</v>
      </c>
      <c r="G1870" s="215" t="s">
        <v>10620</v>
      </c>
      <c r="H1870" s="215" t="s">
        <v>6500</v>
      </c>
      <c r="I1870" s="300"/>
      <c r="J1870" s="300"/>
      <c r="K1870" s="300"/>
      <c r="L1870" s="300"/>
      <c r="M1870" s="300"/>
      <c r="N1870" s="300"/>
      <c r="O1870" s="300"/>
      <c r="P1870" s="300"/>
      <c r="Q1870" s="300"/>
      <c r="R1870" s="300"/>
      <c r="S1870" s="300"/>
      <c r="T1870" s="300"/>
      <c r="U1870" s="300"/>
      <c r="V1870" s="300"/>
      <c r="W1870" s="300"/>
      <c r="X1870" s="300"/>
      <c r="Y1870" s="300"/>
      <c r="Z1870" s="300"/>
    </row>
    <row r="1871" spans="1:26">
      <c r="A1871" s="215" t="s">
        <v>3702</v>
      </c>
      <c r="B1871" s="207">
        <v>2481</v>
      </c>
      <c r="C1871" s="215" t="s">
        <v>5195</v>
      </c>
      <c r="D1871" s="215" t="s">
        <v>10643</v>
      </c>
      <c r="E1871" s="215" t="s">
        <v>10644</v>
      </c>
      <c r="F1871" s="215" t="s">
        <v>10619</v>
      </c>
      <c r="G1871" s="215" t="s">
        <v>10620</v>
      </c>
      <c r="H1871" s="215" t="s">
        <v>6521</v>
      </c>
      <c r="I1871" s="300"/>
      <c r="J1871" s="300"/>
      <c r="K1871" s="300"/>
      <c r="L1871" s="300"/>
      <c r="M1871" s="300"/>
      <c r="N1871" s="300"/>
      <c r="O1871" s="300"/>
      <c r="P1871" s="300"/>
      <c r="Q1871" s="300"/>
      <c r="R1871" s="300"/>
      <c r="S1871" s="300"/>
      <c r="T1871" s="300"/>
      <c r="U1871" s="300"/>
      <c r="V1871" s="300"/>
      <c r="W1871" s="300"/>
      <c r="X1871" s="300"/>
      <c r="Y1871" s="300"/>
      <c r="Z1871" s="300"/>
    </row>
    <row r="1872" spans="1:26">
      <c r="A1872" s="215"/>
      <c r="B1872" s="207">
        <v>2725</v>
      </c>
      <c r="C1872" s="215" t="s">
        <v>6399</v>
      </c>
      <c r="D1872" s="215" t="s">
        <v>6399</v>
      </c>
      <c r="E1872" s="215" t="s">
        <v>6399</v>
      </c>
      <c r="F1872" s="215" t="s">
        <v>10619</v>
      </c>
      <c r="G1872" s="215" t="s">
        <v>10620</v>
      </c>
      <c r="H1872" s="215" t="s">
        <v>6504</v>
      </c>
      <c r="I1872" s="300"/>
      <c r="J1872" s="300"/>
      <c r="K1872" s="300"/>
      <c r="L1872" s="300"/>
      <c r="M1872" s="300"/>
      <c r="N1872" s="300"/>
      <c r="O1872" s="300"/>
      <c r="P1872" s="300"/>
      <c r="Q1872" s="300"/>
      <c r="R1872" s="300"/>
      <c r="S1872" s="300"/>
      <c r="T1872" s="300"/>
      <c r="U1872" s="300"/>
      <c r="V1872" s="300"/>
      <c r="W1872" s="300"/>
      <c r="X1872" s="300"/>
      <c r="Y1872" s="300"/>
      <c r="Z1872" s="300"/>
    </row>
    <row r="1873" spans="1:26">
      <c r="A1873" s="215" t="s">
        <v>10645</v>
      </c>
      <c r="B1873" s="207">
        <v>1595</v>
      </c>
      <c r="C1873" s="215" t="s">
        <v>5029</v>
      </c>
      <c r="D1873" s="215" t="s">
        <v>10646</v>
      </c>
      <c r="E1873" s="215" t="s">
        <v>10647</v>
      </c>
      <c r="F1873" s="215" t="s">
        <v>10648</v>
      </c>
      <c r="G1873" s="215" t="s">
        <v>10649</v>
      </c>
      <c r="H1873" s="215" t="s">
        <v>6500</v>
      </c>
      <c r="I1873" s="300"/>
      <c r="J1873" s="300"/>
      <c r="K1873" s="300"/>
      <c r="L1873" s="300"/>
      <c r="M1873" s="300"/>
      <c r="N1873" s="300"/>
      <c r="O1873" s="300"/>
      <c r="P1873" s="300"/>
      <c r="Q1873" s="300"/>
      <c r="R1873" s="300"/>
      <c r="S1873" s="300"/>
      <c r="T1873" s="300"/>
      <c r="U1873" s="300"/>
      <c r="V1873" s="300"/>
      <c r="W1873" s="300"/>
      <c r="X1873" s="300"/>
      <c r="Y1873" s="300"/>
      <c r="Z1873" s="300"/>
    </row>
    <row r="1874" spans="1:26">
      <c r="A1874" s="215" t="s">
        <v>4052</v>
      </c>
      <c r="B1874" s="207">
        <v>1837</v>
      </c>
      <c r="C1874" s="215" t="s">
        <v>5322</v>
      </c>
      <c r="D1874" s="215" t="s">
        <v>10650</v>
      </c>
      <c r="E1874" s="215" t="s">
        <v>10651</v>
      </c>
      <c r="F1874" s="215" t="s">
        <v>10648</v>
      </c>
      <c r="G1874" s="215" t="s">
        <v>10649</v>
      </c>
      <c r="H1874" s="215" t="s">
        <v>6500</v>
      </c>
      <c r="I1874" s="300"/>
      <c r="J1874" s="300"/>
      <c r="K1874" s="300"/>
      <c r="L1874" s="300"/>
      <c r="M1874" s="300"/>
      <c r="N1874" s="300"/>
      <c r="O1874" s="300"/>
      <c r="P1874" s="300"/>
      <c r="Q1874" s="300"/>
      <c r="R1874" s="300"/>
      <c r="S1874" s="300"/>
      <c r="T1874" s="300"/>
      <c r="U1874" s="300"/>
      <c r="V1874" s="300"/>
      <c r="W1874" s="300"/>
      <c r="X1874" s="300"/>
      <c r="Y1874" s="300"/>
      <c r="Z1874" s="300"/>
    </row>
    <row r="1875" spans="1:26">
      <c r="A1875" s="215" t="s">
        <v>3202</v>
      </c>
      <c r="B1875" s="207">
        <v>1850</v>
      </c>
      <c r="C1875" s="215" t="s">
        <v>5331</v>
      </c>
      <c r="D1875" s="215" t="s">
        <v>10652</v>
      </c>
      <c r="E1875" s="215" t="s">
        <v>10653</v>
      </c>
      <c r="F1875" s="215" t="s">
        <v>10648</v>
      </c>
      <c r="G1875" s="215" t="s">
        <v>10649</v>
      </c>
      <c r="H1875" s="215" t="s">
        <v>6500</v>
      </c>
      <c r="I1875" s="300"/>
      <c r="J1875" s="300"/>
      <c r="K1875" s="300"/>
      <c r="L1875" s="300"/>
      <c r="M1875" s="300"/>
      <c r="N1875" s="300"/>
      <c r="O1875" s="300"/>
      <c r="P1875" s="300"/>
      <c r="Q1875" s="300"/>
      <c r="R1875" s="300"/>
      <c r="S1875" s="300"/>
      <c r="T1875" s="300"/>
      <c r="U1875" s="300"/>
      <c r="V1875" s="300"/>
      <c r="W1875" s="300"/>
      <c r="X1875" s="300"/>
      <c r="Y1875" s="300"/>
      <c r="Z1875" s="300"/>
    </row>
    <row r="1876" spans="1:26">
      <c r="A1876" s="215" t="s">
        <v>3859</v>
      </c>
      <c r="B1876" s="207">
        <v>2262</v>
      </c>
      <c r="C1876" s="215" t="s">
        <v>5931</v>
      </c>
      <c r="D1876" s="215" t="s">
        <v>10654</v>
      </c>
      <c r="E1876" s="215" t="s">
        <v>10655</v>
      </c>
      <c r="F1876" s="215" t="s">
        <v>10648</v>
      </c>
      <c r="G1876" s="215" t="s">
        <v>10649</v>
      </c>
      <c r="H1876" s="215" t="s">
        <v>6500</v>
      </c>
      <c r="I1876" s="300"/>
      <c r="J1876" s="300"/>
      <c r="K1876" s="300"/>
      <c r="L1876" s="300"/>
      <c r="M1876" s="300"/>
      <c r="N1876" s="300"/>
      <c r="O1876" s="300"/>
      <c r="P1876" s="300"/>
      <c r="Q1876" s="300"/>
      <c r="R1876" s="300"/>
      <c r="S1876" s="300"/>
      <c r="T1876" s="300"/>
      <c r="U1876" s="300"/>
      <c r="V1876" s="300"/>
      <c r="W1876" s="300"/>
      <c r="X1876" s="300"/>
      <c r="Y1876" s="300"/>
      <c r="Z1876" s="300"/>
    </row>
    <row r="1877" spans="1:26">
      <c r="A1877" s="215" t="s">
        <v>8259</v>
      </c>
      <c r="B1877" s="207">
        <v>1897</v>
      </c>
      <c r="C1877" s="215" t="s">
        <v>10656</v>
      </c>
      <c r="D1877" s="215" t="s">
        <v>10657</v>
      </c>
      <c r="E1877" s="215" t="s">
        <v>10658</v>
      </c>
      <c r="F1877" s="215" t="s">
        <v>10659</v>
      </c>
      <c r="G1877" s="215" t="s">
        <v>10660</v>
      </c>
      <c r="H1877" s="215" t="s">
        <v>6521</v>
      </c>
      <c r="I1877" s="300"/>
      <c r="J1877" s="300"/>
      <c r="K1877" s="300"/>
      <c r="L1877" s="300"/>
      <c r="M1877" s="300"/>
      <c r="N1877" s="300"/>
      <c r="O1877" s="300"/>
      <c r="P1877" s="300"/>
      <c r="Q1877" s="300"/>
      <c r="R1877" s="300"/>
      <c r="S1877" s="300"/>
      <c r="T1877" s="300"/>
      <c r="U1877" s="300"/>
      <c r="V1877" s="300"/>
      <c r="W1877" s="300"/>
      <c r="X1877" s="300"/>
      <c r="Y1877" s="300"/>
      <c r="Z1877" s="300"/>
    </row>
    <row r="1878" spans="1:26">
      <c r="A1878" s="215" t="s">
        <v>3206</v>
      </c>
      <c r="B1878" s="207">
        <v>1898</v>
      </c>
      <c r="C1878" s="215" t="s">
        <v>10661</v>
      </c>
      <c r="D1878" s="215" t="s">
        <v>10662</v>
      </c>
      <c r="E1878" s="215" t="s">
        <v>10663</v>
      </c>
      <c r="F1878" s="215" t="s">
        <v>10659</v>
      </c>
      <c r="G1878" s="215" t="s">
        <v>10660</v>
      </c>
      <c r="H1878" s="215" t="s">
        <v>6521</v>
      </c>
      <c r="I1878" s="300"/>
      <c r="J1878" s="300"/>
      <c r="K1878" s="300"/>
      <c r="L1878" s="300"/>
      <c r="M1878" s="300"/>
      <c r="N1878" s="300"/>
      <c r="O1878" s="300"/>
      <c r="P1878" s="300"/>
      <c r="Q1878" s="300"/>
      <c r="R1878" s="300"/>
      <c r="S1878" s="300"/>
      <c r="T1878" s="300"/>
      <c r="U1878" s="300"/>
      <c r="V1878" s="300"/>
      <c r="W1878" s="300"/>
      <c r="X1878" s="300"/>
      <c r="Y1878" s="300"/>
      <c r="Z1878" s="300"/>
    </row>
    <row r="1879" spans="1:26">
      <c r="A1879" s="215" t="s">
        <v>4233</v>
      </c>
      <c r="B1879" s="207">
        <v>1899</v>
      </c>
      <c r="C1879" s="215" t="s">
        <v>10664</v>
      </c>
      <c r="D1879" s="215" t="s">
        <v>10665</v>
      </c>
      <c r="E1879" s="215" t="s">
        <v>10666</v>
      </c>
      <c r="F1879" s="215" t="s">
        <v>10659</v>
      </c>
      <c r="G1879" s="215" t="s">
        <v>10660</v>
      </c>
      <c r="H1879" s="215" t="s">
        <v>6500</v>
      </c>
      <c r="I1879" s="300"/>
      <c r="J1879" s="300"/>
      <c r="K1879" s="300"/>
      <c r="L1879" s="300"/>
      <c r="M1879" s="300"/>
      <c r="N1879" s="300"/>
      <c r="O1879" s="300"/>
      <c r="P1879" s="300"/>
      <c r="Q1879" s="300"/>
      <c r="R1879" s="300"/>
      <c r="S1879" s="300"/>
      <c r="T1879" s="300"/>
      <c r="U1879" s="300"/>
      <c r="V1879" s="300"/>
      <c r="W1879" s="300"/>
      <c r="X1879" s="300"/>
      <c r="Y1879" s="300"/>
      <c r="Z1879" s="300"/>
    </row>
    <row r="1880" spans="1:26">
      <c r="A1880" s="215"/>
      <c r="B1880" s="207">
        <v>1900</v>
      </c>
      <c r="C1880" s="215" t="s">
        <v>10667</v>
      </c>
      <c r="D1880" s="215" t="s">
        <v>10668</v>
      </c>
      <c r="E1880" s="215" t="s">
        <v>10669</v>
      </c>
      <c r="F1880" s="215" t="s">
        <v>10659</v>
      </c>
      <c r="G1880" s="215" t="s">
        <v>10660</v>
      </c>
      <c r="H1880" s="215" t="s">
        <v>6500</v>
      </c>
      <c r="I1880" s="300"/>
      <c r="J1880" s="300"/>
      <c r="K1880" s="300"/>
      <c r="L1880" s="300"/>
      <c r="M1880" s="300"/>
      <c r="N1880" s="300"/>
      <c r="O1880" s="300"/>
      <c r="P1880" s="300"/>
      <c r="Q1880" s="300"/>
      <c r="R1880" s="300"/>
      <c r="S1880" s="300"/>
      <c r="T1880" s="300"/>
      <c r="U1880" s="300"/>
      <c r="V1880" s="300"/>
      <c r="W1880" s="300"/>
      <c r="X1880" s="300"/>
      <c r="Y1880" s="300"/>
      <c r="Z1880" s="300"/>
    </row>
    <row r="1881" spans="1:26">
      <c r="A1881" s="215" t="s">
        <v>8143</v>
      </c>
      <c r="B1881" s="207">
        <v>1901</v>
      </c>
      <c r="C1881" s="215" t="s">
        <v>10670</v>
      </c>
      <c r="D1881" s="215" t="s">
        <v>10671</v>
      </c>
      <c r="E1881" s="215" t="s">
        <v>10672</v>
      </c>
      <c r="F1881" s="215" t="s">
        <v>10659</v>
      </c>
      <c r="G1881" s="215" t="s">
        <v>10660</v>
      </c>
      <c r="H1881" s="215" t="s">
        <v>6521</v>
      </c>
      <c r="I1881" s="300"/>
      <c r="J1881" s="300"/>
      <c r="K1881" s="300"/>
      <c r="L1881" s="300"/>
      <c r="M1881" s="300"/>
      <c r="N1881" s="300"/>
      <c r="O1881" s="300"/>
      <c r="P1881" s="300"/>
      <c r="Q1881" s="300"/>
      <c r="R1881" s="300"/>
      <c r="S1881" s="300"/>
      <c r="T1881" s="300"/>
      <c r="U1881" s="300"/>
      <c r="V1881" s="300"/>
      <c r="W1881" s="300"/>
      <c r="X1881" s="300"/>
      <c r="Y1881" s="300"/>
      <c r="Z1881" s="300"/>
    </row>
    <row r="1882" spans="1:26">
      <c r="A1882" s="215" t="s">
        <v>3792</v>
      </c>
      <c r="B1882" s="207">
        <v>1902</v>
      </c>
      <c r="C1882" s="215" t="s">
        <v>10673</v>
      </c>
      <c r="D1882" s="215" t="s">
        <v>10674</v>
      </c>
      <c r="E1882" s="215" t="s">
        <v>10675</v>
      </c>
      <c r="F1882" s="215" t="s">
        <v>10659</v>
      </c>
      <c r="G1882" s="215" t="s">
        <v>10660</v>
      </c>
      <c r="H1882" s="215" t="s">
        <v>6504</v>
      </c>
      <c r="I1882" s="300"/>
      <c r="J1882" s="300"/>
      <c r="K1882" s="300"/>
      <c r="L1882" s="300"/>
      <c r="M1882" s="300"/>
      <c r="N1882" s="300"/>
      <c r="O1882" s="300"/>
      <c r="P1882" s="300"/>
      <c r="Q1882" s="300"/>
      <c r="R1882" s="300"/>
      <c r="S1882" s="300"/>
      <c r="T1882" s="300"/>
      <c r="U1882" s="300"/>
      <c r="V1882" s="300"/>
      <c r="W1882" s="300"/>
      <c r="X1882" s="300"/>
      <c r="Y1882" s="300"/>
      <c r="Z1882" s="300"/>
    </row>
    <row r="1883" spans="1:26">
      <c r="A1883" s="215" t="s">
        <v>2898</v>
      </c>
      <c r="B1883" s="207">
        <v>1903</v>
      </c>
      <c r="C1883" s="215" t="s">
        <v>10676</v>
      </c>
      <c r="D1883" s="215" t="s">
        <v>10677</v>
      </c>
      <c r="E1883" s="215" t="s">
        <v>10678</v>
      </c>
      <c r="F1883" s="215" t="s">
        <v>10659</v>
      </c>
      <c r="G1883" s="215" t="s">
        <v>10660</v>
      </c>
      <c r="H1883" s="215" t="s">
        <v>6504</v>
      </c>
      <c r="I1883" s="300"/>
      <c r="J1883" s="300"/>
      <c r="K1883" s="300"/>
      <c r="L1883" s="300"/>
      <c r="M1883" s="300"/>
      <c r="N1883" s="300"/>
      <c r="O1883" s="300"/>
      <c r="P1883" s="300"/>
      <c r="Q1883" s="300"/>
      <c r="R1883" s="300"/>
      <c r="S1883" s="300"/>
      <c r="T1883" s="300"/>
      <c r="U1883" s="300"/>
      <c r="V1883" s="300"/>
      <c r="W1883" s="300"/>
      <c r="X1883" s="300"/>
      <c r="Y1883" s="300"/>
      <c r="Z1883" s="300"/>
    </row>
    <row r="1884" spans="1:26">
      <c r="A1884" s="215"/>
      <c r="B1884" s="207">
        <v>1904</v>
      </c>
      <c r="C1884" s="215" t="s">
        <v>10679</v>
      </c>
      <c r="D1884" s="215"/>
      <c r="E1884" s="215" t="s">
        <v>10679</v>
      </c>
      <c r="F1884" s="215" t="s">
        <v>10659</v>
      </c>
      <c r="G1884" s="215" t="s">
        <v>10660</v>
      </c>
      <c r="H1884" s="215" t="s">
        <v>6548</v>
      </c>
      <c r="I1884" s="300"/>
      <c r="J1884" s="300"/>
      <c r="K1884" s="300"/>
      <c r="L1884" s="300"/>
      <c r="M1884" s="300"/>
      <c r="N1884" s="300"/>
      <c r="O1884" s="300"/>
      <c r="P1884" s="300"/>
      <c r="Q1884" s="300"/>
      <c r="R1884" s="300"/>
      <c r="S1884" s="300"/>
      <c r="T1884" s="300"/>
      <c r="U1884" s="300"/>
      <c r="V1884" s="300"/>
      <c r="W1884" s="300"/>
      <c r="X1884" s="300"/>
      <c r="Y1884" s="300"/>
      <c r="Z1884" s="300"/>
    </row>
    <row r="1885" spans="1:26">
      <c r="A1885" s="215"/>
      <c r="B1885" s="207">
        <v>2094</v>
      </c>
      <c r="C1885" s="215" t="s">
        <v>10680</v>
      </c>
      <c r="D1885" s="215" t="s">
        <v>10681</v>
      </c>
      <c r="E1885" s="215" t="s">
        <v>10682</v>
      </c>
      <c r="F1885" s="215" t="s">
        <v>10659</v>
      </c>
      <c r="G1885" s="215" t="s">
        <v>10660</v>
      </c>
      <c r="H1885" s="215" t="s">
        <v>6500</v>
      </c>
      <c r="I1885" s="300"/>
      <c r="J1885" s="300"/>
      <c r="K1885" s="300"/>
      <c r="L1885" s="300"/>
      <c r="M1885" s="300"/>
      <c r="N1885" s="300"/>
      <c r="O1885" s="300"/>
      <c r="P1885" s="300"/>
      <c r="Q1885" s="300"/>
      <c r="R1885" s="300"/>
      <c r="S1885" s="300"/>
      <c r="T1885" s="300"/>
      <c r="U1885" s="300"/>
      <c r="V1885" s="300"/>
      <c r="W1885" s="300"/>
      <c r="X1885" s="300"/>
      <c r="Y1885" s="300"/>
      <c r="Z1885" s="300"/>
    </row>
    <row r="1886" spans="1:26">
      <c r="A1886" s="215" t="s">
        <v>3921</v>
      </c>
      <c r="B1886" s="207">
        <v>2622</v>
      </c>
      <c r="C1886" s="215" t="s">
        <v>10683</v>
      </c>
      <c r="D1886" s="215" t="s">
        <v>10684</v>
      </c>
      <c r="E1886" s="215" t="s">
        <v>10685</v>
      </c>
      <c r="F1886" s="215" t="s">
        <v>10686</v>
      </c>
      <c r="G1886" s="215" t="s">
        <v>10687</v>
      </c>
      <c r="H1886" s="215" t="s">
        <v>6521</v>
      </c>
      <c r="I1886" s="300"/>
      <c r="J1886" s="300"/>
      <c r="K1886" s="300"/>
      <c r="L1886" s="300"/>
      <c r="M1886" s="300"/>
      <c r="N1886" s="300"/>
      <c r="O1886" s="300"/>
      <c r="P1886" s="300"/>
      <c r="Q1886" s="300"/>
      <c r="R1886" s="300"/>
      <c r="S1886" s="300"/>
      <c r="T1886" s="300"/>
      <c r="U1886" s="300"/>
      <c r="V1886" s="300"/>
      <c r="W1886" s="300"/>
      <c r="X1886" s="300"/>
      <c r="Y1886" s="300"/>
      <c r="Z1886" s="300"/>
    </row>
    <row r="1887" spans="1:26">
      <c r="A1887" s="215" t="s">
        <v>2705</v>
      </c>
      <c r="B1887" s="207">
        <v>570</v>
      </c>
      <c r="C1887" s="215" t="s">
        <v>4869</v>
      </c>
      <c r="D1887" s="215" t="s">
        <v>10688</v>
      </c>
      <c r="E1887" s="215" t="s">
        <v>10688</v>
      </c>
      <c r="F1887" s="215" t="s">
        <v>10689</v>
      </c>
      <c r="G1887" s="215" t="s">
        <v>10690</v>
      </c>
      <c r="H1887" s="215" t="s">
        <v>6504</v>
      </c>
      <c r="I1887" s="300"/>
      <c r="J1887" s="300"/>
      <c r="K1887" s="300"/>
      <c r="L1887" s="300"/>
      <c r="M1887" s="300"/>
      <c r="N1887" s="300"/>
      <c r="O1887" s="300"/>
      <c r="P1887" s="300"/>
      <c r="Q1887" s="300"/>
      <c r="R1887" s="300"/>
      <c r="S1887" s="300"/>
      <c r="T1887" s="300"/>
      <c r="U1887" s="300"/>
      <c r="V1887" s="300"/>
      <c r="W1887" s="300"/>
      <c r="X1887" s="300"/>
      <c r="Y1887" s="300"/>
      <c r="Z1887" s="300"/>
    </row>
    <row r="1888" spans="1:26">
      <c r="A1888" s="215" t="s">
        <v>2926</v>
      </c>
      <c r="B1888" s="207">
        <v>579</v>
      </c>
      <c r="C1888" s="215" t="s">
        <v>5083</v>
      </c>
      <c r="D1888" s="215" t="s">
        <v>10691</v>
      </c>
      <c r="E1888" s="215" t="s">
        <v>10691</v>
      </c>
      <c r="F1888" s="215" t="s">
        <v>10689</v>
      </c>
      <c r="G1888" s="215" t="s">
        <v>10690</v>
      </c>
      <c r="H1888" s="215" t="s">
        <v>6500</v>
      </c>
      <c r="I1888" s="300"/>
      <c r="J1888" s="300"/>
      <c r="K1888" s="300"/>
      <c r="L1888" s="300"/>
      <c r="M1888" s="300"/>
      <c r="N1888" s="300"/>
      <c r="O1888" s="300"/>
      <c r="P1888" s="300"/>
      <c r="Q1888" s="300"/>
      <c r="R1888" s="300"/>
      <c r="S1888" s="300"/>
      <c r="T1888" s="300"/>
      <c r="U1888" s="300"/>
      <c r="V1888" s="300"/>
      <c r="W1888" s="300"/>
      <c r="X1888" s="300"/>
      <c r="Y1888" s="300"/>
      <c r="Z1888" s="300"/>
    </row>
    <row r="1889" spans="1:26">
      <c r="A1889" s="215" t="s">
        <v>2929</v>
      </c>
      <c r="B1889" s="207">
        <v>583</v>
      </c>
      <c r="C1889" s="215" t="s">
        <v>5086</v>
      </c>
      <c r="D1889" s="215" t="s">
        <v>10692</v>
      </c>
      <c r="E1889" s="215" t="s">
        <v>10692</v>
      </c>
      <c r="F1889" s="215" t="s">
        <v>10689</v>
      </c>
      <c r="G1889" s="215" t="s">
        <v>10690</v>
      </c>
      <c r="H1889" s="215" t="s">
        <v>6497</v>
      </c>
      <c r="I1889" s="300"/>
      <c r="J1889" s="300"/>
      <c r="K1889" s="300"/>
      <c r="L1889" s="300"/>
      <c r="M1889" s="300"/>
      <c r="N1889" s="300"/>
      <c r="O1889" s="300"/>
      <c r="P1889" s="300"/>
      <c r="Q1889" s="300"/>
      <c r="R1889" s="300"/>
      <c r="S1889" s="300"/>
      <c r="T1889" s="300"/>
      <c r="U1889" s="300"/>
      <c r="V1889" s="300"/>
      <c r="W1889" s="300"/>
      <c r="X1889" s="300"/>
      <c r="Y1889" s="300"/>
      <c r="Z1889" s="300"/>
    </row>
    <row r="1890" spans="1:26">
      <c r="A1890" s="215" t="s">
        <v>2950</v>
      </c>
      <c r="B1890" s="207">
        <v>587</v>
      </c>
      <c r="C1890" s="215" t="s">
        <v>10693</v>
      </c>
      <c r="D1890" s="215" t="s">
        <v>10694</v>
      </c>
      <c r="E1890" s="215" t="s">
        <v>10695</v>
      </c>
      <c r="F1890" s="215" t="s">
        <v>10689</v>
      </c>
      <c r="G1890" s="215" t="s">
        <v>10690</v>
      </c>
      <c r="H1890" s="215" t="s">
        <v>6548</v>
      </c>
      <c r="I1890" s="300"/>
      <c r="J1890" s="300"/>
      <c r="K1890" s="300"/>
      <c r="L1890" s="300"/>
      <c r="M1890" s="300"/>
      <c r="N1890" s="300"/>
      <c r="O1890" s="300"/>
      <c r="P1890" s="300"/>
      <c r="Q1890" s="300"/>
      <c r="R1890" s="300"/>
      <c r="S1890" s="300"/>
      <c r="T1890" s="300"/>
      <c r="U1890" s="300"/>
      <c r="V1890" s="300"/>
      <c r="W1890" s="300"/>
      <c r="X1890" s="300"/>
      <c r="Y1890" s="300"/>
      <c r="Z1890" s="300"/>
    </row>
    <row r="1891" spans="1:26">
      <c r="A1891" s="215" t="s">
        <v>2977</v>
      </c>
      <c r="B1891" s="207">
        <v>590</v>
      </c>
      <c r="C1891" s="215" t="s">
        <v>10696</v>
      </c>
      <c r="D1891" s="215" t="s">
        <v>10697</v>
      </c>
      <c r="E1891" s="215" t="s">
        <v>10698</v>
      </c>
      <c r="F1891" s="215" t="s">
        <v>10689</v>
      </c>
      <c r="G1891" s="215" t="s">
        <v>10690</v>
      </c>
      <c r="H1891" s="215" t="s">
        <v>6504</v>
      </c>
      <c r="I1891" s="300"/>
      <c r="J1891" s="300"/>
      <c r="K1891" s="300"/>
      <c r="L1891" s="300"/>
      <c r="M1891" s="300"/>
      <c r="N1891" s="300"/>
      <c r="O1891" s="300"/>
      <c r="P1891" s="300"/>
      <c r="Q1891" s="300"/>
      <c r="R1891" s="300"/>
      <c r="S1891" s="300"/>
      <c r="T1891" s="300"/>
      <c r="U1891" s="300"/>
      <c r="V1891" s="300"/>
      <c r="W1891" s="300"/>
      <c r="X1891" s="300"/>
      <c r="Y1891" s="300"/>
      <c r="Z1891" s="300"/>
    </row>
    <row r="1892" spans="1:26">
      <c r="A1892" s="215"/>
      <c r="B1892" s="207">
        <v>594</v>
      </c>
      <c r="C1892" s="215" t="s">
        <v>10699</v>
      </c>
      <c r="D1892" s="215" t="s">
        <v>10700</v>
      </c>
      <c r="E1892" s="215" t="s">
        <v>10700</v>
      </c>
      <c r="F1892" s="215" t="s">
        <v>10689</v>
      </c>
      <c r="G1892" s="215" t="s">
        <v>10690</v>
      </c>
      <c r="H1892" s="215" t="s">
        <v>6548</v>
      </c>
      <c r="I1892" s="300"/>
      <c r="J1892" s="300"/>
      <c r="K1892" s="300"/>
      <c r="L1892" s="300"/>
      <c r="M1892" s="300"/>
      <c r="N1892" s="300"/>
      <c r="O1892" s="300"/>
      <c r="P1892" s="300"/>
      <c r="Q1892" s="300"/>
      <c r="R1892" s="300"/>
      <c r="S1892" s="300"/>
      <c r="T1892" s="300"/>
      <c r="U1892" s="300"/>
      <c r="V1892" s="300"/>
      <c r="W1892" s="300"/>
      <c r="X1892" s="300"/>
      <c r="Y1892" s="300"/>
      <c r="Z1892" s="300"/>
    </row>
    <row r="1893" spans="1:26">
      <c r="A1893" s="215" t="s">
        <v>3320</v>
      </c>
      <c r="B1893" s="207">
        <v>607</v>
      </c>
      <c r="C1893" s="215" t="s">
        <v>5451</v>
      </c>
      <c r="D1893" s="215" t="s">
        <v>10701</v>
      </c>
      <c r="E1893" s="215" t="s">
        <v>10702</v>
      </c>
      <c r="F1893" s="215" t="s">
        <v>10689</v>
      </c>
      <c r="G1893" s="215" t="s">
        <v>10690</v>
      </c>
      <c r="H1893" s="215" t="s">
        <v>6504</v>
      </c>
      <c r="I1893" s="300"/>
      <c r="J1893" s="300"/>
      <c r="K1893" s="300"/>
      <c r="L1893" s="300"/>
      <c r="M1893" s="300"/>
      <c r="N1893" s="300"/>
      <c r="O1893" s="300"/>
      <c r="P1893" s="300"/>
      <c r="Q1893" s="300"/>
      <c r="R1893" s="300"/>
      <c r="S1893" s="300"/>
      <c r="T1893" s="300"/>
      <c r="U1893" s="300"/>
      <c r="V1893" s="300"/>
      <c r="W1893" s="300"/>
      <c r="X1893" s="300"/>
      <c r="Y1893" s="300"/>
      <c r="Z1893" s="300"/>
    </row>
    <row r="1894" spans="1:26">
      <c r="A1894" s="215" t="s">
        <v>3304</v>
      </c>
      <c r="B1894" s="207">
        <v>608</v>
      </c>
      <c r="C1894" s="215" t="s">
        <v>5432</v>
      </c>
      <c r="D1894" s="215" t="s">
        <v>10703</v>
      </c>
      <c r="E1894" s="215" t="s">
        <v>10703</v>
      </c>
      <c r="F1894" s="215" t="s">
        <v>10689</v>
      </c>
      <c r="G1894" s="215" t="s">
        <v>10690</v>
      </c>
      <c r="H1894" s="215" t="s">
        <v>6497</v>
      </c>
      <c r="I1894" s="300"/>
      <c r="J1894" s="300"/>
      <c r="K1894" s="300"/>
      <c r="L1894" s="300"/>
      <c r="M1894" s="300"/>
      <c r="N1894" s="300"/>
      <c r="O1894" s="300"/>
      <c r="P1894" s="300"/>
      <c r="Q1894" s="300"/>
      <c r="R1894" s="300"/>
      <c r="S1894" s="300"/>
      <c r="T1894" s="300"/>
      <c r="U1894" s="300"/>
      <c r="V1894" s="300"/>
      <c r="W1894" s="300"/>
      <c r="X1894" s="300"/>
      <c r="Y1894" s="300"/>
      <c r="Z1894" s="300"/>
    </row>
    <row r="1895" spans="1:26">
      <c r="A1895" s="215"/>
      <c r="B1895" s="207">
        <v>631</v>
      </c>
      <c r="C1895" s="215" t="s">
        <v>10704</v>
      </c>
      <c r="D1895" s="215" t="s">
        <v>10705</v>
      </c>
      <c r="E1895" s="215" t="s">
        <v>10706</v>
      </c>
      <c r="F1895" s="215" t="s">
        <v>10689</v>
      </c>
      <c r="G1895" s="215" t="s">
        <v>10690</v>
      </c>
      <c r="H1895" s="215" t="s">
        <v>6548</v>
      </c>
      <c r="I1895" s="300"/>
      <c r="J1895" s="300"/>
      <c r="K1895" s="300"/>
      <c r="L1895" s="300"/>
      <c r="M1895" s="300"/>
      <c r="N1895" s="300"/>
      <c r="O1895" s="300"/>
      <c r="P1895" s="300"/>
      <c r="Q1895" s="300"/>
      <c r="R1895" s="300"/>
      <c r="S1895" s="300"/>
      <c r="T1895" s="300"/>
      <c r="U1895" s="300"/>
      <c r="V1895" s="300"/>
      <c r="W1895" s="300"/>
      <c r="X1895" s="300"/>
      <c r="Y1895" s="300"/>
      <c r="Z1895" s="300"/>
    </row>
    <row r="1896" spans="1:26">
      <c r="A1896" s="215" t="s">
        <v>3714</v>
      </c>
      <c r="B1896" s="207">
        <v>636</v>
      </c>
      <c r="C1896" s="215" t="s">
        <v>5802</v>
      </c>
      <c r="D1896" s="215" t="s">
        <v>10707</v>
      </c>
      <c r="E1896" s="215" t="s">
        <v>10708</v>
      </c>
      <c r="F1896" s="215" t="s">
        <v>10689</v>
      </c>
      <c r="G1896" s="215" t="s">
        <v>10690</v>
      </c>
      <c r="H1896" s="215" t="s">
        <v>6497</v>
      </c>
      <c r="I1896" s="300"/>
      <c r="J1896" s="300"/>
      <c r="K1896" s="300"/>
      <c r="L1896" s="300"/>
      <c r="M1896" s="300"/>
      <c r="N1896" s="300"/>
      <c r="O1896" s="300"/>
      <c r="P1896" s="300"/>
      <c r="Q1896" s="300"/>
      <c r="R1896" s="300"/>
      <c r="S1896" s="300"/>
      <c r="T1896" s="300"/>
      <c r="U1896" s="300"/>
      <c r="V1896" s="300"/>
      <c r="W1896" s="300"/>
      <c r="X1896" s="300"/>
      <c r="Y1896" s="300"/>
      <c r="Z1896" s="300"/>
    </row>
    <row r="1897" spans="1:26">
      <c r="A1897" s="215" t="s">
        <v>3845</v>
      </c>
      <c r="B1897" s="207">
        <v>638</v>
      </c>
      <c r="C1897" s="215" t="s">
        <v>10709</v>
      </c>
      <c r="D1897" s="215" t="s">
        <v>10710</v>
      </c>
      <c r="E1897" s="215" t="s">
        <v>10711</v>
      </c>
      <c r="F1897" s="215" t="s">
        <v>10689</v>
      </c>
      <c r="G1897" s="215" t="s">
        <v>10690</v>
      </c>
      <c r="H1897" s="215" t="s">
        <v>6497</v>
      </c>
      <c r="I1897" s="300"/>
      <c r="J1897" s="300"/>
      <c r="K1897" s="300"/>
      <c r="L1897" s="300"/>
      <c r="M1897" s="300"/>
      <c r="N1897" s="300"/>
      <c r="O1897" s="300"/>
      <c r="P1897" s="300"/>
      <c r="Q1897" s="300"/>
      <c r="R1897" s="300"/>
      <c r="S1897" s="300"/>
      <c r="T1897" s="300"/>
      <c r="U1897" s="300"/>
      <c r="V1897" s="300"/>
      <c r="W1897" s="300"/>
      <c r="X1897" s="300"/>
      <c r="Y1897" s="300"/>
      <c r="Z1897" s="300"/>
    </row>
    <row r="1898" spans="1:26">
      <c r="A1898" s="215" t="s">
        <v>4011</v>
      </c>
      <c r="B1898" s="207">
        <v>651</v>
      </c>
      <c r="C1898" s="215" t="s">
        <v>6038</v>
      </c>
      <c r="D1898" s="215" t="s">
        <v>10712</v>
      </c>
      <c r="E1898" s="215" t="s">
        <v>10713</v>
      </c>
      <c r="F1898" s="215" t="s">
        <v>10689</v>
      </c>
      <c r="G1898" s="215" t="s">
        <v>10690</v>
      </c>
      <c r="H1898" s="215" t="s">
        <v>6497</v>
      </c>
      <c r="I1898" s="300"/>
      <c r="J1898" s="300"/>
      <c r="K1898" s="300"/>
      <c r="L1898" s="300"/>
      <c r="M1898" s="300"/>
      <c r="N1898" s="300"/>
      <c r="O1898" s="300"/>
      <c r="P1898" s="300"/>
      <c r="Q1898" s="300"/>
      <c r="R1898" s="300"/>
      <c r="S1898" s="300"/>
      <c r="T1898" s="300"/>
      <c r="U1898" s="300"/>
      <c r="V1898" s="300"/>
      <c r="W1898" s="300"/>
      <c r="X1898" s="300"/>
      <c r="Y1898" s="300"/>
      <c r="Z1898" s="300"/>
    </row>
    <row r="1899" spans="1:26">
      <c r="A1899" s="215" t="s">
        <v>8250</v>
      </c>
      <c r="B1899" s="207">
        <v>653</v>
      </c>
      <c r="C1899" s="215" t="s">
        <v>10714</v>
      </c>
      <c r="D1899" s="215" t="s">
        <v>10715</v>
      </c>
      <c r="E1899" s="215" t="s">
        <v>10716</v>
      </c>
      <c r="F1899" s="215" t="s">
        <v>10689</v>
      </c>
      <c r="G1899" s="215" t="s">
        <v>10690</v>
      </c>
      <c r="H1899" s="215" t="s">
        <v>6500</v>
      </c>
      <c r="I1899" s="300"/>
      <c r="J1899" s="300"/>
      <c r="K1899" s="300"/>
      <c r="L1899" s="300"/>
      <c r="M1899" s="300"/>
      <c r="N1899" s="300"/>
      <c r="O1899" s="300"/>
      <c r="P1899" s="300"/>
      <c r="Q1899" s="300"/>
      <c r="R1899" s="300"/>
      <c r="S1899" s="300"/>
      <c r="T1899" s="300"/>
      <c r="U1899" s="300"/>
      <c r="V1899" s="300"/>
      <c r="W1899" s="300"/>
      <c r="X1899" s="300"/>
      <c r="Y1899" s="300"/>
      <c r="Z1899" s="300"/>
    </row>
    <row r="1900" spans="1:26">
      <c r="A1900" s="215" t="s">
        <v>4076</v>
      </c>
      <c r="B1900" s="207">
        <v>654</v>
      </c>
      <c r="C1900" s="215" t="s">
        <v>6097</v>
      </c>
      <c r="D1900" s="215" t="s">
        <v>10717</v>
      </c>
      <c r="E1900" s="215" t="s">
        <v>10717</v>
      </c>
      <c r="F1900" s="215" t="s">
        <v>10689</v>
      </c>
      <c r="G1900" s="215" t="s">
        <v>10690</v>
      </c>
      <c r="H1900" s="215" t="s">
        <v>6500</v>
      </c>
      <c r="I1900" s="300"/>
      <c r="J1900" s="300"/>
      <c r="K1900" s="300"/>
      <c r="L1900" s="300"/>
      <c r="M1900" s="300"/>
      <c r="N1900" s="300"/>
      <c r="O1900" s="300"/>
      <c r="P1900" s="300"/>
      <c r="Q1900" s="300"/>
      <c r="R1900" s="300"/>
      <c r="S1900" s="300"/>
      <c r="T1900" s="300"/>
      <c r="U1900" s="300"/>
      <c r="V1900" s="300"/>
      <c r="W1900" s="300"/>
      <c r="X1900" s="300"/>
      <c r="Y1900" s="300"/>
      <c r="Z1900" s="300"/>
    </row>
    <row r="1901" spans="1:26">
      <c r="A1901" s="215" t="s">
        <v>4310</v>
      </c>
      <c r="B1901" s="207">
        <v>657</v>
      </c>
      <c r="C1901" s="215" t="s">
        <v>6267</v>
      </c>
      <c r="D1901" s="215" t="s">
        <v>10718</v>
      </c>
      <c r="E1901" s="215" t="s">
        <v>10719</v>
      </c>
      <c r="F1901" s="215" t="s">
        <v>10689</v>
      </c>
      <c r="G1901" s="215" t="s">
        <v>10690</v>
      </c>
      <c r="H1901" s="215" t="s">
        <v>6497</v>
      </c>
      <c r="I1901" s="300"/>
      <c r="J1901" s="300"/>
      <c r="K1901" s="300"/>
      <c r="L1901" s="300"/>
      <c r="M1901" s="300"/>
      <c r="N1901" s="300"/>
      <c r="O1901" s="300"/>
      <c r="P1901" s="300"/>
      <c r="Q1901" s="300"/>
      <c r="R1901" s="300"/>
      <c r="S1901" s="300"/>
      <c r="T1901" s="300"/>
      <c r="U1901" s="300"/>
      <c r="V1901" s="300"/>
      <c r="W1901" s="300"/>
      <c r="X1901" s="300"/>
      <c r="Y1901" s="300"/>
      <c r="Z1901" s="300"/>
    </row>
    <row r="1902" spans="1:26">
      <c r="A1902" s="215" t="s">
        <v>3277</v>
      </c>
      <c r="B1902" s="207">
        <v>727</v>
      </c>
      <c r="C1902" s="215" t="s">
        <v>5405</v>
      </c>
      <c r="D1902" s="215" t="s">
        <v>10720</v>
      </c>
      <c r="E1902" s="215" t="s">
        <v>10720</v>
      </c>
      <c r="F1902" s="215" t="s">
        <v>10689</v>
      </c>
      <c r="G1902" s="215" t="s">
        <v>10690</v>
      </c>
      <c r="H1902" s="215" t="s">
        <v>6497</v>
      </c>
      <c r="I1902" s="300"/>
      <c r="J1902" s="300"/>
      <c r="K1902" s="300"/>
      <c r="L1902" s="300"/>
      <c r="M1902" s="300"/>
      <c r="N1902" s="300"/>
      <c r="O1902" s="300"/>
      <c r="P1902" s="300"/>
      <c r="Q1902" s="300"/>
      <c r="R1902" s="300"/>
      <c r="S1902" s="300"/>
      <c r="T1902" s="300"/>
      <c r="U1902" s="300"/>
      <c r="V1902" s="300"/>
      <c r="W1902" s="300"/>
      <c r="X1902" s="300"/>
      <c r="Y1902" s="300"/>
      <c r="Z1902" s="300"/>
    </row>
    <row r="1903" spans="1:26">
      <c r="A1903" s="215" t="s">
        <v>2714</v>
      </c>
      <c r="B1903" s="207">
        <v>728</v>
      </c>
      <c r="C1903" s="215" t="s">
        <v>4875</v>
      </c>
      <c r="D1903" s="215" t="s">
        <v>10721</v>
      </c>
      <c r="E1903" s="215" t="s">
        <v>10722</v>
      </c>
      <c r="F1903" s="215" t="s">
        <v>10689</v>
      </c>
      <c r="G1903" s="215" t="s">
        <v>10690</v>
      </c>
      <c r="H1903" s="215" t="s">
        <v>6497</v>
      </c>
      <c r="I1903" s="300"/>
      <c r="J1903" s="300"/>
      <c r="K1903" s="300"/>
      <c r="L1903" s="300"/>
      <c r="M1903" s="300"/>
      <c r="N1903" s="300"/>
      <c r="O1903" s="300"/>
      <c r="P1903" s="300"/>
      <c r="Q1903" s="300"/>
      <c r="R1903" s="300"/>
      <c r="S1903" s="300"/>
      <c r="T1903" s="300"/>
      <c r="U1903" s="300"/>
      <c r="V1903" s="300"/>
      <c r="W1903" s="300"/>
      <c r="X1903" s="300"/>
      <c r="Y1903" s="300"/>
      <c r="Z1903" s="300"/>
    </row>
    <row r="1904" spans="1:26">
      <c r="A1904" s="215" t="s">
        <v>2669</v>
      </c>
      <c r="B1904" s="207">
        <v>729</v>
      </c>
      <c r="C1904" s="215" t="s">
        <v>10723</v>
      </c>
      <c r="D1904" s="215" t="s">
        <v>10724</v>
      </c>
      <c r="E1904" s="215" t="s">
        <v>10725</v>
      </c>
      <c r="F1904" s="215" t="s">
        <v>10689</v>
      </c>
      <c r="G1904" s="215" t="s">
        <v>10690</v>
      </c>
      <c r="H1904" s="215" t="s">
        <v>6497</v>
      </c>
      <c r="I1904" s="300"/>
      <c r="J1904" s="300"/>
      <c r="K1904" s="300"/>
      <c r="L1904" s="300"/>
      <c r="M1904" s="300"/>
      <c r="N1904" s="300"/>
      <c r="O1904" s="300"/>
      <c r="P1904" s="300"/>
      <c r="Q1904" s="300"/>
      <c r="R1904" s="300"/>
      <c r="S1904" s="300"/>
      <c r="T1904" s="300"/>
      <c r="U1904" s="300"/>
      <c r="V1904" s="300"/>
      <c r="W1904" s="300"/>
      <c r="X1904" s="300"/>
      <c r="Y1904" s="300"/>
      <c r="Z1904" s="300"/>
    </row>
    <row r="1905" spans="1:26">
      <c r="A1905" s="215" t="s">
        <v>2990</v>
      </c>
      <c r="B1905" s="207">
        <v>730</v>
      </c>
      <c r="C1905" s="215" t="s">
        <v>5137</v>
      </c>
      <c r="D1905" s="215" t="s">
        <v>10726</v>
      </c>
      <c r="E1905" s="215" t="s">
        <v>10727</v>
      </c>
      <c r="F1905" s="215" t="s">
        <v>10689</v>
      </c>
      <c r="G1905" s="215" t="s">
        <v>10690</v>
      </c>
      <c r="H1905" s="215" t="s">
        <v>6521</v>
      </c>
      <c r="I1905" s="300"/>
      <c r="J1905" s="300"/>
      <c r="K1905" s="300"/>
      <c r="L1905" s="300"/>
      <c r="M1905" s="300"/>
      <c r="N1905" s="300"/>
      <c r="O1905" s="300"/>
      <c r="P1905" s="300"/>
      <c r="Q1905" s="300"/>
      <c r="R1905" s="300"/>
      <c r="S1905" s="300"/>
      <c r="T1905" s="300"/>
      <c r="U1905" s="300"/>
      <c r="V1905" s="300"/>
      <c r="W1905" s="300"/>
      <c r="X1905" s="300"/>
      <c r="Y1905" s="300"/>
      <c r="Z1905" s="300"/>
    </row>
    <row r="1906" spans="1:26">
      <c r="A1906" s="215" t="s">
        <v>3592</v>
      </c>
      <c r="B1906" s="207">
        <v>731</v>
      </c>
      <c r="C1906" s="215" t="s">
        <v>5693</v>
      </c>
      <c r="D1906" s="215" t="s">
        <v>10728</v>
      </c>
      <c r="E1906" s="215" t="s">
        <v>10728</v>
      </c>
      <c r="F1906" s="215" t="s">
        <v>10689</v>
      </c>
      <c r="G1906" s="215" t="s">
        <v>10690</v>
      </c>
      <c r="H1906" s="215" t="s">
        <v>6500</v>
      </c>
      <c r="I1906" s="300"/>
      <c r="J1906" s="300"/>
      <c r="K1906" s="300"/>
      <c r="L1906" s="300"/>
      <c r="M1906" s="300"/>
      <c r="N1906" s="300"/>
      <c r="O1906" s="300"/>
      <c r="P1906" s="300"/>
      <c r="Q1906" s="300"/>
      <c r="R1906" s="300"/>
      <c r="S1906" s="300"/>
      <c r="T1906" s="300"/>
      <c r="U1906" s="300"/>
      <c r="V1906" s="300"/>
      <c r="W1906" s="300"/>
      <c r="X1906" s="300"/>
      <c r="Y1906" s="300"/>
      <c r="Z1906" s="300"/>
    </row>
    <row r="1907" spans="1:26">
      <c r="A1907" s="215" t="s">
        <v>3918</v>
      </c>
      <c r="B1907" s="207">
        <v>732</v>
      </c>
      <c r="C1907" s="215" t="s">
        <v>5966</v>
      </c>
      <c r="D1907" s="215" t="s">
        <v>10729</v>
      </c>
      <c r="E1907" s="215" t="s">
        <v>10730</v>
      </c>
      <c r="F1907" s="215" t="s">
        <v>10689</v>
      </c>
      <c r="G1907" s="215" t="s">
        <v>10690</v>
      </c>
      <c r="H1907" s="215" t="s">
        <v>6500</v>
      </c>
      <c r="I1907" s="300"/>
      <c r="J1907" s="300"/>
      <c r="K1907" s="300"/>
      <c r="L1907" s="300"/>
      <c r="M1907" s="300"/>
      <c r="N1907" s="300"/>
      <c r="O1907" s="300"/>
      <c r="P1907" s="300"/>
      <c r="Q1907" s="300"/>
      <c r="R1907" s="300"/>
      <c r="S1907" s="300"/>
      <c r="T1907" s="300"/>
      <c r="U1907" s="300"/>
      <c r="V1907" s="300"/>
      <c r="W1907" s="300"/>
      <c r="X1907" s="300"/>
      <c r="Y1907" s="300"/>
      <c r="Z1907" s="300"/>
    </row>
    <row r="1908" spans="1:26">
      <c r="A1908" s="215" t="s">
        <v>4372</v>
      </c>
      <c r="B1908" s="207">
        <v>733</v>
      </c>
      <c r="C1908" s="215" t="s">
        <v>6321</v>
      </c>
      <c r="D1908" s="215" t="s">
        <v>10731</v>
      </c>
      <c r="E1908" s="215" t="s">
        <v>10731</v>
      </c>
      <c r="F1908" s="215" t="s">
        <v>10689</v>
      </c>
      <c r="G1908" s="215" t="s">
        <v>10690</v>
      </c>
      <c r="H1908" s="215" t="s">
        <v>6521</v>
      </c>
      <c r="I1908" s="300"/>
      <c r="J1908" s="300"/>
      <c r="K1908" s="300"/>
      <c r="L1908" s="300"/>
      <c r="M1908" s="300"/>
      <c r="N1908" s="300"/>
      <c r="O1908" s="300"/>
      <c r="P1908" s="300"/>
      <c r="Q1908" s="300"/>
      <c r="R1908" s="300"/>
      <c r="S1908" s="300"/>
      <c r="T1908" s="300"/>
      <c r="U1908" s="300"/>
      <c r="V1908" s="300"/>
      <c r="W1908" s="300"/>
      <c r="X1908" s="300"/>
      <c r="Y1908" s="300"/>
      <c r="Z1908" s="300"/>
    </row>
    <row r="1909" spans="1:26">
      <c r="A1909" s="215" t="s">
        <v>2591</v>
      </c>
      <c r="B1909" s="207">
        <v>734</v>
      </c>
      <c r="C1909" s="215" t="s">
        <v>10732</v>
      </c>
      <c r="D1909" s="215" t="s">
        <v>10733</v>
      </c>
      <c r="E1909" s="215" t="s">
        <v>10734</v>
      </c>
      <c r="F1909" s="215" t="s">
        <v>10689</v>
      </c>
      <c r="G1909" s="215" t="s">
        <v>10690</v>
      </c>
      <c r="H1909" s="215" t="s">
        <v>6521</v>
      </c>
      <c r="I1909" s="300"/>
      <c r="J1909" s="300"/>
      <c r="K1909" s="300"/>
      <c r="L1909" s="300"/>
      <c r="M1909" s="300"/>
      <c r="N1909" s="300"/>
      <c r="O1909" s="300"/>
      <c r="P1909" s="300"/>
      <c r="Q1909" s="300"/>
      <c r="R1909" s="300"/>
      <c r="S1909" s="300"/>
      <c r="T1909" s="300"/>
      <c r="U1909" s="300"/>
      <c r="V1909" s="300"/>
      <c r="W1909" s="300"/>
      <c r="X1909" s="300"/>
      <c r="Y1909" s="300"/>
      <c r="Z1909" s="300"/>
    </row>
    <row r="1910" spans="1:26">
      <c r="A1910" s="215" t="s">
        <v>3244</v>
      </c>
      <c r="B1910" s="207">
        <v>735</v>
      </c>
      <c r="C1910" s="215" t="s">
        <v>10735</v>
      </c>
      <c r="D1910" s="215" t="s">
        <v>10736</v>
      </c>
      <c r="E1910" s="215" t="s">
        <v>10737</v>
      </c>
      <c r="F1910" s="215" t="s">
        <v>10689</v>
      </c>
      <c r="G1910" s="215" t="s">
        <v>10690</v>
      </c>
      <c r="H1910" s="215" t="s">
        <v>6521</v>
      </c>
      <c r="I1910" s="300"/>
      <c r="J1910" s="300"/>
      <c r="K1910" s="300"/>
      <c r="L1910" s="300"/>
      <c r="M1910" s="300"/>
      <c r="N1910" s="300"/>
      <c r="O1910" s="300"/>
      <c r="P1910" s="300"/>
      <c r="Q1910" s="300"/>
      <c r="R1910" s="300"/>
      <c r="S1910" s="300"/>
      <c r="T1910" s="300"/>
      <c r="U1910" s="300"/>
      <c r="V1910" s="300"/>
      <c r="W1910" s="300"/>
      <c r="X1910" s="300"/>
      <c r="Y1910" s="300"/>
      <c r="Z1910" s="300"/>
    </row>
    <row r="1911" spans="1:26">
      <c r="A1911" s="215" t="s">
        <v>3829</v>
      </c>
      <c r="B1911" s="207">
        <v>737</v>
      </c>
      <c r="C1911" s="215" t="s">
        <v>10738</v>
      </c>
      <c r="D1911" s="215" t="s">
        <v>10739</v>
      </c>
      <c r="E1911" s="215" t="s">
        <v>10740</v>
      </c>
      <c r="F1911" s="215" t="s">
        <v>10689</v>
      </c>
      <c r="G1911" s="215" t="s">
        <v>10690</v>
      </c>
      <c r="H1911" s="215" t="s">
        <v>6497</v>
      </c>
      <c r="I1911" s="300"/>
      <c r="J1911" s="300"/>
      <c r="K1911" s="300"/>
      <c r="L1911" s="300"/>
      <c r="M1911" s="300"/>
      <c r="N1911" s="300"/>
      <c r="O1911" s="300"/>
      <c r="P1911" s="300"/>
      <c r="Q1911" s="300"/>
      <c r="R1911" s="300"/>
      <c r="S1911" s="300"/>
      <c r="T1911" s="300"/>
      <c r="U1911" s="300"/>
      <c r="V1911" s="300"/>
      <c r="W1911" s="300"/>
      <c r="X1911" s="300"/>
      <c r="Y1911" s="300"/>
      <c r="Z1911" s="300"/>
    </row>
    <row r="1912" spans="1:26">
      <c r="A1912" s="215" t="s">
        <v>3856</v>
      </c>
      <c r="B1912" s="207">
        <v>738</v>
      </c>
      <c r="C1912" s="215" t="s">
        <v>5928</v>
      </c>
      <c r="D1912" s="215" t="s">
        <v>10741</v>
      </c>
      <c r="E1912" s="215" t="s">
        <v>10741</v>
      </c>
      <c r="F1912" s="215" t="s">
        <v>10689</v>
      </c>
      <c r="G1912" s="215" t="s">
        <v>10690</v>
      </c>
      <c r="H1912" s="215" t="s">
        <v>6504</v>
      </c>
      <c r="I1912" s="300"/>
      <c r="J1912" s="300"/>
      <c r="K1912" s="300"/>
      <c r="L1912" s="300"/>
      <c r="M1912" s="300"/>
      <c r="N1912" s="300"/>
      <c r="O1912" s="300"/>
      <c r="P1912" s="300"/>
      <c r="Q1912" s="300"/>
      <c r="R1912" s="300"/>
      <c r="S1912" s="300"/>
      <c r="T1912" s="300"/>
      <c r="U1912" s="300"/>
      <c r="V1912" s="300"/>
      <c r="W1912" s="300"/>
      <c r="X1912" s="300"/>
      <c r="Y1912" s="300"/>
      <c r="Z1912" s="300"/>
    </row>
    <row r="1913" spans="1:26">
      <c r="A1913" s="215" t="s">
        <v>2665</v>
      </c>
      <c r="B1913" s="207">
        <v>739</v>
      </c>
      <c r="C1913" s="215" t="s">
        <v>10742</v>
      </c>
      <c r="D1913" s="215" t="s">
        <v>10743</v>
      </c>
      <c r="E1913" s="215" t="s">
        <v>10744</v>
      </c>
      <c r="F1913" s="215" t="s">
        <v>10689</v>
      </c>
      <c r="G1913" s="215" t="s">
        <v>10690</v>
      </c>
      <c r="H1913" s="215" t="s">
        <v>6504</v>
      </c>
      <c r="I1913" s="300"/>
      <c r="J1913" s="300"/>
      <c r="K1913" s="300"/>
      <c r="L1913" s="300"/>
      <c r="M1913" s="300"/>
      <c r="N1913" s="300"/>
      <c r="O1913" s="300"/>
      <c r="P1913" s="300"/>
      <c r="Q1913" s="300"/>
      <c r="R1913" s="300"/>
      <c r="S1913" s="300"/>
      <c r="T1913" s="300"/>
      <c r="U1913" s="300"/>
      <c r="V1913" s="300"/>
      <c r="W1913" s="300"/>
      <c r="X1913" s="300"/>
      <c r="Y1913" s="300"/>
      <c r="Z1913" s="300"/>
    </row>
    <row r="1914" spans="1:26">
      <c r="A1914" s="215" t="s">
        <v>7236</v>
      </c>
      <c r="B1914" s="207">
        <v>741</v>
      </c>
      <c r="C1914" s="215" t="s">
        <v>10745</v>
      </c>
      <c r="D1914" s="215" t="s">
        <v>10746</v>
      </c>
      <c r="E1914" s="215" t="s">
        <v>10747</v>
      </c>
      <c r="F1914" s="215" t="s">
        <v>10689</v>
      </c>
      <c r="G1914" s="215" t="s">
        <v>10690</v>
      </c>
      <c r="H1914" s="215" t="s">
        <v>6521</v>
      </c>
      <c r="I1914" s="300"/>
      <c r="J1914" s="300"/>
      <c r="K1914" s="300"/>
      <c r="L1914" s="300"/>
      <c r="M1914" s="300"/>
      <c r="N1914" s="300"/>
      <c r="O1914" s="300"/>
      <c r="P1914" s="300"/>
      <c r="Q1914" s="300"/>
      <c r="R1914" s="300"/>
      <c r="S1914" s="300"/>
      <c r="T1914" s="300"/>
      <c r="U1914" s="300"/>
      <c r="V1914" s="300"/>
      <c r="W1914" s="300"/>
      <c r="X1914" s="300"/>
      <c r="Y1914" s="300"/>
      <c r="Z1914" s="300"/>
    </row>
    <row r="1915" spans="1:26">
      <c r="A1915" s="215" t="s">
        <v>2925</v>
      </c>
      <c r="B1915" s="207">
        <v>743</v>
      </c>
      <c r="C1915" s="215" t="s">
        <v>5082</v>
      </c>
      <c r="D1915" s="215" t="s">
        <v>10748</v>
      </c>
      <c r="E1915" s="215" t="s">
        <v>10748</v>
      </c>
      <c r="F1915" s="215" t="s">
        <v>10689</v>
      </c>
      <c r="G1915" s="215" t="s">
        <v>10690</v>
      </c>
      <c r="H1915" s="215" t="s">
        <v>6500</v>
      </c>
      <c r="I1915" s="300"/>
      <c r="J1915" s="300"/>
      <c r="K1915" s="300"/>
      <c r="L1915" s="300"/>
      <c r="M1915" s="300"/>
      <c r="N1915" s="300"/>
      <c r="O1915" s="300"/>
      <c r="P1915" s="300"/>
      <c r="Q1915" s="300"/>
      <c r="R1915" s="300"/>
      <c r="S1915" s="300"/>
      <c r="T1915" s="300"/>
      <c r="U1915" s="300"/>
      <c r="V1915" s="300"/>
      <c r="W1915" s="300"/>
      <c r="X1915" s="300"/>
      <c r="Y1915" s="300"/>
      <c r="Z1915" s="300"/>
    </row>
    <row r="1916" spans="1:26">
      <c r="A1916" s="215" t="s">
        <v>3016</v>
      </c>
      <c r="B1916" s="207">
        <v>744</v>
      </c>
      <c r="C1916" s="215" t="s">
        <v>10749</v>
      </c>
      <c r="D1916" s="215" t="s">
        <v>10750</v>
      </c>
      <c r="E1916" s="215" t="s">
        <v>10751</v>
      </c>
      <c r="F1916" s="215" t="s">
        <v>10689</v>
      </c>
      <c r="G1916" s="215" t="s">
        <v>10690</v>
      </c>
      <c r="H1916" s="215" t="s">
        <v>6500</v>
      </c>
      <c r="I1916" s="300"/>
      <c r="J1916" s="300"/>
      <c r="K1916" s="300"/>
      <c r="L1916" s="300"/>
      <c r="M1916" s="300"/>
      <c r="N1916" s="300"/>
      <c r="O1916" s="300"/>
      <c r="P1916" s="300"/>
      <c r="Q1916" s="300"/>
      <c r="R1916" s="300"/>
      <c r="S1916" s="300"/>
      <c r="T1916" s="300"/>
      <c r="U1916" s="300"/>
      <c r="V1916" s="300"/>
      <c r="W1916" s="300"/>
      <c r="X1916" s="300"/>
      <c r="Y1916" s="300"/>
      <c r="Z1916" s="300"/>
    </row>
    <row r="1917" spans="1:26">
      <c r="A1917" s="215" t="s">
        <v>3594</v>
      </c>
      <c r="B1917" s="207">
        <v>745</v>
      </c>
      <c r="C1917" s="215" t="s">
        <v>10752</v>
      </c>
      <c r="D1917" s="215" t="s">
        <v>10753</v>
      </c>
      <c r="E1917" s="215" t="s">
        <v>10754</v>
      </c>
      <c r="F1917" s="215" t="s">
        <v>10689</v>
      </c>
      <c r="G1917" s="215" t="s">
        <v>10690</v>
      </c>
      <c r="H1917" s="215" t="s">
        <v>6521</v>
      </c>
      <c r="I1917" s="300"/>
      <c r="J1917" s="300"/>
      <c r="K1917" s="300"/>
      <c r="L1917" s="300"/>
      <c r="M1917" s="300"/>
      <c r="N1917" s="300"/>
      <c r="O1917" s="300"/>
      <c r="P1917" s="300"/>
      <c r="Q1917" s="300"/>
      <c r="R1917" s="300"/>
      <c r="S1917" s="300"/>
      <c r="T1917" s="300"/>
      <c r="U1917" s="300"/>
      <c r="V1917" s="300"/>
      <c r="W1917" s="300"/>
      <c r="X1917" s="300"/>
      <c r="Y1917" s="300"/>
      <c r="Z1917" s="300"/>
    </row>
    <row r="1918" spans="1:26">
      <c r="A1918" s="215" t="s">
        <v>3335</v>
      </c>
      <c r="B1918" s="207">
        <v>746</v>
      </c>
      <c r="C1918" s="215" t="s">
        <v>5460</v>
      </c>
      <c r="D1918" s="215" t="s">
        <v>10755</v>
      </c>
      <c r="E1918" s="215" t="s">
        <v>10755</v>
      </c>
      <c r="F1918" s="215" t="s">
        <v>10689</v>
      </c>
      <c r="G1918" s="215" t="s">
        <v>10690</v>
      </c>
      <c r="H1918" s="215" t="s">
        <v>6504</v>
      </c>
      <c r="I1918" s="300"/>
      <c r="J1918" s="300"/>
      <c r="K1918" s="300"/>
      <c r="L1918" s="300"/>
      <c r="M1918" s="300"/>
      <c r="N1918" s="300"/>
      <c r="O1918" s="300"/>
      <c r="P1918" s="300"/>
      <c r="Q1918" s="300"/>
      <c r="R1918" s="300"/>
      <c r="S1918" s="300"/>
      <c r="T1918" s="300"/>
      <c r="U1918" s="300"/>
      <c r="V1918" s="300"/>
      <c r="W1918" s="300"/>
      <c r="X1918" s="300"/>
      <c r="Y1918" s="300"/>
      <c r="Z1918" s="300"/>
    </row>
    <row r="1919" spans="1:26">
      <c r="A1919" s="215" t="s">
        <v>2923</v>
      </c>
      <c r="B1919" s="207">
        <v>747</v>
      </c>
      <c r="C1919" s="215" t="s">
        <v>5081</v>
      </c>
      <c r="D1919" s="215" t="s">
        <v>10756</v>
      </c>
      <c r="E1919" s="215" t="s">
        <v>10757</v>
      </c>
      <c r="F1919" s="215" t="s">
        <v>10689</v>
      </c>
      <c r="G1919" s="215" t="s">
        <v>10690</v>
      </c>
      <c r="H1919" s="215" t="s">
        <v>6500</v>
      </c>
      <c r="I1919" s="300"/>
      <c r="J1919" s="300"/>
      <c r="K1919" s="300"/>
      <c r="L1919" s="300"/>
      <c r="M1919" s="300"/>
      <c r="N1919" s="300"/>
      <c r="O1919" s="300"/>
      <c r="P1919" s="300"/>
      <c r="Q1919" s="300"/>
      <c r="R1919" s="300"/>
      <c r="S1919" s="300"/>
      <c r="T1919" s="300"/>
      <c r="U1919" s="300"/>
      <c r="V1919" s="300"/>
      <c r="W1919" s="300"/>
      <c r="X1919" s="300"/>
      <c r="Y1919" s="300"/>
      <c r="Z1919" s="300"/>
    </row>
    <row r="1920" spans="1:26">
      <c r="A1920" s="215" t="s">
        <v>3795</v>
      </c>
      <c r="B1920" s="207">
        <v>748</v>
      </c>
      <c r="C1920" s="215" t="s">
        <v>5869</v>
      </c>
      <c r="D1920" s="215" t="s">
        <v>10758</v>
      </c>
      <c r="E1920" s="215" t="s">
        <v>10758</v>
      </c>
      <c r="F1920" s="215" t="s">
        <v>10689</v>
      </c>
      <c r="G1920" s="215" t="s">
        <v>10690</v>
      </c>
      <c r="H1920" s="215" t="s">
        <v>6504</v>
      </c>
      <c r="I1920" s="300"/>
      <c r="J1920" s="300"/>
      <c r="K1920" s="300"/>
      <c r="L1920" s="300"/>
      <c r="M1920" s="300"/>
      <c r="N1920" s="300"/>
      <c r="O1920" s="300"/>
      <c r="P1920" s="300"/>
      <c r="Q1920" s="300"/>
      <c r="R1920" s="300"/>
      <c r="S1920" s="300"/>
      <c r="T1920" s="300"/>
      <c r="U1920" s="300"/>
      <c r="V1920" s="300"/>
      <c r="W1920" s="300"/>
      <c r="X1920" s="300"/>
      <c r="Y1920" s="300"/>
      <c r="Z1920" s="300"/>
    </row>
    <row r="1921" spans="1:26">
      <c r="A1921" s="215" t="s">
        <v>2924</v>
      </c>
      <c r="B1921" s="207">
        <v>749</v>
      </c>
      <c r="C1921" s="215" t="s">
        <v>10759</v>
      </c>
      <c r="D1921" s="215" t="s">
        <v>10760</v>
      </c>
      <c r="E1921" s="215" t="s">
        <v>10761</v>
      </c>
      <c r="F1921" s="215" t="s">
        <v>10689</v>
      </c>
      <c r="G1921" s="215" t="s">
        <v>10690</v>
      </c>
      <c r="H1921" s="215" t="s">
        <v>6500</v>
      </c>
      <c r="I1921" s="300"/>
      <c r="J1921" s="300"/>
      <c r="K1921" s="300"/>
      <c r="L1921" s="300"/>
      <c r="M1921" s="300"/>
      <c r="N1921" s="300"/>
      <c r="O1921" s="300"/>
      <c r="P1921" s="300"/>
      <c r="Q1921" s="300"/>
      <c r="R1921" s="300"/>
      <c r="S1921" s="300"/>
      <c r="T1921" s="300"/>
      <c r="U1921" s="300"/>
      <c r="V1921" s="300"/>
      <c r="W1921" s="300"/>
      <c r="X1921" s="300"/>
      <c r="Y1921" s="300"/>
      <c r="Z1921" s="300"/>
    </row>
    <row r="1922" spans="1:26">
      <c r="A1922" s="215" t="s">
        <v>3593</v>
      </c>
      <c r="B1922" s="207">
        <v>750</v>
      </c>
      <c r="C1922" s="215" t="s">
        <v>5694</v>
      </c>
      <c r="D1922" s="215" t="s">
        <v>10762</v>
      </c>
      <c r="E1922" s="215" t="s">
        <v>10762</v>
      </c>
      <c r="F1922" s="215" t="s">
        <v>10689</v>
      </c>
      <c r="G1922" s="215" t="s">
        <v>10690</v>
      </c>
      <c r="H1922" s="215" t="s">
        <v>6504</v>
      </c>
      <c r="I1922" s="300"/>
      <c r="J1922" s="300"/>
      <c r="K1922" s="300"/>
      <c r="L1922" s="300"/>
      <c r="M1922" s="300"/>
      <c r="N1922" s="300"/>
      <c r="O1922" s="300"/>
      <c r="P1922" s="300"/>
      <c r="Q1922" s="300"/>
      <c r="R1922" s="300"/>
      <c r="S1922" s="300"/>
      <c r="T1922" s="300"/>
      <c r="U1922" s="300"/>
      <c r="V1922" s="300"/>
      <c r="W1922" s="300"/>
      <c r="X1922" s="300"/>
      <c r="Y1922" s="300"/>
      <c r="Z1922" s="300"/>
    </row>
    <row r="1923" spans="1:26">
      <c r="A1923" s="215" t="s">
        <v>2664</v>
      </c>
      <c r="B1923" s="207">
        <v>752</v>
      </c>
      <c r="C1923" s="215" t="s">
        <v>4836</v>
      </c>
      <c r="D1923" s="215" t="s">
        <v>10763</v>
      </c>
      <c r="E1923" s="215" t="s">
        <v>10763</v>
      </c>
      <c r="F1923" s="215" t="s">
        <v>10689</v>
      </c>
      <c r="G1923" s="215" t="s">
        <v>10690</v>
      </c>
      <c r="H1923" s="215" t="s">
        <v>6504</v>
      </c>
      <c r="I1923" s="300"/>
      <c r="J1923" s="300"/>
      <c r="K1923" s="300"/>
      <c r="L1923" s="300"/>
      <c r="M1923" s="300"/>
      <c r="N1923" s="300"/>
      <c r="O1923" s="300"/>
      <c r="P1923" s="300"/>
      <c r="Q1923" s="300"/>
      <c r="R1923" s="300"/>
      <c r="S1923" s="300"/>
      <c r="T1923" s="300"/>
      <c r="U1923" s="300"/>
      <c r="V1923" s="300"/>
      <c r="W1923" s="300"/>
      <c r="X1923" s="300"/>
      <c r="Y1923" s="300"/>
      <c r="Z1923" s="300"/>
    </row>
    <row r="1924" spans="1:26">
      <c r="A1924" s="215" t="s">
        <v>10764</v>
      </c>
      <c r="B1924" s="207">
        <v>753</v>
      </c>
      <c r="C1924" s="215" t="s">
        <v>5402</v>
      </c>
      <c r="D1924" s="215" t="s">
        <v>10765</v>
      </c>
      <c r="E1924" s="215" t="s">
        <v>10765</v>
      </c>
      <c r="F1924" s="215" t="s">
        <v>10689</v>
      </c>
      <c r="G1924" s="215" t="s">
        <v>10690</v>
      </c>
      <c r="H1924" s="215" t="s">
        <v>6497</v>
      </c>
      <c r="I1924" s="300"/>
      <c r="J1924" s="300"/>
      <c r="K1924" s="300"/>
      <c r="L1924" s="300"/>
      <c r="M1924" s="300"/>
      <c r="N1924" s="300"/>
      <c r="O1924" s="300"/>
      <c r="P1924" s="300"/>
      <c r="Q1924" s="300"/>
      <c r="R1924" s="300"/>
      <c r="S1924" s="300"/>
      <c r="T1924" s="300"/>
      <c r="U1924" s="300"/>
      <c r="V1924" s="300"/>
      <c r="W1924" s="300"/>
      <c r="X1924" s="300"/>
      <c r="Y1924" s="300"/>
      <c r="Z1924" s="300"/>
    </row>
    <row r="1925" spans="1:26">
      <c r="A1925" s="215" t="s">
        <v>4528</v>
      </c>
      <c r="B1925" s="207">
        <v>754</v>
      </c>
      <c r="C1925" s="215" t="s">
        <v>6441</v>
      </c>
      <c r="D1925" s="215" t="s">
        <v>10766</v>
      </c>
      <c r="E1925" s="215" t="s">
        <v>10766</v>
      </c>
      <c r="F1925" s="215" t="s">
        <v>10689</v>
      </c>
      <c r="G1925" s="215" t="s">
        <v>10690</v>
      </c>
      <c r="H1925" s="215" t="s">
        <v>6548</v>
      </c>
      <c r="I1925" s="300"/>
      <c r="J1925" s="300"/>
      <c r="K1925" s="300"/>
      <c r="L1925" s="300"/>
      <c r="M1925" s="300"/>
      <c r="N1925" s="300"/>
      <c r="O1925" s="300"/>
      <c r="P1925" s="300"/>
      <c r="Q1925" s="300"/>
      <c r="R1925" s="300"/>
      <c r="S1925" s="300"/>
      <c r="T1925" s="300"/>
      <c r="U1925" s="300"/>
      <c r="V1925" s="300"/>
      <c r="W1925" s="300"/>
      <c r="X1925" s="300"/>
      <c r="Y1925" s="300"/>
      <c r="Z1925" s="300"/>
    </row>
    <row r="1926" spans="1:26">
      <c r="A1926" s="215" t="s">
        <v>3945</v>
      </c>
      <c r="B1926" s="207">
        <v>962</v>
      </c>
      <c r="C1926" s="215" t="s">
        <v>5984</v>
      </c>
      <c r="D1926" s="215" t="s">
        <v>10767</v>
      </c>
      <c r="E1926" s="215" t="s">
        <v>10767</v>
      </c>
      <c r="F1926" s="215" t="s">
        <v>10689</v>
      </c>
      <c r="G1926" s="215" t="s">
        <v>10690</v>
      </c>
      <c r="H1926" s="215" t="s">
        <v>6548</v>
      </c>
      <c r="I1926" s="300"/>
      <c r="J1926" s="300"/>
      <c r="K1926" s="300"/>
      <c r="L1926" s="300"/>
      <c r="M1926" s="300"/>
      <c r="N1926" s="300"/>
      <c r="O1926" s="300"/>
      <c r="P1926" s="300"/>
      <c r="Q1926" s="300"/>
      <c r="R1926" s="300"/>
      <c r="S1926" s="300"/>
      <c r="T1926" s="300"/>
      <c r="U1926" s="300"/>
      <c r="V1926" s="300"/>
      <c r="W1926" s="300"/>
      <c r="X1926" s="300"/>
      <c r="Y1926" s="300"/>
      <c r="Z1926" s="300"/>
    </row>
    <row r="1927" spans="1:26">
      <c r="A1927" s="215" t="s">
        <v>3991</v>
      </c>
      <c r="B1927" s="207">
        <v>989</v>
      </c>
      <c r="C1927" s="215" t="s">
        <v>10768</v>
      </c>
      <c r="D1927" s="215" t="s">
        <v>10769</v>
      </c>
      <c r="E1927" s="215" t="s">
        <v>10770</v>
      </c>
      <c r="F1927" s="215" t="s">
        <v>10689</v>
      </c>
      <c r="G1927" s="215" t="s">
        <v>10690</v>
      </c>
      <c r="H1927" s="215" t="s">
        <v>6500</v>
      </c>
      <c r="I1927" s="300"/>
      <c r="J1927" s="300"/>
      <c r="K1927" s="300"/>
      <c r="L1927" s="300"/>
      <c r="M1927" s="300"/>
      <c r="N1927" s="300"/>
      <c r="O1927" s="300"/>
      <c r="P1927" s="300"/>
      <c r="Q1927" s="300"/>
      <c r="R1927" s="300"/>
      <c r="S1927" s="300"/>
      <c r="T1927" s="300"/>
      <c r="U1927" s="300"/>
      <c r="V1927" s="300"/>
      <c r="W1927" s="300"/>
      <c r="X1927" s="300"/>
      <c r="Y1927" s="300"/>
      <c r="Z1927" s="300"/>
    </row>
    <row r="1928" spans="1:26">
      <c r="A1928" s="215" t="s">
        <v>3984</v>
      </c>
      <c r="B1928" s="207">
        <v>996</v>
      </c>
      <c r="C1928" s="215" t="s">
        <v>10771</v>
      </c>
      <c r="D1928" s="215" t="s">
        <v>10772</v>
      </c>
      <c r="E1928" s="215" t="s">
        <v>10772</v>
      </c>
      <c r="F1928" s="215" t="s">
        <v>10689</v>
      </c>
      <c r="G1928" s="215" t="s">
        <v>10690</v>
      </c>
      <c r="H1928" s="215" t="s">
        <v>6497</v>
      </c>
      <c r="I1928" s="300"/>
      <c r="J1928" s="300"/>
      <c r="K1928" s="300"/>
      <c r="L1928" s="300"/>
      <c r="M1928" s="300"/>
      <c r="N1928" s="300"/>
      <c r="O1928" s="300"/>
      <c r="P1928" s="300"/>
      <c r="Q1928" s="300"/>
      <c r="R1928" s="300"/>
      <c r="S1928" s="300"/>
      <c r="T1928" s="300"/>
      <c r="U1928" s="300"/>
      <c r="V1928" s="300"/>
      <c r="W1928" s="300"/>
      <c r="X1928" s="300"/>
      <c r="Y1928" s="300"/>
      <c r="Z1928" s="300"/>
    </row>
    <row r="1929" spans="1:26">
      <c r="A1929" s="215" t="s">
        <v>10773</v>
      </c>
      <c r="B1929" s="207">
        <v>997</v>
      </c>
      <c r="C1929" s="215" t="s">
        <v>10774</v>
      </c>
      <c r="D1929" s="215" t="s">
        <v>10775</v>
      </c>
      <c r="E1929" s="215" t="s">
        <v>10776</v>
      </c>
      <c r="F1929" s="215" t="s">
        <v>10689</v>
      </c>
      <c r="G1929" s="215" t="s">
        <v>10690</v>
      </c>
      <c r="H1929" s="215" t="s">
        <v>6500</v>
      </c>
      <c r="I1929" s="300"/>
      <c r="J1929" s="300"/>
      <c r="K1929" s="300"/>
      <c r="L1929" s="300"/>
      <c r="M1929" s="300"/>
      <c r="N1929" s="300"/>
      <c r="O1929" s="300"/>
      <c r="P1929" s="300"/>
      <c r="Q1929" s="300"/>
      <c r="R1929" s="300"/>
      <c r="S1929" s="300"/>
      <c r="T1929" s="300"/>
      <c r="U1929" s="300"/>
      <c r="V1929" s="300"/>
      <c r="W1929" s="300"/>
      <c r="X1929" s="300"/>
      <c r="Y1929" s="300"/>
      <c r="Z1929" s="300"/>
    </row>
    <row r="1930" spans="1:26">
      <c r="A1930" s="215" t="s">
        <v>10777</v>
      </c>
      <c r="B1930" s="207">
        <v>998</v>
      </c>
      <c r="C1930" s="215" t="s">
        <v>10778</v>
      </c>
      <c r="D1930" s="215" t="s">
        <v>10779</v>
      </c>
      <c r="E1930" s="215" t="s">
        <v>10780</v>
      </c>
      <c r="F1930" s="215" t="s">
        <v>10689</v>
      </c>
      <c r="G1930" s="215" t="s">
        <v>10690</v>
      </c>
      <c r="H1930" s="215" t="s">
        <v>6504</v>
      </c>
      <c r="I1930" s="300"/>
      <c r="J1930" s="300"/>
      <c r="K1930" s="300"/>
      <c r="L1930" s="300"/>
      <c r="M1930" s="300"/>
      <c r="N1930" s="300"/>
      <c r="O1930" s="300"/>
      <c r="P1930" s="300"/>
      <c r="Q1930" s="300"/>
      <c r="R1930" s="300"/>
      <c r="S1930" s="300"/>
      <c r="T1930" s="300"/>
      <c r="U1930" s="300"/>
      <c r="V1930" s="300"/>
      <c r="W1930" s="300"/>
      <c r="X1930" s="300"/>
      <c r="Y1930" s="300"/>
      <c r="Z1930" s="300"/>
    </row>
    <row r="1931" spans="1:26">
      <c r="A1931" s="215" t="s">
        <v>10781</v>
      </c>
      <c r="B1931" s="207">
        <v>999</v>
      </c>
      <c r="C1931" s="215" t="s">
        <v>6020</v>
      </c>
      <c r="D1931" s="215" t="s">
        <v>10782</v>
      </c>
      <c r="E1931" s="215" t="s">
        <v>10783</v>
      </c>
      <c r="F1931" s="215" t="s">
        <v>10689</v>
      </c>
      <c r="G1931" s="215" t="s">
        <v>10690</v>
      </c>
      <c r="H1931" s="215" t="s">
        <v>6504</v>
      </c>
      <c r="I1931" s="300"/>
      <c r="J1931" s="300"/>
      <c r="K1931" s="300"/>
      <c r="L1931" s="300"/>
      <c r="M1931" s="300"/>
      <c r="N1931" s="300"/>
      <c r="O1931" s="300"/>
      <c r="P1931" s="300"/>
      <c r="Q1931" s="300"/>
      <c r="R1931" s="300"/>
      <c r="S1931" s="300"/>
      <c r="T1931" s="300"/>
      <c r="U1931" s="300"/>
      <c r="V1931" s="300"/>
      <c r="W1931" s="300"/>
      <c r="X1931" s="300"/>
      <c r="Y1931" s="300"/>
      <c r="Z1931" s="300"/>
    </row>
    <row r="1932" spans="1:26">
      <c r="A1932" s="215" t="s">
        <v>10784</v>
      </c>
      <c r="B1932" s="207">
        <v>1012</v>
      </c>
      <c r="C1932" s="215" t="s">
        <v>10785</v>
      </c>
      <c r="D1932" s="215" t="s">
        <v>10786</v>
      </c>
      <c r="E1932" s="215" t="s">
        <v>10786</v>
      </c>
      <c r="F1932" s="215" t="s">
        <v>10689</v>
      </c>
      <c r="G1932" s="215" t="s">
        <v>10690</v>
      </c>
      <c r="H1932" s="215" t="s">
        <v>6504</v>
      </c>
      <c r="I1932" s="300"/>
      <c r="J1932" s="300"/>
      <c r="K1932" s="300"/>
      <c r="L1932" s="300"/>
      <c r="M1932" s="300"/>
      <c r="N1932" s="300"/>
      <c r="O1932" s="300"/>
      <c r="P1932" s="300"/>
      <c r="Q1932" s="300"/>
      <c r="R1932" s="300"/>
      <c r="S1932" s="300"/>
      <c r="T1932" s="300"/>
      <c r="U1932" s="300"/>
      <c r="V1932" s="300"/>
      <c r="W1932" s="300"/>
      <c r="X1932" s="300"/>
      <c r="Y1932" s="300"/>
      <c r="Z1932" s="300"/>
    </row>
    <row r="1933" spans="1:26">
      <c r="A1933" s="215" t="s">
        <v>3992</v>
      </c>
      <c r="B1933" s="207">
        <v>1013</v>
      </c>
      <c r="C1933" s="215" t="s">
        <v>10787</v>
      </c>
      <c r="D1933" s="215" t="s">
        <v>10788</v>
      </c>
      <c r="E1933" s="215" t="s">
        <v>10789</v>
      </c>
      <c r="F1933" s="215" t="s">
        <v>10689</v>
      </c>
      <c r="G1933" s="215" t="s">
        <v>10690</v>
      </c>
      <c r="H1933" s="215" t="s">
        <v>6521</v>
      </c>
      <c r="I1933" s="300"/>
      <c r="J1933" s="300"/>
      <c r="K1933" s="300"/>
      <c r="L1933" s="300"/>
      <c r="M1933" s="300"/>
      <c r="N1933" s="300"/>
      <c r="O1933" s="300"/>
      <c r="P1933" s="300"/>
      <c r="Q1933" s="300"/>
      <c r="R1933" s="300"/>
      <c r="S1933" s="300"/>
      <c r="T1933" s="300"/>
      <c r="U1933" s="300"/>
      <c r="V1933" s="300"/>
      <c r="W1933" s="300"/>
      <c r="X1933" s="300"/>
      <c r="Y1933" s="300"/>
      <c r="Z1933" s="300"/>
    </row>
    <row r="1934" spans="1:26">
      <c r="A1934" s="215" t="s">
        <v>10790</v>
      </c>
      <c r="B1934" s="207">
        <v>1014</v>
      </c>
      <c r="C1934" s="215" t="s">
        <v>10791</v>
      </c>
      <c r="D1934" s="215" t="s">
        <v>10792</v>
      </c>
      <c r="E1934" s="215" t="s">
        <v>10792</v>
      </c>
      <c r="F1934" s="215" t="s">
        <v>10689</v>
      </c>
      <c r="G1934" s="215" t="s">
        <v>10690</v>
      </c>
      <c r="H1934" s="215" t="s">
        <v>6504</v>
      </c>
      <c r="I1934" s="300"/>
      <c r="J1934" s="300"/>
      <c r="K1934" s="300"/>
      <c r="L1934" s="300"/>
      <c r="M1934" s="300"/>
      <c r="N1934" s="300"/>
      <c r="O1934" s="300"/>
      <c r="P1934" s="300"/>
      <c r="Q1934" s="300"/>
      <c r="R1934" s="300"/>
      <c r="S1934" s="300"/>
      <c r="T1934" s="300"/>
      <c r="U1934" s="300"/>
      <c r="V1934" s="300"/>
      <c r="W1934" s="300"/>
      <c r="X1934" s="300"/>
      <c r="Y1934" s="300"/>
      <c r="Z1934" s="300"/>
    </row>
    <row r="1935" spans="1:26">
      <c r="A1935" s="215" t="s">
        <v>10793</v>
      </c>
      <c r="B1935" s="207">
        <v>1015</v>
      </c>
      <c r="C1935" s="215" t="s">
        <v>10794</v>
      </c>
      <c r="D1935" s="215" t="s">
        <v>10795</v>
      </c>
      <c r="E1935" s="215" t="s">
        <v>10796</v>
      </c>
      <c r="F1935" s="215" t="s">
        <v>10689</v>
      </c>
      <c r="G1935" s="215" t="s">
        <v>10690</v>
      </c>
      <c r="H1935" s="215" t="s">
        <v>6521</v>
      </c>
      <c r="I1935" s="300"/>
      <c r="J1935" s="300"/>
      <c r="K1935" s="300"/>
      <c r="L1935" s="300"/>
      <c r="M1935" s="300"/>
      <c r="N1935" s="300"/>
      <c r="O1935" s="300"/>
      <c r="P1935" s="300"/>
      <c r="Q1935" s="300"/>
      <c r="R1935" s="300"/>
      <c r="S1935" s="300"/>
      <c r="T1935" s="300"/>
      <c r="U1935" s="300"/>
      <c r="V1935" s="300"/>
      <c r="W1935" s="300"/>
      <c r="X1935" s="300"/>
      <c r="Y1935" s="300"/>
      <c r="Z1935" s="300"/>
    </row>
    <row r="1936" spans="1:26">
      <c r="A1936" s="215" t="s">
        <v>10797</v>
      </c>
      <c r="B1936" s="207">
        <v>1709</v>
      </c>
      <c r="C1936" s="215" t="s">
        <v>4841</v>
      </c>
      <c r="D1936" s="215" t="s">
        <v>10798</v>
      </c>
      <c r="E1936" s="215" t="s">
        <v>10799</v>
      </c>
      <c r="F1936" s="215" t="s">
        <v>10689</v>
      </c>
      <c r="G1936" s="215" t="s">
        <v>10690</v>
      </c>
      <c r="H1936" s="215" t="s">
        <v>6500</v>
      </c>
      <c r="I1936" s="300"/>
      <c r="J1936" s="300"/>
      <c r="K1936" s="300"/>
      <c r="L1936" s="300"/>
      <c r="M1936" s="300"/>
      <c r="N1936" s="300"/>
      <c r="O1936" s="300"/>
      <c r="P1936" s="300"/>
      <c r="Q1936" s="300"/>
      <c r="R1936" s="300"/>
      <c r="S1936" s="300"/>
      <c r="T1936" s="300"/>
      <c r="U1936" s="300"/>
      <c r="V1936" s="300"/>
      <c r="W1936" s="300"/>
      <c r="X1936" s="300"/>
      <c r="Y1936" s="300"/>
      <c r="Z1936" s="300"/>
    </row>
    <row r="1937" spans="1:26">
      <c r="A1937" s="215" t="s">
        <v>4501</v>
      </c>
      <c r="B1937" s="207">
        <v>1908</v>
      </c>
      <c r="C1937" s="215" t="s">
        <v>6418</v>
      </c>
      <c r="D1937" s="215" t="s">
        <v>10800</v>
      </c>
      <c r="E1937" s="215" t="s">
        <v>10800</v>
      </c>
      <c r="F1937" s="215" t="s">
        <v>10689</v>
      </c>
      <c r="G1937" s="215" t="s">
        <v>10690</v>
      </c>
      <c r="H1937" s="215" t="s">
        <v>6500</v>
      </c>
      <c r="I1937" s="300"/>
      <c r="J1937" s="300"/>
      <c r="K1937" s="300"/>
      <c r="L1937" s="300"/>
      <c r="M1937" s="300"/>
      <c r="N1937" s="300"/>
      <c r="O1937" s="300"/>
      <c r="P1937" s="300"/>
      <c r="Q1937" s="300"/>
      <c r="R1937" s="300"/>
      <c r="S1937" s="300"/>
      <c r="T1937" s="300"/>
      <c r="U1937" s="300"/>
      <c r="V1937" s="300"/>
      <c r="W1937" s="300"/>
      <c r="X1937" s="300"/>
      <c r="Y1937" s="300"/>
      <c r="Z1937" s="300"/>
    </row>
    <row r="1938" spans="1:26">
      <c r="A1938" s="215" t="s">
        <v>3993</v>
      </c>
      <c r="B1938" s="207">
        <v>1945</v>
      </c>
      <c r="C1938" s="215" t="s">
        <v>10801</v>
      </c>
      <c r="D1938" s="215" t="s">
        <v>10802</v>
      </c>
      <c r="E1938" s="215" t="s">
        <v>10802</v>
      </c>
      <c r="F1938" s="215" t="s">
        <v>10689</v>
      </c>
      <c r="G1938" s="215" t="s">
        <v>10690</v>
      </c>
      <c r="H1938" s="215" t="s">
        <v>6497</v>
      </c>
      <c r="I1938" s="300"/>
      <c r="J1938" s="300"/>
      <c r="K1938" s="300"/>
      <c r="L1938" s="300"/>
      <c r="M1938" s="300"/>
      <c r="N1938" s="300"/>
      <c r="O1938" s="300"/>
      <c r="P1938" s="300"/>
      <c r="Q1938" s="300"/>
      <c r="R1938" s="300"/>
      <c r="S1938" s="300"/>
      <c r="T1938" s="300"/>
      <c r="U1938" s="300"/>
      <c r="V1938" s="300"/>
      <c r="W1938" s="300"/>
      <c r="X1938" s="300"/>
      <c r="Y1938" s="300"/>
      <c r="Z1938" s="300"/>
    </row>
    <row r="1939" spans="1:26">
      <c r="A1939" s="215" t="s">
        <v>3990</v>
      </c>
      <c r="B1939" s="207">
        <v>1946</v>
      </c>
      <c r="C1939" s="215" t="s">
        <v>10803</v>
      </c>
      <c r="D1939" s="215" t="s">
        <v>10804</v>
      </c>
      <c r="E1939" s="215" t="s">
        <v>10805</v>
      </c>
      <c r="F1939" s="215" t="s">
        <v>10689</v>
      </c>
      <c r="G1939" s="215" t="s">
        <v>10690</v>
      </c>
      <c r="H1939" s="215" t="s">
        <v>6497</v>
      </c>
      <c r="I1939" s="300"/>
      <c r="J1939" s="300"/>
      <c r="K1939" s="300"/>
      <c r="L1939" s="300"/>
      <c r="M1939" s="300"/>
      <c r="N1939" s="300"/>
      <c r="O1939" s="300"/>
      <c r="P1939" s="300"/>
      <c r="Q1939" s="300"/>
      <c r="R1939" s="300"/>
      <c r="S1939" s="300"/>
      <c r="T1939" s="300"/>
      <c r="U1939" s="300"/>
      <c r="V1939" s="300"/>
      <c r="W1939" s="300"/>
      <c r="X1939" s="300"/>
      <c r="Y1939" s="300"/>
      <c r="Z1939" s="300"/>
    </row>
    <row r="1940" spans="1:26">
      <c r="A1940" s="215" t="s">
        <v>2988</v>
      </c>
      <c r="B1940" s="207">
        <v>2058</v>
      </c>
      <c r="C1940" s="215" t="s">
        <v>5135</v>
      </c>
      <c r="D1940" s="215" t="s">
        <v>10806</v>
      </c>
      <c r="E1940" s="215" t="s">
        <v>10807</v>
      </c>
      <c r="F1940" s="215" t="s">
        <v>10689</v>
      </c>
      <c r="G1940" s="215" t="s">
        <v>10690</v>
      </c>
      <c r="H1940" s="215" t="s">
        <v>6500</v>
      </c>
      <c r="I1940" s="300"/>
      <c r="J1940" s="300"/>
      <c r="K1940" s="300"/>
      <c r="L1940" s="300"/>
      <c r="M1940" s="300"/>
      <c r="N1940" s="300"/>
      <c r="O1940" s="300"/>
      <c r="P1940" s="300"/>
      <c r="Q1940" s="300"/>
      <c r="R1940" s="300"/>
      <c r="S1940" s="300"/>
      <c r="T1940" s="300"/>
      <c r="U1940" s="300"/>
      <c r="V1940" s="300"/>
      <c r="W1940" s="300"/>
      <c r="X1940" s="300"/>
      <c r="Y1940" s="300"/>
      <c r="Z1940" s="300"/>
    </row>
    <row r="1941" spans="1:26">
      <c r="A1941" s="215" t="s">
        <v>10808</v>
      </c>
      <c r="B1941" s="207">
        <v>2091</v>
      </c>
      <c r="C1941" s="215" t="s">
        <v>10809</v>
      </c>
      <c r="D1941" s="215" t="s">
        <v>10810</v>
      </c>
      <c r="E1941" s="215" t="s">
        <v>10811</v>
      </c>
      <c r="F1941" s="215" t="s">
        <v>10812</v>
      </c>
      <c r="G1941" s="215" t="s">
        <v>10813</v>
      </c>
      <c r="H1941" s="215" t="s">
        <v>6548</v>
      </c>
      <c r="I1941" s="300"/>
      <c r="J1941" s="300"/>
      <c r="K1941" s="300"/>
      <c r="L1941" s="300"/>
      <c r="M1941" s="300"/>
      <c r="N1941" s="300"/>
      <c r="O1941" s="300"/>
      <c r="P1941" s="300"/>
      <c r="Q1941" s="300"/>
      <c r="R1941" s="300"/>
      <c r="S1941" s="300"/>
      <c r="T1941" s="300"/>
      <c r="U1941" s="300"/>
      <c r="V1941" s="300"/>
      <c r="W1941" s="300"/>
      <c r="X1941" s="300"/>
      <c r="Y1941" s="300"/>
      <c r="Z1941" s="300"/>
    </row>
    <row r="1942" spans="1:26">
      <c r="A1942" s="215" t="s">
        <v>2751</v>
      </c>
      <c r="B1942" s="207">
        <v>2164</v>
      </c>
      <c r="C1942" s="215" t="s">
        <v>10814</v>
      </c>
      <c r="D1942" s="215" t="s">
        <v>10815</v>
      </c>
      <c r="E1942" s="215" t="s">
        <v>10816</v>
      </c>
      <c r="F1942" s="215" t="s">
        <v>10812</v>
      </c>
      <c r="G1942" s="215" t="s">
        <v>10813</v>
      </c>
      <c r="H1942" s="215" t="s">
        <v>6497</v>
      </c>
      <c r="I1942" s="300"/>
      <c r="J1942" s="300"/>
      <c r="K1942" s="300"/>
      <c r="L1942" s="300"/>
      <c r="M1942" s="300"/>
      <c r="N1942" s="300"/>
      <c r="O1942" s="300"/>
      <c r="P1942" s="300"/>
      <c r="Q1942" s="300"/>
      <c r="R1942" s="300"/>
      <c r="S1942" s="300"/>
      <c r="T1942" s="300"/>
      <c r="U1942" s="300"/>
      <c r="V1942" s="300"/>
      <c r="W1942" s="300"/>
      <c r="X1942" s="300"/>
      <c r="Y1942" s="300"/>
      <c r="Z1942" s="300"/>
    </row>
    <row r="1943" spans="1:26">
      <c r="A1943" s="215" t="s">
        <v>2892</v>
      </c>
      <c r="B1943" s="207">
        <v>2166</v>
      </c>
      <c r="C1943" s="215" t="s">
        <v>2436</v>
      </c>
      <c r="D1943" s="215" t="s">
        <v>10817</v>
      </c>
      <c r="E1943" s="215" t="s">
        <v>10818</v>
      </c>
      <c r="F1943" s="215" t="s">
        <v>10812</v>
      </c>
      <c r="G1943" s="215" t="s">
        <v>10813</v>
      </c>
      <c r="H1943" s="215" t="s">
        <v>6500</v>
      </c>
      <c r="I1943" s="300"/>
      <c r="J1943" s="300"/>
      <c r="K1943" s="300"/>
      <c r="L1943" s="300"/>
      <c r="M1943" s="300"/>
      <c r="N1943" s="300"/>
      <c r="O1943" s="300"/>
      <c r="P1943" s="300"/>
      <c r="Q1943" s="300"/>
      <c r="R1943" s="300"/>
      <c r="S1943" s="300"/>
      <c r="T1943" s="300"/>
      <c r="U1943" s="300"/>
      <c r="V1943" s="300"/>
      <c r="W1943" s="300"/>
      <c r="X1943" s="300"/>
      <c r="Y1943" s="300"/>
      <c r="Z1943" s="300"/>
    </row>
    <row r="1944" spans="1:26">
      <c r="A1944" s="215" t="s">
        <v>2724</v>
      </c>
      <c r="B1944" s="207">
        <v>2167</v>
      </c>
      <c r="C1944" s="215" t="s">
        <v>4879</v>
      </c>
      <c r="D1944" s="215" t="s">
        <v>2720</v>
      </c>
      <c r="E1944" s="215" t="s">
        <v>2720</v>
      </c>
      <c r="F1944" s="215" t="s">
        <v>10812</v>
      </c>
      <c r="G1944" s="215" t="s">
        <v>10813</v>
      </c>
      <c r="H1944" s="215" t="s">
        <v>6548</v>
      </c>
      <c r="I1944" s="300"/>
      <c r="J1944" s="300"/>
      <c r="K1944" s="300"/>
      <c r="L1944" s="300"/>
      <c r="M1944" s="300"/>
      <c r="N1944" s="300"/>
      <c r="O1944" s="300"/>
      <c r="P1944" s="300"/>
      <c r="Q1944" s="300"/>
      <c r="R1944" s="300"/>
      <c r="S1944" s="300"/>
      <c r="T1944" s="300"/>
      <c r="U1944" s="300"/>
      <c r="V1944" s="300"/>
      <c r="W1944" s="300"/>
      <c r="X1944" s="300"/>
      <c r="Y1944" s="300"/>
      <c r="Z1944" s="300"/>
    </row>
    <row r="1945" spans="1:26">
      <c r="A1945" s="215" t="s">
        <v>2753</v>
      </c>
      <c r="B1945" s="207">
        <v>2168</v>
      </c>
      <c r="C1945" s="215" t="s">
        <v>10819</v>
      </c>
      <c r="D1945" s="215" t="s">
        <v>10820</v>
      </c>
      <c r="E1945" s="215" t="s">
        <v>10821</v>
      </c>
      <c r="F1945" s="215" t="s">
        <v>10812</v>
      </c>
      <c r="G1945" s="215" t="s">
        <v>10813</v>
      </c>
      <c r="H1945" s="215" t="s">
        <v>6504</v>
      </c>
      <c r="I1945" s="300"/>
      <c r="J1945" s="300"/>
      <c r="K1945" s="300"/>
      <c r="L1945" s="300"/>
      <c r="M1945" s="300"/>
      <c r="N1945" s="300"/>
      <c r="O1945" s="300"/>
      <c r="P1945" s="300"/>
      <c r="Q1945" s="300"/>
      <c r="R1945" s="300"/>
      <c r="S1945" s="300"/>
      <c r="T1945" s="300"/>
      <c r="U1945" s="300"/>
      <c r="V1945" s="300"/>
      <c r="W1945" s="300"/>
      <c r="X1945" s="300"/>
      <c r="Y1945" s="300"/>
      <c r="Z1945" s="300"/>
    </row>
    <row r="1946" spans="1:26">
      <c r="A1946" s="215" t="s">
        <v>2752</v>
      </c>
      <c r="B1946" s="207">
        <v>2169</v>
      </c>
      <c r="C1946" s="215" t="s">
        <v>4906</v>
      </c>
      <c r="D1946" s="215" t="s">
        <v>10822</v>
      </c>
      <c r="E1946" s="215" t="s">
        <v>10823</v>
      </c>
      <c r="F1946" s="215" t="s">
        <v>10812</v>
      </c>
      <c r="G1946" s="215" t="s">
        <v>10813</v>
      </c>
      <c r="H1946" s="215" t="s">
        <v>6500</v>
      </c>
      <c r="I1946" s="300"/>
      <c r="J1946" s="300"/>
      <c r="K1946" s="300"/>
      <c r="L1946" s="300"/>
      <c r="M1946" s="300"/>
      <c r="N1946" s="300"/>
      <c r="O1946" s="300"/>
      <c r="P1946" s="300"/>
      <c r="Q1946" s="300"/>
      <c r="R1946" s="300"/>
      <c r="S1946" s="300"/>
      <c r="T1946" s="300"/>
      <c r="U1946" s="300"/>
      <c r="V1946" s="300"/>
      <c r="W1946" s="300"/>
      <c r="X1946" s="300"/>
      <c r="Y1946" s="300"/>
      <c r="Z1946" s="300"/>
    </row>
    <row r="1947" spans="1:26">
      <c r="A1947" s="215" t="s">
        <v>2731</v>
      </c>
      <c r="B1947" s="207">
        <v>2170</v>
      </c>
      <c r="C1947" s="215" t="s">
        <v>4888</v>
      </c>
      <c r="D1947" s="215" t="s">
        <v>10824</v>
      </c>
      <c r="E1947" s="215" t="s">
        <v>10824</v>
      </c>
      <c r="F1947" s="215" t="s">
        <v>10812</v>
      </c>
      <c r="G1947" s="215" t="s">
        <v>10813</v>
      </c>
      <c r="H1947" s="215" t="s">
        <v>6548</v>
      </c>
      <c r="I1947" s="300"/>
      <c r="J1947" s="300"/>
      <c r="K1947" s="300"/>
      <c r="L1947" s="300"/>
      <c r="M1947" s="300"/>
      <c r="N1947" s="300"/>
      <c r="O1947" s="300"/>
      <c r="P1947" s="300"/>
      <c r="Q1947" s="300"/>
      <c r="R1947" s="300"/>
      <c r="S1947" s="300"/>
      <c r="T1947" s="300"/>
      <c r="U1947" s="300"/>
      <c r="V1947" s="300"/>
      <c r="W1947" s="300"/>
      <c r="X1947" s="300"/>
      <c r="Y1947" s="300"/>
      <c r="Z1947" s="300"/>
    </row>
    <row r="1948" spans="1:26">
      <c r="A1948" s="215" t="s">
        <v>2698</v>
      </c>
      <c r="B1948" s="207">
        <v>2171</v>
      </c>
      <c r="C1948" s="215" t="s">
        <v>10825</v>
      </c>
      <c r="D1948" s="215" t="s">
        <v>10826</v>
      </c>
      <c r="E1948" s="215" t="s">
        <v>10827</v>
      </c>
      <c r="F1948" s="215" t="s">
        <v>10812</v>
      </c>
      <c r="G1948" s="215" t="s">
        <v>10813</v>
      </c>
      <c r="H1948" s="215" t="s">
        <v>6504</v>
      </c>
      <c r="I1948" s="300"/>
      <c r="J1948" s="300"/>
      <c r="K1948" s="300"/>
      <c r="L1948" s="300"/>
      <c r="M1948" s="300"/>
      <c r="N1948" s="300"/>
      <c r="O1948" s="300"/>
      <c r="P1948" s="300"/>
      <c r="Q1948" s="300"/>
      <c r="R1948" s="300"/>
      <c r="S1948" s="300"/>
      <c r="T1948" s="300"/>
      <c r="U1948" s="300"/>
      <c r="V1948" s="300"/>
      <c r="W1948" s="300"/>
      <c r="X1948" s="300"/>
      <c r="Y1948" s="300"/>
      <c r="Z1948" s="300"/>
    </row>
    <row r="1949" spans="1:26">
      <c r="A1949" s="215" t="s">
        <v>2723</v>
      </c>
      <c r="B1949" s="207">
        <v>2199</v>
      </c>
      <c r="C1949" s="215" t="s">
        <v>10828</v>
      </c>
      <c r="D1949" s="215" t="s">
        <v>10829</v>
      </c>
      <c r="E1949" s="215" t="s">
        <v>10830</v>
      </c>
      <c r="F1949" s="215" t="s">
        <v>10812</v>
      </c>
      <c r="G1949" s="215" t="s">
        <v>10813</v>
      </c>
      <c r="H1949" s="215" t="s">
        <v>6500</v>
      </c>
      <c r="I1949" s="300"/>
      <c r="J1949" s="300"/>
      <c r="K1949" s="300"/>
      <c r="L1949" s="300"/>
      <c r="M1949" s="300"/>
      <c r="N1949" s="300"/>
      <c r="O1949" s="300"/>
      <c r="P1949" s="300"/>
      <c r="Q1949" s="300"/>
      <c r="R1949" s="300"/>
      <c r="S1949" s="300"/>
      <c r="T1949" s="300"/>
      <c r="U1949" s="300"/>
      <c r="V1949" s="300"/>
      <c r="W1949" s="300"/>
      <c r="X1949" s="300"/>
      <c r="Y1949" s="300"/>
      <c r="Z1949" s="300"/>
    </row>
    <row r="1950" spans="1:26">
      <c r="A1950" s="215" t="s">
        <v>2584</v>
      </c>
      <c r="B1950" s="207">
        <v>2200</v>
      </c>
      <c r="C1950" s="215" t="s">
        <v>4809</v>
      </c>
      <c r="D1950" s="215" t="s">
        <v>10831</v>
      </c>
      <c r="E1950" s="215" t="s">
        <v>10832</v>
      </c>
      <c r="F1950" s="215" t="s">
        <v>10812</v>
      </c>
      <c r="G1950" s="215" t="s">
        <v>10813</v>
      </c>
      <c r="H1950" s="215" t="s">
        <v>6497</v>
      </c>
      <c r="I1950" s="300"/>
      <c r="J1950" s="300"/>
      <c r="K1950" s="300"/>
      <c r="L1950" s="300"/>
      <c r="M1950" s="300"/>
      <c r="N1950" s="300"/>
      <c r="O1950" s="300"/>
      <c r="P1950" s="300"/>
      <c r="Q1950" s="300"/>
      <c r="R1950" s="300"/>
      <c r="S1950" s="300"/>
      <c r="T1950" s="300"/>
      <c r="U1950" s="300"/>
      <c r="V1950" s="300"/>
      <c r="W1950" s="300"/>
      <c r="X1950" s="300"/>
      <c r="Y1950" s="300"/>
      <c r="Z1950" s="300"/>
    </row>
    <row r="1951" spans="1:26">
      <c r="A1951" s="215" t="s">
        <v>3077</v>
      </c>
      <c r="B1951" s="207">
        <v>2201</v>
      </c>
      <c r="C1951" s="215" t="s">
        <v>10833</v>
      </c>
      <c r="D1951" s="215" t="s">
        <v>10834</v>
      </c>
      <c r="E1951" s="215" t="s">
        <v>10834</v>
      </c>
      <c r="F1951" s="215" t="s">
        <v>10812</v>
      </c>
      <c r="G1951" s="215" t="s">
        <v>10813</v>
      </c>
      <c r="H1951" s="215" t="s">
        <v>6548</v>
      </c>
      <c r="I1951" s="300"/>
      <c r="J1951" s="300"/>
      <c r="K1951" s="300"/>
      <c r="L1951" s="300"/>
      <c r="M1951" s="300"/>
      <c r="N1951" s="300"/>
      <c r="O1951" s="300"/>
      <c r="P1951" s="300"/>
      <c r="Q1951" s="300"/>
      <c r="R1951" s="300"/>
      <c r="S1951" s="300"/>
      <c r="T1951" s="300"/>
      <c r="U1951" s="300"/>
      <c r="V1951" s="300"/>
      <c r="W1951" s="300"/>
      <c r="X1951" s="300"/>
      <c r="Y1951" s="300"/>
      <c r="Z1951" s="300"/>
    </row>
    <row r="1952" spans="1:26">
      <c r="A1952" s="215" t="s">
        <v>3074</v>
      </c>
      <c r="B1952" s="207">
        <v>2212</v>
      </c>
      <c r="C1952" s="215" t="s">
        <v>5208</v>
      </c>
      <c r="D1952" s="215" t="s">
        <v>10835</v>
      </c>
      <c r="E1952" s="215" t="s">
        <v>10836</v>
      </c>
      <c r="F1952" s="215" t="s">
        <v>10812</v>
      </c>
      <c r="G1952" s="215" t="s">
        <v>10813</v>
      </c>
      <c r="H1952" s="215" t="s">
        <v>6497</v>
      </c>
      <c r="I1952" s="300"/>
      <c r="J1952" s="300"/>
      <c r="K1952" s="300"/>
      <c r="L1952" s="300"/>
      <c r="M1952" s="300"/>
      <c r="N1952" s="300"/>
      <c r="O1952" s="300"/>
      <c r="P1952" s="300"/>
      <c r="Q1952" s="300"/>
      <c r="R1952" s="300"/>
      <c r="S1952" s="300"/>
      <c r="T1952" s="300"/>
      <c r="U1952" s="300"/>
      <c r="V1952" s="300"/>
      <c r="W1952" s="300"/>
      <c r="X1952" s="300"/>
      <c r="Y1952" s="300"/>
      <c r="Z1952" s="300"/>
    </row>
    <row r="1953" spans="1:26">
      <c r="A1953" s="215" t="s">
        <v>2449</v>
      </c>
      <c r="B1953" s="207">
        <v>2213</v>
      </c>
      <c r="C1953" s="215" t="s">
        <v>10837</v>
      </c>
      <c r="D1953" s="215" t="s">
        <v>10838</v>
      </c>
      <c r="E1953" s="215" t="s">
        <v>10839</v>
      </c>
      <c r="F1953" s="215" t="s">
        <v>10812</v>
      </c>
      <c r="G1953" s="215" t="s">
        <v>10813</v>
      </c>
      <c r="H1953" s="215" t="s">
        <v>6504</v>
      </c>
      <c r="I1953" s="300"/>
      <c r="J1953" s="300"/>
      <c r="K1953" s="300"/>
      <c r="L1953" s="300"/>
      <c r="M1953" s="300"/>
      <c r="N1953" s="300"/>
      <c r="O1953" s="300"/>
      <c r="P1953" s="300"/>
      <c r="Q1953" s="300"/>
      <c r="R1953" s="300"/>
      <c r="S1953" s="300"/>
      <c r="T1953" s="300"/>
      <c r="U1953" s="300"/>
      <c r="V1953" s="300"/>
      <c r="W1953" s="300"/>
      <c r="X1953" s="300"/>
      <c r="Y1953" s="300"/>
      <c r="Z1953" s="300"/>
    </row>
    <row r="1954" spans="1:26">
      <c r="A1954" s="215" t="s">
        <v>2594</v>
      </c>
      <c r="B1954" s="207">
        <v>2214</v>
      </c>
      <c r="C1954" s="215" t="s">
        <v>10840</v>
      </c>
      <c r="D1954" s="215" t="s">
        <v>10841</v>
      </c>
      <c r="E1954" s="215" t="s">
        <v>10842</v>
      </c>
      <c r="F1954" s="215" t="s">
        <v>10812</v>
      </c>
      <c r="G1954" s="215" t="s">
        <v>10813</v>
      </c>
      <c r="H1954" s="215" t="s">
        <v>6521</v>
      </c>
      <c r="I1954" s="300"/>
      <c r="J1954" s="300"/>
      <c r="K1954" s="300"/>
      <c r="L1954" s="300"/>
      <c r="M1954" s="300"/>
      <c r="N1954" s="300"/>
      <c r="O1954" s="300"/>
      <c r="P1954" s="300"/>
      <c r="Q1954" s="300"/>
      <c r="R1954" s="300"/>
      <c r="S1954" s="300"/>
      <c r="T1954" s="300"/>
      <c r="U1954" s="300"/>
      <c r="V1954" s="300"/>
      <c r="W1954" s="300"/>
      <c r="X1954" s="300"/>
      <c r="Y1954" s="300"/>
      <c r="Z1954" s="300"/>
    </row>
    <row r="1955" spans="1:26">
      <c r="A1955" s="215" t="s">
        <v>3075</v>
      </c>
      <c r="B1955" s="207">
        <v>2234</v>
      </c>
      <c r="C1955" s="215" t="s">
        <v>10843</v>
      </c>
      <c r="D1955" s="215" t="s">
        <v>10844</v>
      </c>
      <c r="E1955" s="215" t="s">
        <v>10845</v>
      </c>
      <c r="F1955" s="215" t="s">
        <v>10812</v>
      </c>
      <c r="G1955" s="215" t="s">
        <v>10813</v>
      </c>
      <c r="H1955" s="215" t="s">
        <v>6521</v>
      </c>
      <c r="I1955" s="300"/>
      <c r="J1955" s="300"/>
      <c r="K1955" s="300"/>
      <c r="L1955" s="300"/>
      <c r="M1955" s="300"/>
      <c r="N1955" s="300"/>
      <c r="O1955" s="300"/>
      <c r="P1955" s="300"/>
      <c r="Q1955" s="300"/>
      <c r="R1955" s="300"/>
      <c r="S1955" s="300"/>
      <c r="T1955" s="300"/>
      <c r="U1955" s="300"/>
      <c r="V1955" s="300"/>
      <c r="W1955" s="300"/>
      <c r="X1955" s="300"/>
      <c r="Y1955" s="300"/>
      <c r="Z1955" s="300"/>
    </row>
    <row r="1956" spans="1:26">
      <c r="A1956" s="215" t="s">
        <v>4124</v>
      </c>
      <c r="B1956" s="207">
        <v>716</v>
      </c>
      <c r="C1956" s="215" t="s">
        <v>6119</v>
      </c>
      <c r="D1956" s="215" t="s">
        <v>10846</v>
      </c>
      <c r="E1956" s="215" t="s">
        <v>10846</v>
      </c>
      <c r="F1956" s="215" t="s">
        <v>5011</v>
      </c>
      <c r="G1956" s="215" t="s">
        <v>10847</v>
      </c>
      <c r="H1956" s="215" t="s">
        <v>6504</v>
      </c>
      <c r="I1956" s="300"/>
      <c r="J1956" s="300"/>
      <c r="K1956" s="300"/>
      <c r="L1956" s="300"/>
      <c r="M1956" s="300"/>
      <c r="N1956" s="300"/>
      <c r="O1956" s="300"/>
      <c r="P1956" s="300"/>
      <c r="Q1956" s="300"/>
      <c r="R1956" s="300"/>
      <c r="S1956" s="300"/>
      <c r="T1956" s="300"/>
      <c r="U1956" s="300"/>
      <c r="V1956" s="300"/>
      <c r="W1956" s="300"/>
      <c r="X1956" s="300"/>
      <c r="Y1956" s="300"/>
      <c r="Z1956" s="300"/>
    </row>
    <row r="1957" spans="1:26">
      <c r="A1957" s="215" t="s">
        <v>4293</v>
      </c>
      <c r="B1957" s="207">
        <v>2263</v>
      </c>
      <c r="C1957" s="215" t="s">
        <v>6254</v>
      </c>
      <c r="D1957" s="215" t="s">
        <v>10848</v>
      </c>
      <c r="E1957" s="215" t="s">
        <v>10849</v>
      </c>
      <c r="F1957" s="215" t="s">
        <v>5011</v>
      </c>
      <c r="G1957" s="215" t="s">
        <v>10847</v>
      </c>
      <c r="H1957" s="215" t="s">
        <v>6497</v>
      </c>
      <c r="I1957" s="300"/>
      <c r="J1957" s="300"/>
      <c r="K1957" s="300"/>
      <c r="L1957" s="300"/>
      <c r="M1957" s="300"/>
      <c r="N1957" s="300"/>
      <c r="O1957" s="300"/>
      <c r="P1957" s="300"/>
      <c r="Q1957" s="300"/>
      <c r="R1957" s="300"/>
      <c r="S1957" s="300"/>
      <c r="T1957" s="300"/>
      <c r="U1957" s="300"/>
      <c r="V1957" s="300"/>
      <c r="W1957" s="300"/>
      <c r="X1957" s="300"/>
      <c r="Y1957" s="300"/>
      <c r="Z1957" s="300"/>
    </row>
    <row r="1958" spans="1:26">
      <c r="A1958" s="215" t="s">
        <v>3286</v>
      </c>
      <c r="B1958" s="207">
        <v>1939</v>
      </c>
      <c r="C1958" s="215" t="s">
        <v>5416</v>
      </c>
      <c r="D1958" s="215" t="s">
        <v>10850</v>
      </c>
      <c r="E1958" s="215" t="s">
        <v>10850</v>
      </c>
      <c r="F1958" s="215" t="s">
        <v>10851</v>
      </c>
      <c r="G1958" s="215" t="s">
        <v>10852</v>
      </c>
      <c r="H1958" s="215" t="s">
        <v>6504</v>
      </c>
      <c r="I1958" s="300"/>
      <c r="J1958" s="300"/>
      <c r="K1958" s="300"/>
      <c r="L1958" s="300"/>
      <c r="M1958" s="300"/>
      <c r="N1958" s="300"/>
      <c r="O1958" s="300"/>
      <c r="P1958" s="300"/>
      <c r="Q1958" s="300"/>
      <c r="R1958" s="300"/>
      <c r="S1958" s="300"/>
      <c r="T1958" s="300"/>
      <c r="U1958" s="300"/>
      <c r="V1958" s="300"/>
      <c r="W1958" s="300"/>
      <c r="X1958" s="300"/>
      <c r="Y1958" s="300"/>
      <c r="Z1958" s="300"/>
    </row>
    <row r="1959" spans="1:26">
      <c r="A1959" s="215" t="s">
        <v>3413</v>
      </c>
      <c r="B1959" s="207">
        <v>1940</v>
      </c>
      <c r="C1959" s="215" t="s">
        <v>5536</v>
      </c>
      <c r="D1959" s="215" t="s">
        <v>10853</v>
      </c>
      <c r="E1959" s="215" t="s">
        <v>10853</v>
      </c>
      <c r="F1959" s="215" t="s">
        <v>10851</v>
      </c>
      <c r="G1959" s="215" t="s">
        <v>10852</v>
      </c>
      <c r="H1959" s="215" t="s">
        <v>6497</v>
      </c>
      <c r="I1959" s="300"/>
      <c r="J1959" s="300"/>
      <c r="K1959" s="300"/>
      <c r="L1959" s="300"/>
      <c r="M1959" s="300"/>
      <c r="N1959" s="300"/>
      <c r="O1959" s="300"/>
      <c r="P1959" s="300"/>
      <c r="Q1959" s="300"/>
      <c r="R1959" s="300"/>
      <c r="S1959" s="300"/>
      <c r="T1959" s="300"/>
      <c r="U1959" s="300"/>
      <c r="V1959" s="300"/>
      <c r="W1959" s="300"/>
      <c r="X1959" s="300"/>
      <c r="Y1959" s="300"/>
      <c r="Z1959" s="300"/>
    </row>
    <row r="1960" spans="1:26">
      <c r="A1960" s="215" t="s">
        <v>3073</v>
      </c>
      <c r="B1960" s="207">
        <v>2095</v>
      </c>
      <c r="C1960" s="215" t="s">
        <v>5207</v>
      </c>
      <c r="D1960" s="215" t="s">
        <v>10854</v>
      </c>
      <c r="E1960" s="215" t="s">
        <v>10854</v>
      </c>
      <c r="F1960" s="215" t="s">
        <v>10851</v>
      </c>
      <c r="G1960" s="215" t="s">
        <v>10852</v>
      </c>
      <c r="H1960" s="215" t="s">
        <v>6497</v>
      </c>
      <c r="I1960" s="300"/>
      <c r="J1960" s="300"/>
      <c r="K1960" s="300"/>
      <c r="L1960" s="300"/>
      <c r="M1960" s="300"/>
      <c r="N1960" s="300"/>
      <c r="O1960" s="300"/>
      <c r="P1960" s="300"/>
      <c r="Q1960" s="300"/>
      <c r="R1960" s="300"/>
      <c r="S1960" s="300"/>
      <c r="T1960" s="300"/>
      <c r="U1960" s="300"/>
      <c r="V1960" s="300"/>
      <c r="W1960" s="300"/>
      <c r="X1960" s="300"/>
      <c r="Y1960" s="300"/>
      <c r="Z1960" s="300"/>
    </row>
    <row r="1961" spans="1:26">
      <c r="A1961" s="215" t="s">
        <v>10855</v>
      </c>
      <c r="B1961" s="207">
        <v>2096</v>
      </c>
      <c r="C1961" s="215" t="s">
        <v>4967</v>
      </c>
      <c r="D1961" s="215" t="s">
        <v>10856</v>
      </c>
      <c r="E1961" s="215" t="s">
        <v>10856</v>
      </c>
      <c r="F1961" s="215" t="s">
        <v>10851</v>
      </c>
      <c r="G1961" s="215" t="s">
        <v>10852</v>
      </c>
      <c r="H1961" s="215" t="s">
        <v>6504</v>
      </c>
      <c r="I1961" s="300"/>
      <c r="J1961" s="300"/>
      <c r="K1961" s="300"/>
      <c r="L1961" s="300"/>
      <c r="M1961" s="300"/>
      <c r="N1961" s="300"/>
      <c r="O1961" s="300"/>
      <c r="P1961" s="300"/>
      <c r="Q1961" s="300"/>
      <c r="R1961" s="300"/>
      <c r="S1961" s="300"/>
      <c r="T1961" s="300"/>
      <c r="U1961" s="300"/>
      <c r="V1961" s="300"/>
      <c r="W1961" s="300"/>
      <c r="X1961" s="300"/>
      <c r="Y1961" s="300"/>
      <c r="Z1961" s="300"/>
    </row>
    <row r="1962" spans="1:26">
      <c r="A1962" s="215" t="s">
        <v>2845</v>
      </c>
      <c r="B1962" s="207">
        <v>2097</v>
      </c>
      <c r="C1962" s="215" t="s">
        <v>5008</v>
      </c>
      <c r="D1962" s="215" t="s">
        <v>10857</v>
      </c>
      <c r="E1962" s="215" t="s">
        <v>10857</v>
      </c>
      <c r="F1962" s="215" t="s">
        <v>10851</v>
      </c>
      <c r="G1962" s="215" t="s">
        <v>10852</v>
      </c>
      <c r="H1962" s="215" t="s">
        <v>6497</v>
      </c>
      <c r="I1962" s="300"/>
      <c r="J1962" s="300"/>
      <c r="K1962" s="300"/>
      <c r="L1962" s="300"/>
      <c r="M1962" s="300"/>
      <c r="N1962" s="300"/>
      <c r="O1962" s="300"/>
      <c r="P1962" s="300"/>
      <c r="Q1962" s="300"/>
      <c r="R1962" s="300"/>
      <c r="S1962" s="300"/>
      <c r="T1962" s="300"/>
      <c r="U1962" s="300"/>
      <c r="V1962" s="300"/>
      <c r="W1962" s="300"/>
      <c r="X1962" s="300"/>
      <c r="Y1962" s="300"/>
      <c r="Z1962" s="300"/>
    </row>
    <row r="1963" spans="1:26">
      <c r="A1963" s="215" t="s">
        <v>2625</v>
      </c>
      <c r="B1963" s="207">
        <v>2098</v>
      </c>
      <c r="C1963" s="215" t="s">
        <v>4814</v>
      </c>
      <c r="D1963" s="215" t="s">
        <v>10858</v>
      </c>
      <c r="E1963" s="215" t="s">
        <v>10859</v>
      </c>
      <c r="F1963" s="215" t="s">
        <v>10851</v>
      </c>
      <c r="G1963" s="215" t="s">
        <v>10852</v>
      </c>
      <c r="H1963" s="215" t="s">
        <v>6504</v>
      </c>
      <c r="I1963" s="300"/>
      <c r="J1963" s="300"/>
      <c r="K1963" s="300"/>
      <c r="L1963" s="300"/>
      <c r="M1963" s="300"/>
      <c r="N1963" s="300"/>
      <c r="O1963" s="300"/>
      <c r="P1963" s="300"/>
      <c r="Q1963" s="300"/>
      <c r="R1963" s="300"/>
      <c r="S1963" s="300"/>
      <c r="T1963" s="300"/>
      <c r="U1963" s="300"/>
      <c r="V1963" s="300"/>
      <c r="W1963" s="300"/>
      <c r="X1963" s="300"/>
      <c r="Y1963" s="300"/>
      <c r="Z1963" s="300"/>
    </row>
    <row r="1964" spans="1:26">
      <c r="A1964" s="215" t="s">
        <v>2417</v>
      </c>
      <c r="B1964" s="207">
        <v>2099</v>
      </c>
      <c r="C1964" s="215" t="s">
        <v>4771</v>
      </c>
      <c r="D1964" s="215" t="s">
        <v>2703</v>
      </c>
      <c r="E1964" s="215" t="s">
        <v>2703</v>
      </c>
      <c r="F1964" s="215" t="s">
        <v>10851</v>
      </c>
      <c r="G1964" s="215" t="s">
        <v>10852</v>
      </c>
      <c r="H1964" s="215" t="s">
        <v>6504</v>
      </c>
      <c r="I1964" s="300"/>
      <c r="J1964" s="300"/>
      <c r="K1964" s="300"/>
      <c r="L1964" s="300"/>
      <c r="M1964" s="300"/>
      <c r="N1964" s="300"/>
      <c r="O1964" s="300"/>
      <c r="P1964" s="300"/>
      <c r="Q1964" s="300"/>
      <c r="R1964" s="300"/>
      <c r="S1964" s="300"/>
      <c r="T1964" s="300"/>
      <c r="U1964" s="300"/>
      <c r="V1964" s="300"/>
      <c r="W1964" s="300"/>
      <c r="X1964" s="300"/>
      <c r="Y1964" s="300"/>
      <c r="Z1964" s="300"/>
    </row>
    <row r="1965" spans="1:26">
      <c r="A1965" s="215" t="s">
        <v>3708</v>
      </c>
      <c r="B1965" s="207">
        <v>2100</v>
      </c>
      <c r="C1965" s="215" t="s">
        <v>5794</v>
      </c>
      <c r="D1965" s="215" t="s">
        <v>10860</v>
      </c>
      <c r="E1965" s="215" t="s">
        <v>10860</v>
      </c>
      <c r="F1965" s="215" t="s">
        <v>10851</v>
      </c>
      <c r="G1965" s="215" t="s">
        <v>10852</v>
      </c>
      <c r="H1965" s="215" t="s">
        <v>6504</v>
      </c>
      <c r="I1965" s="300"/>
      <c r="J1965" s="300"/>
      <c r="K1965" s="300"/>
      <c r="L1965" s="300"/>
      <c r="M1965" s="300"/>
      <c r="N1965" s="300"/>
      <c r="O1965" s="300"/>
      <c r="P1965" s="300"/>
      <c r="Q1965" s="300"/>
      <c r="R1965" s="300"/>
      <c r="S1965" s="300"/>
      <c r="T1965" s="300"/>
      <c r="U1965" s="300"/>
      <c r="V1965" s="300"/>
      <c r="W1965" s="300"/>
      <c r="X1965" s="300"/>
      <c r="Y1965" s="300"/>
      <c r="Z1965" s="300"/>
    </row>
    <row r="1966" spans="1:26">
      <c r="A1966" s="215" t="s">
        <v>2744</v>
      </c>
      <c r="B1966" s="207">
        <v>2101</v>
      </c>
      <c r="C1966" s="215" t="s">
        <v>10861</v>
      </c>
      <c r="D1966" s="215" t="s">
        <v>10862</v>
      </c>
      <c r="E1966" s="215" t="s">
        <v>10862</v>
      </c>
      <c r="F1966" s="215" t="s">
        <v>10851</v>
      </c>
      <c r="G1966" s="215" t="s">
        <v>10852</v>
      </c>
      <c r="H1966" s="215" t="s">
        <v>6504</v>
      </c>
      <c r="I1966" s="300"/>
      <c r="J1966" s="300"/>
      <c r="K1966" s="300"/>
      <c r="L1966" s="300"/>
      <c r="M1966" s="300"/>
      <c r="N1966" s="300"/>
      <c r="O1966" s="300"/>
      <c r="P1966" s="300"/>
      <c r="Q1966" s="300"/>
      <c r="R1966" s="300"/>
      <c r="S1966" s="300"/>
      <c r="T1966" s="300"/>
      <c r="U1966" s="300"/>
      <c r="V1966" s="300"/>
      <c r="W1966" s="300"/>
      <c r="X1966" s="300"/>
      <c r="Y1966" s="300"/>
      <c r="Z1966" s="300"/>
    </row>
    <row r="1967" spans="1:26">
      <c r="A1967" s="215" t="s">
        <v>3109</v>
      </c>
      <c r="B1967" s="207">
        <v>2102</v>
      </c>
      <c r="C1967" s="215" t="s">
        <v>5241</v>
      </c>
      <c r="D1967" s="215" t="s">
        <v>10863</v>
      </c>
      <c r="E1967" s="215" t="s">
        <v>10863</v>
      </c>
      <c r="F1967" s="215" t="s">
        <v>10851</v>
      </c>
      <c r="G1967" s="215" t="s">
        <v>10852</v>
      </c>
      <c r="H1967" s="215" t="s">
        <v>6504</v>
      </c>
      <c r="I1967" s="300"/>
      <c r="J1967" s="300"/>
      <c r="K1967" s="300"/>
      <c r="L1967" s="300"/>
      <c r="M1967" s="300"/>
      <c r="N1967" s="300"/>
      <c r="O1967" s="300"/>
      <c r="P1967" s="300"/>
      <c r="Q1967" s="300"/>
      <c r="R1967" s="300"/>
      <c r="S1967" s="300"/>
      <c r="T1967" s="300"/>
      <c r="U1967" s="300"/>
      <c r="V1967" s="300"/>
      <c r="W1967" s="300"/>
      <c r="X1967" s="300"/>
      <c r="Y1967" s="300"/>
      <c r="Z1967" s="300"/>
    </row>
    <row r="1968" spans="1:26">
      <c r="A1968" s="215" t="s">
        <v>3173</v>
      </c>
      <c r="B1968" s="207">
        <v>2103</v>
      </c>
      <c r="C1968" s="215" t="s">
        <v>5308</v>
      </c>
      <c r="D1968" s="215" t="s">
        <v>10864</v>
      </c>
      <c r="E1968" s="215" t="s">
        <v>10864</v>
      </c>
      <c r="F1968" s="215" t="s">
        <v>10851</v>
      </c>
      <c r="G1968" s="215" t="s">
        <v>10852</v>
      </c>
      <c r="H1968" s="215" t="s">
        <v>6504</v>
      </c>
      <c r="I1968" s="300"/>
      <c r="J1968" s="300"/>
      <c r="K1968" s="300"/>
      <c r="L1968" s="300"/>
      <c r="M1968" s="300"/>
      <c r="N1968" s="300"/>
      <c r="O1968" s="300"/>
      <c r="P1968" s="300"/>
      <c r="Q1968" s="300"/>
      <c r="R1968" s="300"/>
      <c r="S1968" s="300"/>
      <c r="T1968" s="300"/>
      <c r="U1968" s="300"/>
      <c r="V1968" s="300"/>
      <c r="W1968" s="300"/>
      <c r="X1968" s="300"/>
      <c r="Y1968" s="300"/>
      <c r="Z1968" s="300"/>
    </row>
    <row r="1969" spans="1:26">
      <c r="A1969" s="215" t="s">
        <v>4536</v>
      </c>
      <c r="B1969" s="207">
        <v>2104</v>
      </c>
      <c r="C1969" s="215" t="s">
        <v>6447</v>
      </c>
      <c r="D1969" s="215" t="s">
        <v>10865</v>
      </c>
      <c r="E1969" s="215" t="s">
        <v>10865</v>
      </c>
      <c r="F1969" s="215" t="s">
        <v>10851</v>
      </c>
      <c r="G1969" s="215" t="s">
        <v>10852</v>
      </c>
      <c r="H1969" s="215" t="s">
        <v>6504</v>
      </c>
      <c r="I1969" s="300"/>
      <c r="J1969" s="300"/>
      <c r="K1969" s="300"/>
      <c r="L1969" s="300"/>
      <c r="M1969" s="300"/>
      <c r="N1969" s="300"/>
      <c r="O1969" s="300"/>
      <c r="P1969" s="300"/>
      <c r="Q1969" s="300"/>
      <c r="R1969" s="300"/>
      <c r="S1969" s="300"/>
      <c r="T1969" s="300"/>
      <c r="U1969" s="300"/>
      <c r="V1969" s="300"/>
      <c r="W1969" s="300"/>
      <c r="X1969" s="300"/>
      <c r="Y1969" s="300"/>
      <c r="Z1969" s="300"/>
    </row>
    <row r="1970" spans="1:26">
      <c r="A1970" s="215" t="s">
        <v>2648</v>
      </c>
      <c r="B1970" s="207">
        <v>2105</v>
      </c>
      <c r="C1970" s="215" t="s">
        <v>4822</v>
      </c>
      <c r="D1970" s="215" t="s">
        <v>10866</v>
      </c>
      <c r="E1970" s="215" t="s">
        <v>10866</v>
      </c>
      <c r="F1970" s="215" t="s">
        <v>10851</v>
      </c>
      <c r="G1970" s="215" t="s">
        <v>10852</v>
      </c>
      <c r="H1970" s="215" t="s">
        <v>6504</v>
      </c>
      <c r="I1970" s="300"/>
      <c r="J1970" s="300"/>
      <c r="K1970" s="300"/>
      <c r="L1970" s="300"/>
      <c r="M1970" s="300"/>
      <c r="N1970" s="300"/>
      <c r="O1970" s="300"/>
      <c r="P1970" s="300"/>
      <c r="Q1970" s="300"/>
      <c r="R1970" s="300"/>
      <c r="S1970" s="300"/>
      <c r="T1970" s="300"/>
      <c r="U1970" s="300"/>
      <c r="V1970" s="300"/>
      <c r="W1970" s="300"/>
      <c r="X1970" s="300"/>
      <c r="Y1970" s="300"/>
      <c r="Z1970" s="300"/>
    </row>
    <row r="1971" spans="1:26">
      <c r="A1971" s="215"/>
      <c r="B1971" s="207">
        <v>2106</v>
      </c>
      <c r="C1971" s="215" t="s">
        <v>10867</v>
      </c>
      <c r="D1971" s="215" t="s">
        <v>10868</v>
      </c>
      <c r="E1971" s="215" t="s">
        <v>10869</v>
      </c>
      <c r="F1971" s="215" t="s">
        <v>10851</v>
      </c>
      <c r="G1971" s="215" t="s">
        <v>10852</v>
      </c>
      <c r="H1971" s="215" t="s">
        <v>6497</v>
      </c>
      <c r="I1971" s="300"/>
      <c r="J1971" s="300"/>
      <c r="K1971" s="300"/>
      <c r="L1971" s="300"/>
      <c r="M1971" s="300"/>
      <c r="N1971" s="300"/>
      <c r="O1971" s="300"/>
      <c r="P1971" s="300"/>
      <c r="Q1971" s="300"/>
      <c r="R1971" s="300"/>
      <c r="S1971" s="300"/>
      <c r="T1971" s="300"/>
      <c r="U1971" s="300"/>
      <c r="V1971" s="300"/>
      <c r="W1971" s="300"/>
      <c r="X1971" s="300"/>
      <c r="Y1971" s="300"/>
      <c r="Z1971" s="300"/>
    </row>
    <row r="1972" spans="1:26">
      <c r="A1972" s="215" t="s">
        <v>2800</v>
      </c>
      <c r="B1972" s="207">
        <v>2107</v>
      </c>
      <c r="C1972" s="215" t="s">
        <v>4965</v>
      </c>
      <c r="D1972" s="215" t="s">
        <v>10870</v>
      </c>
      <c r="E1972" s="215" t="s">
        <v>10870</v>
      </c>
      <c r="F1972" s="215" t="s">
        <v>10851</v>
      </c>
      <c r="G1972" s="215" t="s">
        <v>10852</v>
      </c>
      <c r="H1972" s="215" t="s">
        <v>6504</v>
      </c>
      <c r="I1972" s="300"/>
      <c r="J1972" s="300"/>
      <c r="K1972" s="300"/>
      <c r="L1972" s="300"/>
      <c r="M1972" s="300"/>
      <c r="N1972" s="300"/>
      <c r="O1972" s="300"/>
      <c r="P1972" s="300"/>
      <c r="Q1972" s="300"/>
      <c r="R1972" s="300"/>
      <c r="S1972" s="300"/>
      <c r="T1972" s="300"/>
      <c r="U1972" s="300"/>
      <c r="V1972" s="300"/>
      <c r="W1972" s="300"/>
      <c r="X1972" s="300"/>
      <c r="Y1972" s="300"/>
      <c r="Z1972" s="300"/>
    </row>
    <row r="1973" spans="1:26">
      <c r="A1973" s="215" t="s">
        <v>3548</v>
      </c>
      <c r="B1973" s="207">
        <v>2108</v>
      </c>
      <c r="C1973" s="215" t="s">
        <v>5656</v>
      </c>
      <c r="D1973" s="215" t="s">
        <v>10871</v>
      </c>
      <c r="E1973" s="215" t="s">
        <v>10871</v>
      </c>
      <c r="F1973" s="215" t="s">
        <v>10851</v>
      </c>
      <c r="G1973" s="215" t="s">
        <v>10852</v>
      </c>
      <c r="H1973" s="215" t="s">
        <v>6497</v>
      </c>
      <c r="I1973" s="300"/>
      <c r="J1973" s="300"/>
      <c r="K1973" s="300"/>
      <c r="L1973" s="300"/>
      <c r="M1973" s="300"/>
      <c r="N1973" s="300"/>
      <c r="O1973" s="300"/>
      <c r="P1973" s="300"/>
      <c r="Q1973" s="300"/>
      <c r="R1973" s="300"/>
      <c r="S1973" s="300"/>
      <c r="T1973" s="300"/>
      <c r="U1973" s="300"/>
      <c r="V1973" s="300"/>
      <c r="W1973" s="300"/>
      <c r="X1973" s="300"/>
      <c r="Y1973" s="300"/>
      <c r="Z1973" s="300"/>
    </row>
    <row r="1974" spans="1:26">
      <c r="A1974" s="215" t="s">
        <v>3399</v>
      </c>
      <c r="B1974" s="207">
        <v>2109</v>
      </c>
      <c r="C1974" s="215" t="s">
        <v>5525</v>
      </c>
      <c r="D1974" s="215" t="s">
        <v>10872</v>
      </c>
      <c r="E1974" s="215" t="s">
        <v>10872</v>
      </c>
      <c r="F1974" s="215" t="s">
        <v>10851</v>
      </c>
      <c r="G1974" s="215" t="s">
        <v>10852</v>
      </c>
      <c r="H1974" s="215" t="s">
        <v>6504</v>
      </c>
      <c r="I1974" s="300"/>
      <c r="J1974" s="300"/>
      <c r="K1974" s="300"/>
      <c r="L1974" s="300"/>
      <c r="M1974" s="300"/>
      <c r="N1974" s="300"/>
      <c r="O1974" s="300"/>
      <c r="P1974" s="300"/>
      <c r="Q1974" s="300"/>
      <c r="R1974" s="300"/>
      <c r="S1974" s="300"/>
      <c r="T1974" s="300"/>
      <c r="U1974" s="300"/>
      <c r="V1974" s="300"/>
      <c r="W1974" s="300"/>
      <c r="X1974" s="300"/>
      <c r="Y1974" s="300"/>
      <c r="Z1974" s="300"/>
    </row>
    <row r="1975" spans="1:26">
      <c r="A1975" s="215"/>
      <c r="B1975" s="207">
        <v>2110</v>
      </c>
      <c r="C1975" s="215" t="s">
        <v>10873</v>
      </c>
      <c r="D1975" s="215" t="s">
        <v>10874</v>
      </c>
      <c r="E1975" s="215" t="s">
        <v>10875</v>
      </c>
      <c r="F1975" s="215" t="s">
        <v>10851</v>
      </c>
      <c r="G1975" s="215" t="s">
        <v>10852</v>
      </c>
      <c r="H1975" s="215" t="s">
        <v>6497</v>
      </c>
      <c r="I1975" s="300"/>
      <c r="J1975" s="300"/>
      <c r="K1975" s="300"/>
      <c r="L1975" s="300"/>
      <c r="M1975" s="300"/>
      <c r="N1975" s="300"/>
      <c r="O1975" s="300"/>
      <c r="P1975" s="300"/>
      <c r="Q1975" s="300"/>
      <c r="R1975" s="300"/>
      <c r="S1975" s="300"/>
      <c r="T1975" s="300"/>
      <c r="U1975" s="300"/>
      <c r="V1975" s="300"/>
      <c r="W1975" s="300"/>
      <c r="X1975" s="300"/>
      <c r="Y1975" s="300"/>
      <c r="Z1975" s="300"/>
    </row>
    <row r="1976" spans="1:26">
      <c r="A1976" s="215" t="s">
        <v>10876</v>
      </c>
      <c r="B1976" s="207">
        <v>2111</v>
      </c>
      <c r="C1976" s="215" t="s">
        <v>6410</v>
      </c>
      <c r="D1976" s="215" t="s">
        <v>10877</v>
      </c>
      <c r="E1976" s="215" t="s">
        <v>10877</v>
      </c>
      <c r="F1976" s="215" t="s">
        <v>10851</v>
      </c>
      <c r="G1976" s="215" t="s">
        <v>10852</v>
      </c>
      <c r="H1976" s="215" t="s">
        <v>6497</v>
      </c>
      <c r="I1976" s="300"/>
      <c r="J1976" s="300"/>
      <c r="K1976" s="300"/>
      <c r="L1976" s="300"/>
      <c r="M1976" s="300"/>
      <c r="N1976" s="300"/>
      <c r="O1976" s="300"/>
      <c r="P1976" s="300"/>
      <c r="Q1976" s="300"/>
      <c r="R1976" s="300"/>
      <c r="S1976" s="300"/>
      <c r="T1976" s="300"/>
      <c r="U1976" s="300"/>
      <c r="V1976" s="300"/>
      <c r="W1976" s="300"/>
      <c r="X1976" s="300"/>
      <c r="Y1976" s="300"/>
      <c r="Z1976" s="300"/>
    </row>
    <row r="1977" spans="1:26">
      <c r="A1977" s="215"/>
      <c r="B1977" s="207">
        <v>2112</v>
      </c>
      <c r="C1977" s="215" t="s">
        <v>5618</v>
      </c>
      <c r="D1977" s="215" t="s">
        <v>3505</v>
      </c>
      <c r="E1977" s="215" t="s">
        <v>3505</v>
      </c>
      <c r="F1977" s="215" t="s">
        <v>10851</v>
      </c>
      <c r="G1977" s="215" t="s">
        <v>10852</v>
      </c>
      <c r="H1977" s="215" t="s">
        <v>6548</v>
      </c>
      <c r="I1977" s="300"/>
      <c r="J1977" s="300"/>
      <c r="K1977" s="300"/>
      <c r="L1977" s="300"/>
      <c r="M1977" s="300"/>
      <c r="N1977" s="300"/>
      <c r="O1977" s="300"/>
      <c r="P1977" s="300"/>
      <c r="Q1977" s="300"/>
      <c r="R1977" s="300"/>
      <c r="S1977" s="300"/>
      <c r="T1977" s="300"/>
      <c r="U1977" s="300"/>
      <c r="V1977" s="300"/>
      <c r="W1977" s="300"/>
      <c r="X1977" s="300"/>
      <c r="Y1977" s="300"/>
      <c r="Z1977" s="300"/>
    </row>
    <row r="1978" spans="1:26">
      <c r="A1978" s="215" t="s">
        <v>3566</v>
      </c>
      <c r="B1978" s="207">
        <v>2113</v>
      </c>
      <c r="C1978" s="215" t="s">
        <v>5674</v>
      </c>
      <c r="D1978" s="215" t="s">
        <v>10878</v>
      </c>
      <c r="E1978" s="215" t="s">
        <v>10878</v>
      </c>
      <c r="F1978" s="215" t="s">
        <v>10851</v>
      </c>
      <c r="G1978" s="215" t="s">
        <v>10852</v>
      </c>
      <c r="H1978" s="215" t="s">
        <v>6497</v>
      </c>
      <c r="I1978" s="300"/>
      <c r="J1978" s="300"/>
      <c r="K1978" s="300"/>
      <c r="L1978" s="300"/>
      <c r="M1978" s="300"/>
      <c r="N1978" s="300"/>
      <c r="O1978" s="300"/>
      <c r="P1978" s="300"/>
      <c r="Q1978" s="300"/>
      <c r="R1978" s="300"/>
      <c r="S1978" s="300"/>
      <c r="T1978" s="300"/>
      <c r="U1978" s="300"/>
      <c r="V1978" s="300"/>
      <c r="W1978" s="300"/>
      <c r="X1978" s="300"/>
      <c r="Y1978" s="300"/>
      <c r="Z1978" s="300"/>
    </row>
    <row r="1979" spans="1:26">
      <c r="A1979" s="215" t="s">
        <v>4565</v>
      </c>
      <c r="B1979" s="207">
        <v>2114</v>
      </c>
      <c r="C1979" s="215" t="s">
        <v>6473</v>
      </c>
      <c r="D1979" s="215" t="s">
        <v>10879</v>
      </c>
      <c r="E1979" s="215" t="s">
        <v>10879</v>
      </c>
      <c r="F1979" s="215" t="s">
        <v>10851</v>
      </c>
      <c r="G1979" s="215" t="s">
        <v>10852</v>
      </c>
      <c r="H1979" s="215" t="s">
        <v>6497</v>
      </c>
      <c r="I1979" s="300"/>
      <c r="J1979" s="300"/>
      <c r="K1979" s="300"/>
      <c r="L1979" s="300"/>
      <c r="M1979" s="300"/>
      <c r="N1979" s="300"/>
      <c r="O1979" s="300"/>
      <c r="P1979" s="300"/>
      <c r="Q1979" s="300"/>
      <c r="R1979" s="300"/>
      <c r="S1979" s="300"/>
      <c r="T1979" s="300"/>
      <c r="U1979" s="300"/>
      <c r="V1979" s="300"/>
      <c r="W1979" s="300"/>
      <c r="X1979" s="300"/>
      <c r="Y1979" s="300"/>
      <c r="Z1979" s="300"/>
    </row>
    <row r="1980" spans="1:26">
      <c r="A1980" s="215" t="s">
        <v>3626</v>
      </c>
      <c r="B1980" s="207">
        <v>2115</v>
      </c>
      <c r="C1980" s="215" t="s">
        <v>5722</v>
      </c>
      <c r="D1980" s="215" t="s">
        <v>10880</v>
      </c>
      <c r="E1980" s="215" t="s">
        <v>10880</v>
      </c>
      <c r="F1980" s="215" t="s">
        <v>10851</v>
      </c>
      <c r="G1980" s="215" t="s">
        <v>10852</v>
      </c>
      <c r="H1980" s="215" t="s">
        <v>6497</v>
      </c>
      <c r="I1980" s="300"/>
      <c r="J1980" s="300"/>
      <c r="K1980" s="300"/>
      <c r="L1980" s="300"/>
      <c r="M1980" s="300"/>
      <c r="N1980" s="300"/>
      <c r="O1980" s="300"/>
      <c r="P1980" s="300"/>
      <c r="Q1980" s="300"/>
      <c r="R1980" s="300"/>
      <c r="S1980" s="300"/>
      <c r="T1980" s="300"/>
      <c r="U1980" s="300"/>
      <c r="V1980" s="300"/>
      <c r="W1980" s="300"/>
      <c r="X1980" s="300"/>
      <c r="Y1980" s="300"/>
      <c r="Z1980" s="300"/>
    </row>
    <row r="1981" spans="1:26">
      <c r="A1981" s="215" t="s">
        <v>3666</v>
      </c>
      <c r="B1981" s="207">
        <v>2116</v>
      </c>
      <c r="C1981" s="215" t="s">
        <v>5756</v>
      </c>
      <c r="D1981" s="215" t="s">
        <v>10881</v>
      </c>
      <c r="E1981" s="215" t="s">
        <v>10881</v>
      </c>
      <c r="F1981" s="215" t="s">
        <v>10851</v>
      </c>
      <c r="G1981" s="215" t="s">
        <v>10852</v>
      </c>
      <c r="H1981" s="215" t="s">
        <v>6504</v>
      </c>
      <c r="I1981" s="300"/>
      <c r="J1981" s="300"/>
      <c r="K1981" s="300"/>
      <c r="L1981" s="300"/>
      <c r="M1981" s="300"/>
      <c r="N1981" s="300"/>
      <c r="O1981" s="300"/>
      <c r="P1981" s="300"/>
      <c r="Q1981" s="300"/>
      <c r="R1981" s="300"/>
      <c r="S1981" s="300"/>
      <c r="T1981" s="300"/>
      <c r="U1981" s="300"/>
      <c r="V1981" s="300"/>
      <c r="W1981" s="300"/>
      <c r="X1981" s="300"/>
      <c r="Y1981" s="300"/>
      <c r="Z1981" s="300"/>
    </row>
    <row r="1982" spans="1:26">
      <c r="A1982" s="215" t="s">
        <v>3700</v>
      </c>
      <c r="B1982" s="207">
        <v>2117</v>
      </c>
      <c r="C1982" s="215" t="s">
        <v>5789</v>
      </c>
      <c r="D1982" s="215" t="s">
        <v>10882</v>
      </c>
      <c r="E1982" s="215" t="s">
        <v>10882</v>
      </c>
      <c r="F1982" s="215" t="s">
        <v>10851</v>
      </c>
      <c r="G1982" s="215" t="s">
        <v>10852</v>
      </c>
      <c r="H1982" s="215" t="s">
        <v>6504</v>
      </c>
      <c r="I1982" s="300"/>
      <c r="J1982" s="300"/>
      <c r="K1982" s="300"/>
      <c r="L1982" s="300"/>
      <c r="M1982" s="300"/>
      <c r="N1982" s="300"/>
      <c r="O1982" s="300"/>
      <c r="P1982" s="300"/>
      <c r="Q1982" s="300"/>
      <c r="R1982" s="300"/>
      <c r="S1982" s="300"/>
      <c r="T1982" s="300"/>
      <c r="U1982" s="300"/>
      <c r="V1982" s="300"/>
      <c r="W1982" s="300"/>
      <c r="X1982" s="300"/>
      <c r="Y1982" s="300"/>
      <c r="Z1982" s="300"/>
    </row>
    <row r="1983" spans="1:26">
      <c r="A1983" s="215" t="s">
        <v>3674</v>
      </c>
      <c r="B1983" s="207">
        <v>2118</v>
      </c>
      <c r="C1983" s="215" t="s">
        <v>5762</v>
      </c>
      <c r="D1983" s="215" t="s">
        <v>10883</v>
      </c>
      <c r="E1983" s="215" t="s">
        <v>10883</v>
      </c>
      <c r="F1983" s="215" t="s">
        <v>10851</v>
      </c>
      <c r="G1983" s="215" t="s">
        <v>10852</v>
      </c>
      <c r="H1983" s="215" t="s">
        <v>6504</v>
      </c>
      <c r="I1983" s="300"/>
      <c r="J1983" s="300"/>
      <c r="K1983" s="300"/>
      <c r="L1983" s="300"/>
      <c r="M1983" s="300"/>
      <c r="N1983" s="300"/>
      <c r="O1983" s="300"/>
      <c r="P1983" s="300"/>
      <c r="Q1983" s="300"/>
      <c r="R1983" s="300"/>
      <c r="S1983" s="300"/>
      <c r="T1983" s="300"/>
      <c r="U1983" s="300"/>
      <c r="V1983" s="300"/>
      <c r="W1983" s="300"/>
      <c r="X1983" s="300"/>
      <c r="Y1983" s="300"/>
      <c r="Z1983" s="300"/>
    </row>
    <row r="1984" spans="1:26">
      <c r="A1984" s="215" t="s">
        <v>3639</v>
      </c>
      <c r="B1984" s="207">
        <v>2119</v>
      </c>
      <c r="C1984" s="215" t="s">
        <v>5736</v>
      </c>
      <c r="D1984" s="215" t="s">
        <v>10884</v>
      </c>
      <c r="E1984" s="215" t="s">
        <v>10884</v>
      </c>
      <c r="F1984" s="215" t="s">
        <v>10851</v>
      </c>
      <c r="G1984" s="215" t="s">
        <v>10852</v>
      </c>
      <c r="H1984" s="215" t="s">
        <v>6504</v>
      </c>
      <c r="I1984" s="300"/>
      <c r="J1984" s="300"/>
      <c r="K1984" s="300"/>
      <c r="L1984" s="300"/>
      <c r="M1984" s="300"/>
      <c r="N1984" s="300"/>
      <c r="O1984" s="300"/>
      <c r="P1984" s="300"/>
      <c r="Q1984" s="300"/>
      <c r="R1984" s="300"/>
      <c r="S1984" s="300"/>
      <c r="T1984" s="300"/>
      <c r="U1984" s="300"/>
      <c r="V1984" s="300"/>
      <c r="W1984" s="300"/>
      <c r="X1984" s="300"/>
      <c r="Y1984" s="300"/>
      <c r="Z1984" s="300"/>
    </row>
    <row r="1985" spans="1:26">
      <c r="A1985" s="215" t="s">
        <v>3872</v>
      </c>
      <c r="B1985" s="207">
        <v>2120</v>
      </c>
      <c r="C1985" s="215" t="s">
        <v>5938</v>
      </c>
      <c r="D1985" s="215" t="s">
        <v>10885</v>
      </c>
      <c r="E1985" s="215" t="s">
        <v>10885</v>
      </c>
      <c r="F1985" s="215" t="s">
        <v>10851</v>
      </c>
      <c r="G1985" s="215" t="s">
        <v>10852</v>
      </c>
      <c r="H1985" s="215" t="s">
        <v>6497</v>
      </c>
      <c r="I1985" s="300"/>
      <c r="J1985" s="300"/>
      <c r="K1985" s="300"/>
      <c r="L1985" s="300"/>
      <c r="M1985" s="300"/>
      <c r="N1985" s="300"/>
      <c r="O1985" s="300"/>
      <c r="P1985" s="300"/>
      <c r="Q1985" s="300"/>
      <c r="R1985" s="300"/>
      <c r="S1985" s="300"/>
      <c r="T1985" s="300"/>
      <c r="U1985" s="300"/>
      <c r="V1985" s="300"/>
      <c r="W1985" s="300"/>
      <c r="X1985" s="300"/>
      <c r="Y1985" s="300"/>
      <c r="Z1985" s="300"/>
    </row>
    <row r="1986" spans="1:26">
      <c r="A1986" s="215" t="s">
        <v>3957</v>
      </c>
      <c r="B1986" s="207">
        <v>2121</v>
      </c>
      <c r="C1986" s="215" t="s">
        <v>5989</v>
      </c>
      <c r="D1986" s="215" t="s">
        <v>10886</v>
      </c>
      <c r="E1986" s="215" t="s">
        <v>10886</v>
      </c>
      <c r="F1986" s="215" t="s">
        <v>10851</v>
      </c>
      <c r="G1986" s="215" t="s">
        <v>10852</v>
      </c>
      <c r="H1986" s="215" t="s">
        <v>6504</v>
      </c>
      <c r="I1986" s="300"/>
      <c r="J1986" s="300"/>
      <c r="K1986" s="300"/>
      <c r="L1986" s="300"/>
      <c r="M1986" s="300"/>
      <c r="N1986" s="300"/>
      <c r="O1986" s="300"/>
      <c r="P1986" s="300"/>
      <c r="Q1986" s="300"/>
      <c r="R1986" s="300"/>
      <c r="S1986" s="300"/>
      <c r="T1986" s="300"/>
      <c r="U1986" s="300"/>
      <c r="V1986" s="300"/>
      <c r="W1986" s="300"/>
      <c r="X1986" s="300"/>
      <c r="Y1986" s="300"/>
      <c r="Z1986" s="300"/>
    </row>
    <row r="1987" spans="1:26">
      <c r="A1987" s="215" t="s">
        <v>3923</v>
      </c>
      <c r="B1987" s="207">
        <v>2122</v>
      </c>
      <c r="C1987" s="215" t="s">
        <v>4943</v>
      </c>
      <c r="D1987" s="215" t="s">
        <v>10887</v>
      </c>
      <c r="E1987" s="215" t="s">
        <v>10887</v>
      </c>
      <c r="F1987" s="215" t="s">
        <v>10851</v>
      </c>
      <c r="G1987" s="215" t="s">
        <v>10852</v>
      </c>
      <c r="H1987" s="215" t="s">
        <v>6504</v>
      </c>
      <c r="I1987" s="300"/>
      <c r="J1987" s="300"/>
      <c r="K1987" s="300"/>
      <c r="L1987" s="300"/>
      <c r="M1987" s="300"/>
      <c r="N1987" s="300"/>
      <c r="O1987" s="300"/>
      <c r="P1987" s="300"/>
      <c r="Q1987" s="300"/>
      <c r="R1987" s="300"/>
      <c r="S1987" s="300"/>
      <c r="T1987" s="300"/>
      <c r="U1987" s="300"/>
      <c r="V1987" s="300"/>
      <c r="W1987" s="300"/>
      <c r="X1987" s="300"/>
      <c r="Y1987" s="300"/>
      <c r="Z1987" s="300"/>
    </row>
    <row r="1988" spans="1:26">
      <c r="A1988" s="215" t="s">
        <v>4169</v>
      </c>
      <c r="B1988" s="207">
        <v>2124</v>
      </c>
      <c r="C1988" s="215" t="s">
        <v>6159</v>
      </c>
      <c r="D1988" s="215" t="s">
        <v>10888</v>
      </c>
      <c r="E1988" s="215" t="s">
        <v>10888</v>
      </c>
      <c r="F1988" s="215" t="s">
        <v>10851</v>
      </c>
      <c r="G1988" s="215" t="s">
        <v>10852</v>
      </c>
      <c r="H1988" s="215" t="s">
        <v>6504</v>
      </c>
      <c r="I1988" s="300"/>
      <c r="J1988" s="300"/>
      <c r="K1988" s="300"/>
      <c r="L1988" s="300"/>
      <c r="M1988" s="300"/>
      <c r="N1988" s="300"/>
      <c r="O1988" s="300"/>
      <c r="P1988" s="300"/>
      <c r="Q1988" s="300"/>
      <c r="R1988" s="300"/>
      <c r="S1988" s="300"/>
      <c r="T1988" s="300"/>
      <c r="U1988" s="300"/>
      <c r="V1988" s="300"/>
      <c r="W1988" s="300"/>
      <c r="X1988" s="300"/>
      <c r="Y1988" s="300"/>
      <c r="Z1988" s="300"/>
    </row>
    <row r="1989" spans="1:26">
      <c r="A1989" s="215" t="s">
        <v>4060</v>
      </c>
      <c r="B1989" s="207">
        <v>2125</v>
      </c>
      <c r="C1989" s="215" t="s">
        <v>5301</v>
      </c>
      <c r="D1989" s="215" t="s">
        <v>10889</v>
      </c>
      <c r="E1989" s="215" t="s">
        <v>10889</v>
      </c>
      <c r="F1989" s="215" t="s">
        <v>10851</v>
      </c>
      <c r="G1989" s="215" t="s">
        <v>10852</v>
      </c>
      <c r="H1989" s="215" t="s">
        <v>6497</v>
      </c>
      <c r="I1989" s="300"/>
      <c r="J1989" s="300"/>
      <c r="K1989" s="300"/>
      <c r="L1989" s="300"/>
      <c r="M1989" s="300"/>
      <c r="N1989" s="300"/>
      <c r="O1989" s="300"/>
      <c r="P1989" s="300"/>
      <c r="Q1989" s="300"/>
      <c r="R1989" s="300"/>
      <c r="S1989" s="300"/>
      <c r="T1989" s="300"/>
      <c r="U1989" s="300"/>
      <c r="V1989" s="300"/>
      <c r="W1989" s="300"/>
      <c r="X1989" s="300"/>
      <c r="Y1989" s="300"/>
      <c r="Z1989" s="300"/>
    </row>
    <row r="1990" spans="1:26">
      <c r="A1990" s="215" t="s">
        <v>4088</v>
      </c>
      <c r="B1990" s="207">
        <v>2126</v>
      </c>
      <c r="C1990" s="215" t="s">
        <v>6103</v>
      </c>
      <c r="D1990" s="215" t="s">
        <v>10890</v>
      </c>
      <c r="E1990" s="215" t="s">
        <v>10890</v>
      </c>
      <c r="F1990" s="215" t="s">
        <v>10851</v>
      </c>
      <c r="G1990" s="215" t="s">
        <v>10852</v>
      </c>
      <c r="H1990" s="215" t="s">
        <v>6504</v>
      </c>
      <c r="I1990" s="300"/>
      <c r="J1990" s="300"/>
      <c r="K1990" s="300"/>
      <c r="L1990" s="300"/>
      <c r="M1990" s="300"/>
      <c r="N1990" s="300"/>
      <c r="O1990" s="300"/>
      <c r="P1990" s="300"/>
      <c r="Q1990" s="300"/>
      <c r="R1990" s="300"/>
      <c r="S1990" s="300"/>
      <c r="T1990" s="300"/>
      <c r="U1990" s="300"/>
      <c r="V1990" s="300"/>
      <c r="W1990" s="300"/>
      <c r="X1990" s="300"/>
      <c r="Y1990" s="300"/>
      <c r="Z1990" s="300"/>
    </row>
    <row r="1991" spans="1:26">
      <c r="A1991" s="215" t="s">
        <v>3169</v>
      </c>
      <c r="B1991" s="207">
        <v>2127</v>
      </c>
      <c r="C1991" s="215" t="s">
        <v>5304</v>
      </c>
      <c r="D1991" s="215" t="s">
        <v>10891</v>
      </c>
      <c r="E1991" s="215" t="s">
        <v>10892</v>
      </c>
      <c r="F1991" s="215" t="s">
        <v>10851</v>
      </c>
      <c r="G1991" s="215" t="s">
        <v>10852</v>
      </c>
      <c r="H1991" s="215" t="s">
        <v>6504</v>
      </c>
      <c r="I1991" s="300"/>
      <c r="J1991" s="300"/>
      <c r="K1991" s="300"/>
      <c r="L1991" s="300"/>
      <c r="M1991" s="300"/>
      <c r="N1991" s="300"/>
      <c r="O1991" s="300"/>
      <c r="P1991" s="300"/>
      <c r="Q1991" s="300"/>
      <c r="R1991" s="300"/>
      <c r="S1991" s="300"/>
      <c r="T1991" s="300"/>
      <c r="U1991" s="300"/>
      <c r="V1991" s="300"/>
      <c r="W1991" s="300"/>
      <c r="X1991" s="300"/>
      <c r="Y1991" s="300"/>
      <c r="Z1991" s="300"/>
    </row>
    <row r="1992" spans="1:26">
      <c r="A1992" s="215" t="s">
        <v>4285</v>
      </c>
      <c r="B1992" s="207">
        <v>2128</v>
      </c>
      <c r="C1992" s="215" t="s">
        <v>6248</v>
      </c>
      <c r="D1992" s="215" t="s">
        <v>10893</v>
      </c>
      <c r="E1992" s="215" t="s">
        <v>10894</v>
      </c>
      <c r="F1992" s="215" t="s">
        <v>10851</v>
      </c>
      <c r="G1992" s="215" t="s">
        <v>10852</v>
      </c>
      <c r="H1992" s="215" t="s">
        <v>6497</v>
      </c>
      <c r="I1992" s="300"/>
      <c r="J1992" s="300"/>
      <c r="K1992" s="300"/>
      <c r="L1992" s="300"/>
      <c r="M1992" s="300"/>
      <c r="N1992" s="300"/>
      <c r="O1992" s="300"/>
      <c r="P1992" s="300"/>
      <c r="Q1992" s="300"/>
      <c r="R1992" s="300"/>
      <c r="S1992" s="300"/>
      <c r="T1992" s="300"/>
      <c r="U1992" s="300"/>
      <c r="V1992" s="300"/>
      <c r="W1992" s="300"/>
      <c r="X1992" s="300"/>
      <c r="Y1992" s="300"/>
      <c r="Z1992" s="300"/>
    </row>
    <row r="1993" spans="1:26">
      <c r="A1993" s="215" t="s">
        <v>4304</v>
      </c>
      <c r="B1993" s="207">
        <v>2129</v>
      </c>
      <c r="C1993" s="215" t="s">
        <v>6263</v>
      </c>
      <c r="D1993" s="215" t="s">
        <v>10895</v>
      </c>
      <c r="E1993" s="215" t="s">
        <v>10895</v>
      </c>
      <c r="F1993" s="215" t="s">
        <v>10851</v>
      </c>
      <c r="G1993" s="215" t="s">
        <v>10852</v>
      </c>
      <c r="H1993" s="215" t="s">
        <v>6497</v>
      </c>
      <c r="I1993" s="300"/>
      <c r="J1993" s="300"/>
      <c r="K1993" s="300"/>
      <c r="L1993" s="300"/>
      <c r="M1993" s="300"/>
      <c r="N1993" s="300"/>
      <c r="O1993" s="300"/>
      <c r="P1993" s="300"/>
      <c r="Q1993" s="300"/>
      <c r="R1993" s="300"/>
      <c r="S1993" s="300"/>
      <c r="T1993" s="300"/>
      <c r="U1993" s="300"/>
      <c r="V1993" s="300"/>
      <c r="W1993" s="300"/>
      <c r="X1993" s="300"/>
      <c r="Y1993" s="300"/>
      <c r="Z1993" s="300"/>
    </row>
    <row r="1994" spans="1:26">
      <c r="A1994" s="215" t="s">
        <v>4381</v>
      </c>
      <c r="B1994" s="207">
        <v>2130</v>
      </c>
      <c r="C1994" s="215" t="s">
        <v>6325</v>
      </c>
      <c r="D1994" s="215" t="s">
        <v>4381</v>
      </c>
      <c r="E1994" s="215" t="s">
        <v>4381</v>
      </c>
      <c r="F1994" s="215" t="s">
        <v>10851</v>
      </c>
      <c r="G1994" s="215" t="s">
        <v>10852</v>
      </c>
      <c r="H1994" s="215" t="s">
        <v>6504</v>
      </c>
      <c r="I1994" s="300"/>
      <c r="J1994" s="300"/>
      <c r="K1994" s="300"/>
      <c r="L1994" s="300"/>
      <c r="M1994" s="300"/>
      <c r="N1994" s="300"/>
      <c r="O1994" s="300"/>
      <c r="P1994" s="300"/>
      <c r="Q1994" s="300"/>
      <c r="R1994" s="300"/>
      <c r="S1994" s="300"/>
      <c r="T1994" s="300"/>
      <c r="U1994" s="300"/>
      <c r="V1994" s="300"/>
      <c r="W1994" s="300"/>
      <c r="X1994" s="300"/>
      <c r="Y1994" s="300"/>
      <c r="Z1994" s="300"/>
    </row>
    <row r="1995" spans="1:26">
      <c r="A1995" s="215" t="s">
        <v>4388</v>
      </c>
      <c r="B1995" s="207">
        <v>2131</v>
      </c>
      <c r="C1995" s="215" t="s">
        <v>6331</v>
      </c>
      <c r="D1995" s="215" t="s">
        <v>10896</v>
      </c>
      <c r="E1995" s="215" t="s">
        <v>10896</v>
      </c>
      <c r="F1995" s="215" t="s">
        <v>10851</v>
      </c>
      <c r="G1995" s="215" t="s">
        <v>10852</v>
      </c>
      <c r="H1995" s="215" t="s">
        <v>6504</v>
      </c>
      <c r="I1995" s="300"/>
      <c r="J1995" s="300"/>
      <c r="K1995" s="300"/>
      <c r="L1995" s="300"/>
      <c r="M1995" s="300"/>
      <c r="N1995" s="300"/>
      <c r="O1995" s="300"/>
      <c r="P1995" s="300"/>
      <c r="Q1995" s="300"/>
      <c r="R1995" s="300"/>
      <c r="S1995" s="300"/>
      <c r="T1995" s="300"/>
      <c r="U1995" s="300"/>
      <c r="V1995" s="300"/>
      <c r="W1995" s="300"/>
      <c r="X1995" s="300"/>
      <c r="Y1995" s="300"/>
      <c r="Z1995" s="300"/>
    </row>
    <row r="1996" spans="1:26">
      <c r="A1996" s="215" t="s">
        <v>4519</v>
      </c>
      <c r="B1996" s="207">
        <v>2132</v>
      </c>
      <c r="C1996" s="215" t="s">
        <v>6432</v>
      </c>
      <c r="D1996" s="215" t="s">
        <v>10897</v>
      </c>
      <c r="E1996" s="215" t="s">
        <v>10897</v>
      </c>
      <c r="F1996" s="215" t="s">
        <v>10851</v>
      </c>
      <c r="G1996" s="215" t="s">
        <v>10852</v>
      </c>
      <c r="H1996" s="215" t="s">
        <v>6504</v>
      </c>
      <c r="I1996" s="300"/>
      <c r="J1996" s="300"/>
      <c r="K1996" s="300"/>
      <c r="L1996" s="300"/>
      <c r="M1996" s="300"/>
      <c r="N1996" s="300"/>
      <c r="O1996" s="300"/>
      <c r="P1996" s="300"/>
      <c r="Q1996" s="300"/>
      <c r="R1996" s="300"/>
      <c r="S1996" s="300"/>
      <c r="T1996" s="300"/>
      <c r="U1996" s="300"/>
      <c r="V1996" s="300"/>
      <c r="W1996" s="300"/>
      <c r="X1996" s="300"/>
      <c r="Y1996" s="300"/>
      <c r="Z1996" s="300"/>
    </row>
    <row r="1997" spans="1:26">
      <c r="A1997" s="215" t="s">
        <v>2455</v>
      </c>
      <c r="B1997" s="207">
        <v>2655</v>
      </c>
      <c r="C1997" s="215" t="s">
        <v>4775</v>
      </c>
      <c r="D1997" s="215" t="s">
        <v>10898</v>
      </c>
      <c r="E1997" s="215" t="s">
        <v>10898</v>
      </c>
      <c r="F1997" s="215" t="s">
        <v>10851</v>
      </c>
      <c r="G1997" s="215" t="s">
        <v>10852</v>
      </c>
      <c r="H1997" s="215" t="s">
        <v>6497</v>
      </c>
      <c r="I1997" s="300"/>
      <c r="J1997" s="300"/>
      <c r="K1997" s="300"/>
      <c r="L1997" s="300"/>
      <c r="M1997" s="300"/>
      <c r="N1997" s="300"/>
      <c r="O1997" s="300"/>
      <c r="P1997" s="300"/>
      <c r="Q1997" s="300"/>
      <c r="R1997" s="300"/>
      <c r="S1997" s="300"/>
      <c r="T1997" s="300"/>
      <c r="U1997" s="300"/>
      <c r="V1997" s="300"/>
      <c r="W1997" s="300"/>
      <c r="X1997" s="300"/>
      <c r="Y1997" s="300"/>
      <c r="Z1997" s="300"/>
    </row>
    <row r="1998" spans="1:26">
      <c r="A1998" s="215" t="s">
        <v>2734</v>
      </c>
      <c r="B1998" s="207">
        <v>2656</v>
      </c>
      <c r="C1998" s="215" t="s">
        <v>4892</v>
      </c>
      <c r="D1998" s="215" t="s">
        <v>10899</v>
      </c>
      <c r="E1998" s="215" t="s">
        <v>10899</v>
      </c>
      <c r="F1998" s="215" t="s">
        <v>10851</v>
      </c>
      <c r="G1998" s="215" t="s">
        <v>10852</v>
      </c>
      <c r="H1998" s="215" t="s">
        <v>6500</v>
      </c>
      <c r="I1998" s="300"/>
      <c r="J1998" s="300"/>
      <c r="K1998" s="300"/>
      <c r="L1998" s="300"/>
      <c r="M1998" s="300"/>
      <c r="N1998" s="300"/>
      <c r="O1998" s="300"/>
      <c r="P1998" s="300"/>
      <c r="Q1998" s="300"/>
      <c r="R1998" s="300"/>
      <c r="S1998" s="300"/>
      <c r="T1998" s="300"/>
      <c r="U1998" s="300"/>
      <c r="V1998" s="300"/>
      <c r="W1998" s="300"/>
      <c r="X1998" s="300"/>
      <c r="Y1998" s="300"/>
      <c r="Z1998" s="300"/>
    </row>
    <row r="1999" spans="1:26">
      <c r="A1999" s="215" t="s">
        <v>2680</v>
      </c>
      <c r="B1999" s="207">
        <v>2657</v>
      </c>
      <c r="C1999" s="215" t="s">
        <v>4852</v>
      </c>
      <c r="D1999" s="215" t="s">
        <v>10900</v>
      </c>
      <c r="E1999" s="215" t="s">
        <v>10901</v>
      </c>
      <c r="F1999" s="215" t="s">
        <v>10851</v>
      </c>
      <c r="G1999" s="215" t="s">
        <v>10852</v>
      </c>
      <c r="H1999" s="215" t="s">
        <v>6521</v>
      </c>
      <c r="I1999" s="300"/>
      <c r="J1999" s="300"/>
      <c r="K1999" s="300"/>
      <c r="L1999" s="300"/>
      <c r="M1999" s="300"/>
      <c r="N1999" s="300"/>
      <c r="O1999" s="300"/>
      <c r="P1999" s="300"/>
      <c r="Q1999" s="300"/>
      <c r="R1999" s="300"/>
      <c r="S1999" s="300"/>
      <c r="T1999" s="300"/>
      <c r="U1999" s="300"/>
      <c r="V1999" s="300"/>
      <c r="W1999" s="300"/>
      <c r="X1999" s="300"/>
      <c r="Y1999" s="300"/>
      <c r="Z1999" s="300"/>
    </row>
    <row r="2000" spans="1:26">
      <c r="A2000" s="215" t="s">
        <v>3511</v>
      </c>
      <c r="B2000" s="207">
        <v>2658</v>
      </c>
      <c r="C2000" s="215" t="s">
        <v>5617</v>
      </c>
      <c r="D2000" s="215" t="s">
        <v>10902</v>
      </c>
      <c r="E2000" s="215" t="s">
        <v>10903</v>
      </c>
      <c r="F2000" s="215" t="s">
        <v>10851</v>
      </c>
      <c r="G2000" s="215" t="s">
        <v>10852</v>
      </c>
      <c r="H2000" s="215" t="s">
        <v>6548</v>
      </c>
      <c r="I2000" s="300"/>
      <c r="J2000" s="300"/>
      <c r="K2000" s="300"/>
      <c r="L2000" s="300"/>
      <c r="M2000" s="300"/>
      <c r="N2000" s="300"/>
      <c r="O2000" s="300"/>
      <c r="P2000" s="300"/>
      <c r="Q2000" s="300"/>
      <c r="R2000" s="300"/>
      <c r="S2000" s="300"/>
      <c r="T2000" s="300"/>
      <c r="U2000" s="300"/>
      <c r="V2000" s="300"/>
      <c r="W2000" s="300"/>
      <c r="X2000" s="300"/>
      <c r="Y2000" s="300"/>
      <c r="Z2000" s="300"/>
    </row>
    <row r="2001" spans="1:26">
      <c r="A2001" s="215" t="s">
        <v>2721</v>
      </c>
      <c r="B2001" s="207">
        <v>2659</v>
      </c>
      <c r="C2001" s="215" t="s">
        <v>4881</v>
      </c>
      <c r="D2001" s="215" t="s">
        <v>10904</v>
      </c>
      <c r="E2001" s="215" t="s">
        <v>10904</v>
      </c>
      <c r="F2001" s="215" t="s">
        <v>10851</v>
      </c>
      <c r="G2001" s="215" t="s">
        <v>10852</v>
      </c>
      <c r="H2001" s="215" t="s">
        <v>6500</v>
      </c>
      <c r="I2001" s="300"/>
      <c r="J2001" s="300"/>
      <c r="K2001" s="300"/>
      <c r="L2001" s="300"/>
      <c r="M2001" s="300"/>
      <c r="N2001" s="300"/>
      <c r="O2001" s="300"/>
      <c r="P2001" s="300"/>
      <c r="Q2001" s="300"/>
      <c r="R2001" s="300"/>
      <c r="S2001" s="300"/>
      <c r="T2001" s="300"/>
      <c r="U2001" s="300"/>
      <c r="V2001" s="300"/>
      <c r="W2001" s="300"/>
      <c r="X2001" s="300"/>
      <c r="Y2001" s="300"/>
      <c r="Z2001" s="300"/>
    </row>
    <row r="2002" spans="1:26">
      <c r="A2002" s="215" t="s">
        <v>2839</v>
      </c>
      <c r="B2002" s="207">
        <v>2660</v>
      </c>
      <c r="C2002" s="215" t="s">
        <v>5002</v>
      </c>
      <c r="D2002" s="215" t="s">
        <v>10905</v>
      </c>
      <c r="E2002" s="215" t="s">
        <v>10905</v>
      </c>
      <c r="F2002" s="215" t="s">
        <v>10851</v>
      </c>
      <c r="G2002" s="215" t="s">
        <v>10852</v>
      </c>
      <c r="H2002" s="215" t="s">
        <v>6500</v>
      </c>
      <c r="I2002" s="300"/>
      <c r="J2002" s="300"/>
      <c r="K2002" s="300"/>
      <c r="L2002" s="300"/>
      <c r="M2002" s="300"/>
      <c r="N2002" s="300"/>
      <c r="O2002" s="300"/>
      <c r="P2002" s="300"/>
      <c r="Q2002" s="300"/>
      <c r="R2002" s="300"/>
      <c r="S2002" s="300"/>
      <c r="T2002" s="300"/>
      <c r="U2002" s="300"/>
      <c r="V2002" s="300"/>
      <c r="W2002" s="300"/>
      <c r="X2002" s="300"/>
      <c r="Y2002" s="300"/>
      <c r="Z2002" s="300"/>
    </row>
    <row r="2003" spans="1:26">
      <c r="A2003" s="215" t="s">
        <v>2820</v>
      </c>
      <c r="B2003" s="207">
        <v>2661</v>
      </c>
      <c r="C2003" s="215" t="s">
        <v>4982</v>
      </c>
      <c r="D2003" s="215" t="s">
        <v>10906</v>
      </c>
      <c r="E2003" s="215" t="s">
        <v>10906</v>
      </c>
      <c r="F2003" s="215" t="s">
        <v>10851</v>
      </c>
      <c r="G2003" s="215" t="s">
        <v>10852</v>
      </c>
      <c r="H2003" s="215" t="s">
        <v>6548</v>
      </c>
      <c r="I2003" s="300"/>
      <c r="J2003" s="300"/>
      <c r="K2003" s="300"/>
      <c r="L2003" s="300"/>
      <c r="M2003" s="300"/>
      <c r="N2003" s="300"/>
      <c r="O2003" s="300"/>
      <c r="P2003" s="300"/>
      <c r="Q2003" s="300"/>
      <c r="R2003" s="300"/>
      <c r="S2003" s="300"/>
      <c r="T2003" s="300"/>
      <c r="U2003" s="300"/>
      <c r="V2003" s="300"/>
      <c r="W2003" s="300"/>
      <c r="X2003" s="300"/>
      <c r="Y2003" s="300"/>
      <c r="Z2003" s="300"/>
    </row>
    <row r="2004" spans="1:26">
      <c r="A2004" s="215" t="s">
        <v>2880</v>
      </c>
      <c r="B2004" s="207">
        <v>2662</v>
      </c>
      <c r="C2004" s="215" t="s">
        <v>5047</v>
      </c>
      <c r="D2004" s="215" t="s">
        <v>10907</v>
      </c>
      <c r="E2004" s="215" t="s">
        <v>10907</v>
      </c>
      <c r="F2004" s="215" t="s">
        <v>10851</v>
      </c>
      <c r="G2004" s="215" t="s">
        <v>10852</v>
      </c>
      <c r="H2004" s="215" t="s">
        <v>6521</v>
      </c>
      <c r="I2004" s="300"/>
      <c r="J2004" s="300"/>
      <c r="K2004" s="300"/>
      <c r="L2004" s="300"/>
      <c r="M2004" s="300"/>
      <c r="N2004" s="300"/>
      <c r="O2004" s="300"/>
      <c r="P2004" s="300"/>
      <c r="Q2004" s="300"/>
      <c r="R2004" s="300"/>
      <c r="S2004" s="300"/>
      <c r="T2004" s="300"/>
      <c r="U2004" s="300"/>
      <c r="V2004" s="300"/>
      <c r="W2004" s="300"/>
      <c r="X2004" s="300"/>
      <c r="Y2004" s="300"/>
      <c r="Z2004" s="300"/>
    </row>
    <row r="2005" spans="1:26">
      <c r="A2005" s="215" t="s">
        <v>2836</v>
      </c>
      <c r="B2005" s="207">
        <v>2663</v>
      </c>
      <c r="C2005" s="215" t="s">
        <v>4997</v>
      </c>
      <c r="D2005" s="215" t="s">
        <v>10908</v>
      </c>
      <c r="E2005" s="215" t="s">
        <v>10908</v>
      </c>
      <c r="F2005" s="215" t="s">
        <v>10851</v>
      </c>
      <c r="G2005" s="215" t="s">
        <v>10852</v>
      </c>
      <c r="H2005" s="215" t="s">
        <v>6504</v>
      </c>
      <c r="I2005" s="300"/>
      <c r="J2005" s="300"/>
      <c r="K2005" s="300"/>
      <c r="L2005" s="300"/>
      <c r="M2005" s="300"/>
      <c r="N2005" s="300"/>
      <c r="O2005" s="300"/>
      <c r="P2005" s="300"/>
      <c r="Q2005" s="300"/>
      <c r="R2005" s="300"/>
      <c r="S2005" s="300"/>
      <c r="T2005" s="300"/>
      <c r="U2005" s="300"/>
      <c r="V2005" s="300"/>
      <c r="W2005" s="300"/>
      <c r="X2005" s="300"/>
      <c r="Y2005" s="300"/>
      <c r="Z2005" s="300"/>
    </row>
    <row r="2006" spans="1:26">
      <c r="A2006" s="215" t="s">
        <v>2870</v>
      </c>
      <c r="B2006" s="207">
        <v>2664</v>
      </c>
      <c r="C2006" s="215" t="s">
        <v>5037</v>
      </c>
      <c r="D2006" s="215" t="s">
        <v>10909</v>
      </c>
      <c r="E2006" s="215" t="s">
        <v>10909</v>
      </c>
      <c r="F2006" s="215" t="s">
        <v>10851</v>
      </c>
      <c r="G2006" s="215" t="s">
        <v>10852</v>
      </c>
      <c r="H2006" s="215" t="s">
        <v>6521</v>
      </c>
      <c r="I2006" s="300"/>
      <c r="J2006" s="300"/>
      <c r="K2006" s="300"/>
      <c r="L2006" s="300"/>
      <c r="M2006" s="300"/>
      <c r="N2006" s="300"/>
      <c r="O2006" s="300"/>
      <c r="P2006" s="300"/>
      <c r="Q2006" s="300"/>
      <c r="R2006" s="300"/>
      <c r="S2006" s="300"/>
      <c r="T2006" s="300"/>
      <c r="U2006" s="300"/>
      <c r="V2006" s="300"/>
      <c r="W2006" s="300"/>
      <c r="X2006" s="300"/>
      <c r="Y2006" s="300"/>
      <c r="Z2006" s="300"/>
    </row>
    <row r="2007" spans="1:26">
      <c r="A2007" s="215" t="s">
        <v>2684</v>
      </c>
      <c r="B2007" s="207">
        <v>2665</v>
      </c>
      <c r="C2007" s="215" t="s">
        <v>4855</v>
      </c>
      <c r="D2007" s="215" t="s">
        <v>10910</v>
      </c>
      <c r="E2007" s="215" t="s">
        <v>10911</v>
      </c>
      <c r="F2007" s="215" t="s">
        <v>10851</v>
      </c>
      <c r="G2007" s="215" t="s">
        <v>10852</v>
      </c>
      <c r="H2007" s="215" t="s">
        <v>6521</v>
      </c>
      <c r="I2007" s="300"/>
      <c r="J2007" s="300"/>
      <c r="K2007" s="300"/>
      <c r="L2007" s="300"/>
      <c r="M2007" s="300"/>
      <c r="N2007" s="300"/>
      <c r="O2007" s="300"/>
      <c r="P2007" s="300"/>
      <c r="Q2007" s="300"/>
      <c r="R2007" s="300"/>
      <c r="S2007" s="300"/>
      <c r="T2007" s="300"/>
      <c r="U2007" s="300"/>
      <c r="V2007" s="300"/>
      <c r="W2007" s="300"/>
      <c r="X2007" s="300"/>
      <c r="Y2007" s="300"/>
      <c r="Z2007" s="300"/>
    </row>
    <row r="2008" spans="1:26">
      <c r="A2008" s="215" t="s">
        <v>2821</v>
      </c>
      <c r="B2008" s="207">
        <v>2666</v>
      </c>
      <c r="C2008" s="215" t="s">
        <v>4983</v>
      </c>
      <c r="D2008" s="215" t="s">
        <v>10912</v>
      </c>
      <c r="E2008" s="215" t="s">
        <v>10912</v>
      </c>
      <c r="F2008" s="215" t="s">
        <v>10851</v>
      </c>
      <c r="G2008" s="215" t="s">
        <v>10852</v>
      </c>
      <c r="H2008" s="215" t="s">
        <v>6500</v>
      </c>
      <c r="I2008" s="300"/>
      <c r="J2008" s="300"/>
      <c r="K2008" s="300"/>
      <c r="L2008" s="300"/>
      <c r="M2008" s="300"/>
      <c r="N2008" s="300"/>
      <c r="O2008" s="300"/>
      <c r="P2008" s="300"/>
      <c r="Q2008" s="300"/>
      <c r="R2008" s="300"/>
      <c r="S2008" s="300"/>
      <c r="T2008" s="300"/>
      <c r="U2008" s="300"/>
      <c r="V2008" s="300"/>
      <c r="W2008" s="300"/>
      <c r="X2008" s="300"/>
      <c r="Y2008" s="300"/>
      <c r="Z2008" s="300"/>
    </row>
    <row r="2009" spans="1:26">
      <c r="A2009" s="215" t="s">
        <v>3968</v>
      </c>
      <c r="B2009" s="207">
        <v>2667</v>
      </c>
      <c r="C2009" s="215" t="s">
        <v>6003</v>
      </c>
      <c r="D2009" s="215" t="s">
        <v>10913</v>
      </c>
      <c r="E2009" s="215" t="s">
        <v>10913</v>
      </c>
      <c r="F2009" s="215" t="s">
        <v>10851</v>
      </c>
      <c r="G2009" s="215" t="s">
        <v>10852</v>
      </c>
      <c r="H2009" s="215" t="s">
        <v>6500</v>
      </c>
      <c r="I2009" s="300"/>
      <c r="J2009" s="300"/>
      <c r="K2009" s="300"/>
      <c r="L2009" s="300"/>
      <c r="M2009" s="300"/>
      <c r="N2009" s="300"/>
      <c r="O2009" s="300"/>
      <c r="P2009" s="300"/>
      <c r="Q2009" s="300"/>
      <c r="R2009" s="300"/>
      <c r="S2009" s="300"/>
      <c r="T2009" s="300"/>
      <c r="U2009" s="300"/>
      <c r="V2009" s="300"/>
      <c r="W2009" s="300"/>
      <c r="X2009" s="300"/>
      <c r="Y2009" s="300"/>
      <c r="Z2009" s="300"/>
    </row>
    <row r="2010" spans="1:26">
      <c r="A2010" s="215" t="s">
        <v>3037</v>
      </c>
      <c r="B2010" s="207">
        <v>2668</v>
      </c>
      <c r="C2010" s="215" t="s">
        <v>5172</v>
      </c>
      <c r="D2010" s="215" t="s">
        <v>10914</v>
      </c>
      <c r="E2010" s="215" t="s">
        <v>10914</v>
      </c>
      <c r="F2010" s="215" t="s">
        <v>10851</v>
      </c>
      <c r="G2010" s="215" t="s">
        <v>10852</v>
      </c>
      <c r="H2010" s="215" t="s">
        <v>6500</v>
      </c>
      <c r="I2010" s="300"/>
      <c r="J2010" s="300"/>
      <c r="K2010" s="300"/>
      <c r="L2010" s="300"/>
      <c r="M2010" s="300"/>
      <c r="N2010" s="300"/>
      <c r="O2010" s="300"/>
      <c r="P2010" s="300"/>
      <c r="Q2010" s="300"/>
      <c r="R2010" s="300"/>
      <c r="S2010" s="300"/>
      <c r="T2010" s="300"/>
      <c r="U2010" s="300"/>
      <c r="V2010" s="300"/>
      <c r="W2010" s="300"/>
      <c r="X2010" s="300"/>
      <c r="Y2010" s="300"/>
      <c r="Z2010" s="300"/>
    </row>
    <row r="2011" spans="1:26">
      <c r="A2011" s="215" t="s">
        <v>3192</v>
      </c>
      <c r="B2011" s="207">
        <v>2669</v>
      </c>
      <c r="C2011" s="215" t="s">
        <v>5323</v>
      </c>
      <c r="D2011" s="215" t="s">
        <v>10915</v>
      </c>
      <c r="E2011" s="215" t="s">
        <v>10916</v>
      </c>
      <c r="F2011" s="215" t="s">
        <v>10851</v>
      </c>
      <c r="G2011" s="215" t="s">
        <v>10852</v>
      </c>
      <c r="H2011" s="215" t="s">
        <v>6521</v>
      </c>
      <c r="I2011" s="300"/>
      <c r="J2011" s="300"/>
      <c r="K2011" s="300"/>
      <c r="L2011" s="300"/>
      <c r="M2011" s="300"/>
      <c r="N2011" s="300"/>
      <c r="O2011" s="300"/>
      <c r="P2011" s="300"/>
      <c r="Q2011" s="300"/>
      <c r="R2011" s="300"/>
      <c r="S2011" s="300"/>
      <c r="T2011" s="300"/>
      <c r="U2011" s="300"/>
      <c r="V2011" s="300"/>
      <c r="W2011" s="300"/>
      <c r="X2011" s="300"/>
      <c r="Y2011" s="300"/>
      <c r="Z2011" s="300"/>
    </row>
    <row r="2012" spans="1:26">
      <c r="A2012" s="215" t="s">
        <v>3176</v>
      </c>
      <c r="B2012" s="207">
        <v>2670</v>
      </c>
      <c r="C2012" s="215" t="s">
        <v>5310</v>
      </c>
      <c r="D2012" s="215" t="s">
        <v>10917</v>
      </c>
      <c r="E2012" s="215" t="s">
        <v>10918</v>
      </c>
      <c r="F2012" s="215" t="s">
        <v>10851</v>
      </c>
      <c r="G2012" s="215" t="s">
        <v>10852</v>
      </c>
      <c r="H2012" s="215" t="s">
        <v>6500</v>
      </c>
      <c r="I2012" s="300"/>
      <c r="J2012" s="300"/>
      <c r="K2012" s="300"/>
      <c r="L2012" s="300"/>
      <c r="M2012" s="300"/>
      <c r="N2012" s="300"/>
      <c r="O2012" s="300"/>
      <c r="P2012" s="300"/>
      <c r="Q2012" s="300"/>
      <c r="R2012" s="300"/>
      <c r="S2012" s="300"/>
      <c r="T2012" s="300"/>
      <c r="U2012" s="300"/>
      <c r="V2012" s="300"/>
      <c r="W2012" s="300"/>
      <c r="X2012" s="300"/>
      <c r="Y2012" s="300"/>
      <c r="Z2012" s="300"/>
    </row>
    <row r="2013" spans="1:26">
      <c r="A2013" s="215" t="s">
        <v>10919</v>
      </c>
      <c r="B2013" s="207">
        <v>2671</v>
      </c>
      <c r="C2013" s="215" t="s">
        <v>10920</v>
      </c>
      <c r="D2013" s="215" t="s">
        <v>10921</v>
      </c>
      <c r="E2013" s="215" t="s">
        <v>10921</v>
      </c>
      <c r="F2013" s="215" t="s">
        <v>10851</v>
      </c>
      <c r="G2013" s="215" t="s">
        <v>10852</v>
      </c>
      <c r="H2013" s="215" t="s">
        <v>6548</v>
      </c>
      <c r="I2013" s="300"/>
      <c r="J2013" s="300"/>
      <c r="K2013" s="300"/>
      <c r="L2013" s="300"/>
      <c r="M2013" s="300"/>
      <c r="N2013" s="300"/>
      <c r="O2013" s="300"/>
      <c r="P2013" s="300"/>
      <c r="Q2013" s="300"/>
      <c r="R2013" s="300"/>
      <c r="S2013" s="300"/>
      <c r="T2013" s="300"/>
      <c r="U2013" s="300"/>
      <c r="V2013" s="300"/>
      <c r="W2013" s="300"/>
      <c r="X2013" s="300"/>
      <c r="Y2013" s="300"/>
      <c r="Z2013" s="300"/>
    </row>
    <row r="2014" spans="1:26">
      <c r="A2014" s="215" t="s">
        <v>3346</v>
      </c>
      <c r="B2014" s="207">
        <v>2672</v>
      </c>
      <c r="C2014" s="215" t="s">
        <v>5468</v>
      </c>
      <c r="D2014" s="215" t="s">
        <v>10922</v>
      </c>
      <c r="E2014" s="215" t="s">
        <v>10922</v>
      </c>
      <c r="F2014" s="215" t="s">
        <v>10851</v>
      </c>
      <c r="G2014" s="215" t="s">
        <v>10852</v>
      </c>
      <c r="H2014" s="215" t="s">
        <v>6521</v>
      </c>
      <c r="I2014" s="300"/>
      <c r="J2014" s="300"/>
      <c r="K2014" s="300"/>
      <c r="L2014" s="300"/>
      <c r="M2014" s="300"/>
      <c r="N2014" s="300"/>
      <c r="O2014" s="300"/>
      <c r="P2014" s="300"/>
      <c r="Q2014" s="300"/>
      <c r="R2014" s="300"/>
      <c r="S2014" s="300"/>
      <c r="T2014" s="300"/>
      <c r="U2014" s="300"/>
      <c r="V2014" s="300"/>
      <c r="W2014" s="300"/>
      <c r="X2014" s="300"/>
      <c r="Y2014" s="300"/>
      <c r="Z2014" s="300"/>
    </row>
    <row r="2015" spans="1:26">
      <c r="A2015" s="215" t="s">
        <v>4198</v>
      </c>
      <c r="B2015" s="207">
        <v>2673</v>
      </c>
      <c r="C2015" s="215" t="s">
        <v>6182</v>
      </c>
      <c r="D2015" s="215" t="s">
        <v>10923</v>
      </c>
      <c r="E2015" s="215" t="s">
        <v>10924</v>
      </c>
      <c r="F2015" s="215" t="s">
        <v>10851</v>
      </c>
      <c r="G2015" s="215" t="s">
        <v>10852</v>
      </c>
      <c r="H2015" s="215" t="s">
        <v>6521</v>
      </c>
      <c r="I2015" s="300"/>
      <c r="J2015" s="300"/>
      <c r="K2015" s="300"/>
      <c r="L2015" s="300"/>
      <c r="M2015" s="300"/>
      <c r="N2015" s="300"/>
      <c r="O2015" s="300"/>
      <c r="P2015" s="300"/>
      <c r="Q2015" s="300"/>
      <c r="R2015" s="300"/>
      <c r="S2015" s="300"/>
      <c r="T2015" s="300"/>
      <c r="U2015" s="300"/>
      <c r="V2015" s="300"/>
      <c r="W2015" s="300"/>
      <c r="X2015" s="300"/>
      <c r="Y2015" s="300"/>
      <c r="Z2015" s="300"/>
    </row>
    <row r="2016" spans="1:26">
      <c r="A2016" s="215" t="s">
        <v>3446</v>
      </c>
      <c r="B2016" s="207">
        <v>2674</v>
      </c>
      <c r="C2016" s="215" t="s">
        <v>5567</v>
      </c>
      <c r="D2016" s="215" t="s">
        <v>10925</v>
      </c>
      <c r="E2016" s="215" t="s">
        <v>10925</v>
      </c>
      <c r="F2016" s="215" t="s">
        <v>10851</v>
      </c>
      <c r="G2016" s="215" t="s">
        <v>10852</v>
      </c>
      <c r="H2016" s="215" t="s">
        <v>6521</v>
      </c>
      <c r="I2016" s="300"/>
      <c r="J2016" s="300"/>
      <c r="K2016" s="300"/>
      <c r="L2016" s="300"/>
      <c r="M2016" s="300"/>
      <c r="N2016" s="300"/>
      <c r="O2016" s="300"/>
      <c r="P2016" s="300"/>
      <c r="Q2016" s="300"/>
      <c r="R2016" s="300"/>
      <c r="S2016" s="300"/>
      <c r="T2016" s="300"/>
      <c r="U2016" s="300"/>
      <c r="V2016" s="300"/>
      <c r="W2016" s="300"/>
      <c r="X2016" s="300"/>
      <c r="Y2016" s="300"/>
      <c r="Z2016" s="300"/>
    </row>
    <row r="2017" spans="1:26">
      <c r="A2017" s="215" t="s">
        <v>3463</v>
      </c>
      <c r="B2017" s="207">
        <v>2675</v>
      </c>
      <c r="C2017" s="215" t="s">
        <v>5578</v>
      </c>
      <c r="D2017" s="215" t="s">
        <v>10926</v>
      </c>
      <c r="E2017" s="215" t="s">
        <v>10926</v>
      </c>
      <c r="F2017" s="215" t="s">
        <v>10851</v>
      </c>
      <c r="G2017" s="215" t="s">
        <v>10852</v>
      </c>
      <c r="H2017" s="215" t="s">
        <v>6548</v>
      </c>
      <c r="I2017" s="300"/>
      <c r="J2017" s="300"/>
      <c r="K2017" s="300"/>
      <c r="L2017" s="300"/>
      <c r="M2017" s="300"/>
      <c r="N2017" s="300"/>
      <c r="O2017" s="300"/>
      <c r="P2017" s="300"/>
      <c r="Q2017" s="300"/>
      <c r="R2017" s="300"/>
      <c r="S2017" s="300"/>
      <c r="T2017" s="300"/>
      <c r="U2017" s="300"/>
      <c r="V2017" s="300"/>
      <c r="W2017" s="300"/>
      <c r="X2017" s="300"/>
      <c r="Y2017" s="300"/>
      <c r="Z2017" s="300"/>
    </row>
    <row r="2018" spans="1:26">
      <c r="A2018" s="215" t="s">
        <v>3427</v>
      </c>
      <c r="B2018" s="207">
        <v>2676</v>
      </c>
      <c r="C2018" s="215" t="s">
        <v>5548</v>
      </c>
      <c r="D2018" s="215" t="s">
        <v>10927</v>
      </c>
      <c r="E2018" s="215" t="s">
        <v>10928</v>
      </c>
      <c r="F2018" s="215" t="s">
        <v>10851</v>
      </c>
      <c r="G2018" s="215" t="s">
        <v>10852</v>
      </c>
      <c r="H2018" s="215" t="s">
        <v>6521</v>
      </c>
      <c r="I2018" s="300"/>
      <c r="J2018" s="300"/>
      <c r="K2018" s="300"/>
      <c r="L2018" s="300"/>
      <c r="M2018" s="300"/>
      <c r="N2018" s="300"/>
      <c r="O2018" s="300"/>
      <c r="P2018" s="300"/>
      <c r="Q2018" s="300"/>
      <c r="R2018" s="300"/>
      <c r="S2018" s="300"/>
      <c r="T2018" s="300"/>
      <c r="U2018" s="300"/>
      <c r="V2018" s="300"/>
      <c r="W2018" s="300"/>
      <c r="X2018" s="300"/>
      <c r="Y2018" s="300"/>
      <c r="Z2018" s="300"/>
    </row>
    <row r="2019" spans="1:26">
      <c r="A2019" s="215" t="s">
        <v>4462</v>
      </c>
      <c r="B2019" s="207">
        <v>2677</v>
      </c>
      <c r="C2019" s="215" t="s">
        <v>6390</v>
      </c>
      <c r="D2019" s="215" t="s">
        <v>10929</v>
      </c>
      <c r="E2019" s="215" t="s">
        <v>10929</v>
      </c>
      <c r="F2019" s="215" t="s">
        <v>10851</v>
      </c>
      <c r="G2019" s="215" t="s">
        <v>10852</v>
      </c>
      <c r="H2019" s="215" t="s">
        <v>6548</v>
      </c>
      <c r="I2019" s="300"/>
      <c r="J2019" s="300"/>
      <c r="K2019" s="300"/>
      <c r="L2019" s="300"/>
      <c r="M2019" s="300"/>
      <c r="N2019" s="300"/>
      <c r="O2019" s="300"/>
      <c r="P2019" s="300"/>
      <c r="Q2019" s="300"/>
      <c r="R2019" s="300"/>
      <c r="S2019" s="300"/>
      <c r="T2019" s="300"/>
      <c r="U2019" s="300"/>
      <c r="V2019" s="300"/>
      <c r="W2019" s="300"/>
      <c r="X2019" s="300"/>
      <c r="Y2019" s="300"/>
      <c r="Z2019" s="300"/>
    </row>
    <row r="2020" spans="1:26">
      <c r="A2020" s="215" t="s">
        <v>4477</v>
      </c>
      <c r="B2020" s="207">
        <v>2678</v>
      </c>
      <c r="C2020" s="215" t="s">
        <v>6403</v>
      </c>
      <c r="D2020" s="215" t="s">
        <v>10930</v>
      </c>
      <c r="E2020" s="215" t="s">
        <v>10930</v>
      </c>
      <c r="F2020" s="215" t="s">
        <v>10851</v>
      </c>
      <c r="G2020" s="215" t="s">
        <v>10852</v>
      </c>
      <c r="H2020" s="215" t="s">
        <v>6521</v>
      </c>
      <c r="I2020" s="300"/>
      <c r="J2020" s="300"/>
      <c r="K2020" s="300"/>
      <c r="L2020" s="300"/>
      <c r="M2020" s="300"/>
      <c r="N2020" s="300"/>
      <c r="O2020" s="300"/>
      <c r="P2020" s="300"/>
      <c r="Q2020" s="300"/>
      <c r="R2020" s="300"/>
      <c r="S2020" s="300"/>
      <c r="T2020" s="300"/>
      <c r="U2020" s="300"/>
      <c r="V2020" s="300"/>
      <c r="W2020" s="300"/>
      <c r="X2020" s="300"/>
      <c r="Y2020" s="300"/>
      <c r="Z2020" s="300"/>
    </row>
    <row r="2021" spans="1:26">
      <c r="A2021" s="215" t="s">
        <v>3344</v>
      </c>
      <c r="B2021" s="207">
        <v>2679</v>
      </c>
      <c r="C2021" s="215" t="s">
        <v>10931</v>
      </c>
      <c r="D2021" s="215" t="s">
        <v>10932</v>
      </c>
      <c r="E2021" s="215" t="s">
        <v>10933</v>
      </c>
      <c r="F2021" s="215" t="s">
        <v>10851</v>
      </c>
      <c r="G2021" s="215" t="s">
        <v>10852</v>
      </c>
      <c r="H2021" s="215" t="s">
        <v>6521</v>
      </c>
      <c r="I2021" s="300"/>
      <c r="J2021" s="300"/>
      <c r="K2021" s="300"/>
      <c r="L2021" s="300"/>
      <c r="M2021" s="300"/>
      <c r="N2021" s="300"/>
      <c r="O2021" s="300"/>
      <c r="P2021" s="300"/>
      <c r="Q2021" s="300"/>
      <c r="R2021" s="300"/>
      <c r="S2021" s="300"/>
      <c r="T2021" s="300"/>
      <c r="U2021" s="300"/>
      <c r="V2021" s="300"/>
      <c r="W2021" s="300"/>
      <c r="X2021" s="300"/>
      <c r="Y2021" s="300"/>
      <c r="Z2021" s="300"/>
    </row>
    <row r="2022" spans="1:26">
      <c r="A2022" s="215" t="s">
        <v>3443</v>
      </c>
      <c r="B2022" s="207">
        <v>2680</v>
      </c>
      <c r="C2022" s="215" t="s">
        <v>5564</v>
      </c>
      <c r="D2022" s="215" t="s">
        <v>10934</v>
      </c>
      <c r="E2022" s="215" t="s">
        <v>10935</v>
      </c>
      <c r="F2022" s="215" t="s">
        <v>10851</v>
      </c>
      <c r="G2022" s="215" t="s">
        <v>10852</v>
      </c>
      <c r="H2022" s="215" t="s">
        <v>6521</v>
      </c>
      <c r="I2022" s="300"/>
      <c r="J2022" s="300"/>
      <c r="K2022" s="300"/>
      <c r="L2022" s="300"/>
      <c r="M2022" s="300"/>
      <c r="N2022" s="300"/>
      <c r="O2022" s="300"/>
      <c r="P2022" s="300"/>
      <c r="Q2022" s="300"/>
      <c r="R2022" s="300"/>
      <c r="S2022" s="300"/>
      <c r="T2022" s="300"/>
      <c r="U2022" s="300"/>
      <c r="V2022" s="300"/>
      <c r="W2022" s="300"/>
      <c r="X2022" s="300"/>
      <c r="Y2022" s="300"/>
      <c r="Z2022" s="300"/>
    </row>
    <row r="2023" spans="1:26">
      <c r="A2023" s="215" t="s">
        <v>3466</v>
      </c>
      <c r="B2023" s="207">
        <v>2681</v>
      </c>
      <c r="C2023" s="215" t="s">
        <v>5579</v>
      </c>
      <c r="D2023" s="215" t="s">
        <v>10936</v>
      </c>
      <c r="E2023" s="215" t="s">
        <v>10936</v>
      </c>
      <c r="F2023" s="215" t="s">
        <v>10851</v>
      </c>
      <c r="G2023" s="215" t="s">
        <v>10852</v>
      </c>
      <c r="H2023" s="215" t="s">
        <v>6521</v>
      </c>
      <c r="I2023" s="300"/>
      <c r="J2023" s="300"/>
      <c r="K2023" s="300"/>
      <c r="L2023" s="300"/>
      <c r="M2023" s="300"/>
      <c r="N2023" s="300"/>
      <c r="O2023" s="300"/>
      <c r="P2023" s="300"/>
      <c r="Q2023" s="300"/>
      <c r="R2023" s="300"/>
      <c r="S2023" s="300"/>
      <c r="T2023" s="300"/>
      <c r="U2023" s="300"/>
      <c r="V2023" s="300"/>
      <c r="W2023" s="300"/>
      <c r="X2023" s="300"/>
      <c r="Y2023" s="300"/>
      <c r="Z2023" s="300"/>
    </row>
    <row r="2024" spans="1:26">
      <c r="A2024" s="215"/>
      <c r="B2024" s="207">
        <v>2682</v>
      </c>
      <c r="C2024" s="215" t="s">
        <v>10937</v>
      </c>
      <c r="D2024" s="215" t="s">
        <v>10938</v>
      </c>
      <c r="E2024" s="215" t="s">
        <v>10938</v>
      </c>
      <c r="F2024" s="215" t="s">
        <v>10851</v>
      </c>
      <c r="G2024" s="215" t="s">
        <v>10852</v>
      </c>
      <c r="H2024" s="215" t="s">
        <v>6521</v>
      </c>
      <c r="I2024" s="300"/>
      <c r="J2024" s="300"/>
      <c r="K2024" s="300"/>
      <c r="L2024" s="300"/>
      <c r="M2024" s="300"/>
      <c r="N2024" s="300"/>
      <c r="O2024" s="300"/>
      <c r="P2024" s="300"/>
      <c r="Q2024" s="300"/>
      <c r="R2024" s="300"/>
      <c r="S2024" s="300"/>
      <c r="T2024" s="300"/>
      <c r="U2024" s="300"/>
      <c r="V2024" s="300"/>
      <c r="W2024" s="300"/>
      <c r="X2024" s="300"/>
      <c r="Y2024" s="300"/>
      <c r="Z2024" s="300"/>
    </row>
    <row r="2025" spans="1:26">
      <c r="A2025" s="215" t="s">
        <v>3535</v>
      </c>
      <c r="B2025" s="207">
        <v>2683</v>
      </c>
      <c r="C2025" s="215" t="s">
        <v>5645</v>
      </c>
      <c r="D2025" s="215" t="s">
        <v>10939</v>
      </c>
      <c r="E2025" s="215" t="s">
        <v>10939</v>
      </c>
      <c r="F2025" s="215" t="s">
        <v>10851</v>
      </c>
      <c r="G2025" s="215" t="s">
        <v>10852</v>
      </c>
      <c r="H2025" s="215" t="s">
        <v>6500</v>
      </c>
      <c r="I2025" s="300"/>
      <c r="J2025" s="300"/>
      <c r="K2025" s="300"/>
      <c r="L2025" s="300"/>
      <c r="M2025" s="300"/>
      <c r="N2025" s="300"/>
      <c r="O2025" s="300"/>
      <c r="P2025" s="300"/>
      <c r="Q2025" s="300"/>
      <c r="R2025" s="300"/>
      <c r="S2025" s="300"/>
      <c r="T2025" s="300"/>
      <c r="U2025" s="300"/>
      <c r="V2025" s="300"/>
      <c r="W2025" s="300"/>
      <c r="X2025" s="300"/>
      <c r="Y2025" s="300"/>
      <c r="Z2025" s="300"/>
    </row>
    <row r="2026" spans="1:26">
      <c r="A2026" s="215" t="s">
        <v>4562</v>
      </c>
      <c r="B2026" s="207">
        <v>2684</v>
      </c>
      <c r="C2026" s="215" t="s">
        <v>6470</v>
      </c>
      <c r="D2026" s="215" t="s">
        <v>10940</v>
      </c>
      <c r="E2026" s="215" t="s">
        <v>10940</v>
      </c>
      <c r="F2026" s="215" t="s">
        <v>10851</v>
      </c>
      <c r="G2026" s="215" t="s">
        <v>10852</v>
      </c>
      <c r="H2026" s="215" t="s">
        <v>6521</v>
      </c>
      <c r="I2026" s="300"/>
      <c r="J2026" s="300"/>
      <c r="K2026" s="300"/>
      <c r="L2026" s="300"/>
      <c r="M2026" s="300"/>
      <c r="N2026" s="300"/>
      <c r="O2026" s="300"/>
      <c r="P2026" s="300"/>
      <c r="Q2026" s="300"/>
      <c r="R2026" s="300"/>
      <c r="S2026" s="300"/>
      <c r="T2026" s="300"/>
      <c r="U2026" s="300"/>
      <c r="V2026" s="300"/>
      <c r="W2026" s="300"/>
      <c r="X2026" s="300"/>
      <c r="Y2026" s="300"/>
      <c r="Z2026" s="300"/>
    </row>
    <row r="2027" spans="1:26">
      <c r="A2027" s="215"/>
      <c r="B2027" s="207">
        <v>2685</v>
      </c>
      <c r="C2027" s="215" t="s">
        <v>10941</v>
      </c>
      <c r="D2027" s="215" t="s">
        <v>10942</v>
      </c>
      <c r="E2027" s="215" t="s">
        <v>10942</v>
      </c>
      <c r="F2027" s="215" t="s">
        <v>10851</v>
      </c>
      <c r="G2027" s="215" t="s">
        <v>10852</v>
      </c>
      <c r="H2027" s="215" t="s">
        <v>6548</v>
      </c>
      <c r="I2027" s="300"/>
      <c r="J2027" s="300"/>
      <c r="K2027" s="300"/>
      <c r="L2027" s="300"/>
      <c r="M2027" s="300"/>
      <c r="N2027" s="300"/>
      <c r="O2027" s="300"/>
      <c r="P2027" s="300"/>
      <c r="Q2027" s="300"/>
      <c r="R2027" s="300"/>
      <c r="S2027" s="300"/>
      <c r="T2027" s="300"/>
      <c r="U2027" s="300"/>
      <c r="V2027" s="300"/>
      <c r="W2027" s="300"/>
      <c r="X2027" s="300"/>
      <c r="Y2027" s="300"/>
      <c r="Z2027" s="300"/>
    </row>
    <row r="2028" spans="1:26">
      <c r="A2028" s="215" t="s">
        <v>3590</v>
      </c>
      <c r="B2028" s="207">
        <v>2686</v>
      </c>
      <c r="C2028" s="215" t="s">
        <v>5363</v>
      </c>
      <c r="D2028" s="215" t="s">
        <v>10943</v>
      </c>
      <c r="E2028" s="215" t="s">
        <v>10943</v>
      </c>
      <c r="F2028" s="215" t="s">
        <v>10851</v>
      </c>
      <c r="G2028" s="215" t="s">
        <v>10852</v>
      </c>
      <c r="H2028" s="215" t="s">
        <v>6504</v>
      </c>
      <c r="I2028" s="300"/>
      <c r="J2028" s="300"/>
      <c r="K2028" s="300"/>
      <c r="L2028" s="300"/>
      <c r="M2028" s="300"/>
      <c r="N2028" s="300"/>
      <c r="O2028" s="300"/>
      <c r="P2028" s="300"/>
      <c r="Q2028" s="300"/>
      <c r="R2028" s="300"/>
      <c r="S2028" s="300"/>
      <c r="T2028" s="300"/>
      <c r="U2028" s="300"/>
      <c r="V2028" s="300"/>
      <c r="W2028" s="300"/>
      <c r="X2028" s="300"/>
      <c r="Y2028" s="300"/>
      <c r="Z2028" s="300"/>
    </row>
    <row r="2029" spans="1:26">
      <c r="A2029" s="215" t="s">
        <v>3607</v>
      </c>
      <c r="B2029" s="207">
        <v>2687</v>
      </c>
      <c r="C2029" s="215" t="s">
        <v>5707</v>
      </c>
      <c r="D2029" s="215" t="s">
        <v>10944</v>
      </c>
      <c r="E2029" s="215" t="s">
        <v>10944</v>
      </c>
      <c r="F2029" s="215" t="s">
        <v>10851</v>
      </c>
      <c r="G2029" s="215" t="s">
        <v>10852</v>
      </c>
      <c r="H2029" s="215" t="s">
        <v>6548</v>
      </c>
      <c r="I2029" s="300"/>
      <c r="J2029" s="300"/>
      <c r="K2029" s="300"/>
      <c r="L2029" s="300"/>
      <c r="M2029" s="300"/>
      <c r="N2029" s="300"/>
      <c r="O2029" s="300"/>
      <c r="P2029" s="300"/>
      <c r="Q2029" s="300"/>
      <c r="R2029" s="300"/>
      <c r="S2029" s="300"/>
      <c r="T2029" s="300"/>
      <c r="U2029" s="300"/>
      <c r="V2029" s="300"/>
      <c r="W2029" s="300"/>
      <c r="X2029" s="300"/>
      <c r="Y2029" s="300"/>
      <c r="Z2029" s="300"/>
    </row>
    <row r="2030" spans="1:26">
      <c r="A2030" s="215" t="s">
        <v>3691</v>
      </c>
      <c r="B2030" s="207">
        <v>2688</v>
      </c>
      <c r="C2030" s="215" t="s">
        <v>5779</v>
      </c>
      <c r="D2030" s="215" t="s">
        <v>10945</v>
      </c>
      <c r="E2030" s="215" t="s">
        <v>10946</v>
      </c>
      <c r="F2030" s="215" t="s">
        <v>10851</v>
      </c>
      <c r="G2030" s="215" t="s">
        <v>10852</v>
      </c>
      <c r="H2030" s="215" t="s">
        <v>6521</v>
      </c>
      <c r="I2030" s="300"/>
      <c r="J2030" s="300"/>
      <c r="K2030" s="300"/>
      <c r="L2030" s="300"/>
      <c r="M2030" s="300"/>
      <c r="N2030" s="300"/>
      <c r="O2030" s="300"/>
      <c r="P2030" s="300"/>
      <c r="Q2030" s="300"/>
      <c r="R2030" s="300"/>
      <c r="S2030" s="300"/>
      <c r="T2030" s="300"/>
      <c r="U2030" s="300"/>
      <c r="V2030" s="300"/>
      <c r="W2030" s="300"/>
      <c r="X2030" s="300"/>
      <c r="Y2030" s="300"/>
      <c r="Z2030" s="300"/>
    </row>
    <row r="2031" spans="1:26">
      <c r="A2031" s="215" t="s">
        <v>3689</v>
      </c>
      <c r="B2031" s="207">
        <v>2689</v>
      </c>
      <c r="C2031" s="215" t="s">
        <v>5777</v>
      </c>
      <c r="D2031" s="215" t="s">
        <v>10947</v>
      </c>
      <c r="E2031" s="215" t="s">
        <v>10947</v>
      </c>
      <c r="F2031" s="215" t="s">
        <v>10851</v>
      </c>
      <c r="G2031" s="215" t="s">
        <v>10852</v>
      </c>
      <c r="H2031" s="215" t="s">
        <v>6500</v>
      </c>
      <c r="I2031" s="300"/>
      <c r="J2031" s="300"/>
      <c r="K2031" s="300"/>
      <c r="L2031" s="300"/>
      <c r="M2031" s="300"/>
      <c r="N2031" s="300"/>
      <c r="O2031" s="300"/>
      <c r="P2031" s="300"/>
      <c r="Q2031" s="300"/>
      <c r="R2031" s="300"/>
      <c r="S2031" s="300"/>
      <c r="T2031" s="300"/>
      <c r="U2031" s="300"/>
      <c r="V2031" s="300"/>
      <c r="W2031" s="300"/>
      <c r="X2031" s="300"/>
      <c r="Y2031" s="300"/>
      <c r="Z2031" s="300"/>
    </row>
    <row r="2032" spans="1:26">
      <c r="A2032" s="215" t="s">
        <v>3090</v>
      </c>
      <c r="B2032" s="207">
        <v>2690</v>
      </c>
      <c r="C2032" s="215" t="s">
        <v>5224</v>
      </c>
      <c r="D2032" s="215" t="s">
        <v>10948</v>
      </c>
      <c r="E2032" s="215" t="s">
        <v>10949</v>
      </c>
      <c r="F2032" s="215" t="s">
        <v>10851</v>
      </c>
      <c r="G2032" s="215" t="s">
        <v>10852</v>
      </c>
      <c r="H2032" s="215" t="s">
        <v>6500</v>
      </c>
      <c r="I2032" s="300"/>
      <c r="J2032" s="300"/>
      <c r="K2032" s="300"/>
      <c r="L2032" s="300"/>
      <c r="M2032" s="300"/>
      <c r="N2032" s="300"/>
      <c r="O2032" s="300"/>
      <c r="P2032" s="300"/>
      <c r="Q2032" s="300"/>
      <c r="R2032" s="300"/>
      <c r="S2032" s="300"/>
      <c r="T2032" s="300"/>
      <c r="U2032" s="300"/>
      <c r="V2032" s="300"/>
      <c r="W2032" s="300"/>
      <c r="X2032" s="300"/>
      <c r="Y2032" s="300"/>
      <c r="Z2032" s="300"/>
    </row>
    <row r="2033" spans="1:26">
      <c r="A2033" s="215" t="s">
        <v>3703</v>
      </c>
      <c r="B2033" s="207">
        <v>2691</v>
      </c>
      <c r="C2033" s="215" t="s">
        <v>5791</v>
      </c>
      <c r="D2033" s="215" t="s">
        <v>10950</v>
      </c>
      <c r="E2033" s="215" t="s">
        <v>10950</v>
      </c>
      <c r="F2033" s="215" t="s">
        <v>10851</v>
      </c>
      <c r="G2033" s="215" t="s">
        <v>10852</v>
      </c>
      <c r="H2033" s="215" t="s">
        <v>6500</v>
      </c>
      <c r="I2033" s="300"/>
      <c r="J2033" s="300"/>
      <c r="K2033" s="300"/>
      <c r="L2033" s="300"/>
      <c r="M2033" s="300"/>
      <c r="N2033" s="300"/>
      <c r="O2033" s="300"/>
      <c r="P2033" s="300"/>
      <c r="Q2033" s="300"/>
      <c r="R2033" s="300"/>
      <c r="S2033" s="300"/>
      <c r="T2033" s="300"/>
      <c r="U2033" s="300"/>
      <c r="V2033" s="300"/>
      <c r="W2033" s="300"/>
      <c r="X2033" s="300"/>
      <c r="Y2033" s="300"/>
      <c r="Z2033" s="300"/>
    </row>
    <row r="2034" spans="1:26">
      <c r="A2034" s="215" t="s">
        <v>4137</v>
      </c>
      <c r="B2034" s="207">
        <v>2692</v>
      </c>
      <c r="C2034" s="215" t="s">
        <v>6129</v>
      </c>
      <c r="D2034" s="215" t="s">
        <v>10951</v>
      </c>
      <c r="E2034" s="215" t="s">
        <v>10951</v>
      </c>
      <c r="F2034" s="215" t="s">
        <v>10851</v>
      </c>
      <c r="G2034" s="215" t="s">
        <v>10852</v>
      </c>
      <c r="H2034" s="215" t="s">
        <v>6504</v>
      </c>
      <c r="I2034" s="300"/>
      <c r="J2034" s="300"/>
      <c r="K2034" s="300"/>
      <c r="L2034" s="300"/>
      <c r="M2034" s="300"/>
      <c r="N2034" s="300"/>
      <c r="O2034" s="300"/>
      <c r="P2034" s="300"/>
      <c r="Q2034" s="300"/>
      <c r="R2034" s="300"/>
      <c r="S2034" s="300"/>
      <c r="T2034" s="300"/>
      <c r="U2034" s="300"/>
      <c r="V2034" s="300"/>
      <c r="W2034" s="300"/>
      <c r="X2034" s="300"/>
      <c r="Y2034" s="300"/>
      <c r="Z2034" s="300"/>
    </row>
    <row r="2035" spans="1:26">
      <c r="A2035" s="215" t="s">
        <v>3742</v>
      </c>
      <c r="B2035" s="207">
        <v>2693</v>
      </c>
      <c r="C2035" s="215" t="s">
        <v>5820</v>
      </c>
      <c r="D2035" s="215" t="s">
        <v>10952</v>
      </c>
      <c r="E2035" s="215" t="s">
        <v>10952</v>
      </c>
      <c r="F2035" s="215" t="s">
        <v>10851</v>
      </c>
      <c r="G2035" s="215" t="s">
        <v>10852</v>
      </c>
      <c r="H2035" s="215" t="s">
        <v>6521</v>
      </c>
      <c r="I2035" s="300"/>
      <c r="J2035" s="300"/>
      <c r="K2035" s="300"/>
      <c r="L2035" s="300"/>
      <c r="M2035" s="300"/>
      <c r="N2035" s="300"/>
      <c r="O2035" s="300"/>
      <c r="P2035" s="300"/>
      <c r="Q2035" s="300"/>
      <c r="R2035" s="300"/>
      <c r="S2035" s="300"/>
      <c r="T2035" s="300"/>
      <c r="U2035" s="300"/>
      <c r="V2035" s="300"/>
      <c r="W2035" s="300"/>
      <c r="X2035" s="300"/>
      <c r="Y2035" s="300"/>
      <c r="Z2035" s="300"/>
    </row>
    <row r="2036" spans="1:26">
      <c r="A2036" s="215" t="s">
        <v>4084</v>
      </c>
      <c r="B2036" s="207">
        <v>2694</v>
      </c>
      <c r="C2036" s="215" t="s">
        <v>10953</v>
      </c>
      <c r="D2036" s="215" t="s">
        <v>10954</v>
      </c>
      <c r="E2036" s="215" t="s">
        <v>10955</v>
      </c>
      <c r="F2036" s="215" t="s">
        <v>10851</v>
      </c>
      <c r="G2036" s="215" t="s">
        <v>10852</v>
      </c>
      <c r="H2036" s="215" t="s">
        <v>6521</v>
      </c>
      <c r="I2036" s="300"/>
      <c r="J2036" s="300"/>
      <c r="K2036" s="300"/>
      <c r="L2036" s="300"/>
      <c r="M2036" s="300"/>
      <c r="N2036" s="300"/>
      <c r="O2036" s="300"/>
      <c r="P2036" s="300"/>
      <c r="Q2036" s="300"/>
      <c r="R2036" s="300"/>
      <c r="S2036" s="300"/>
      <c r="T2036" s="300"/>
      <c r="U2036" s="300"/>
      <c r="V2036" s="300"/>
      <c r="W2036" s="300"/>
      <c r="X2036" s="300"/>
      <c r="Y2036" s="300"/>
      <c r="Z2036" s="300"/>
    </row>
    <row r="2037" spans="1:26">
      <c r="A2037" s="215" t="s">
        <v>3850</v>
      </c>
      <c r="B2037" s="207">
        <v>2695</v>
      </c>
      <c r="C2037" s="215" t="s">
        <v>5925</v>
      </c>
      <c r="D2037" s="215" t="s">
        <v>10956</v>
      </c>
      <c r="E2037" s="215" t="s">
        <v>10957</v>
      </c>
      <c r="F2037" s="215" t="s">
        <v>10851</v>
      </c>
      <c r="G2037" s="215" t="s">
        <v>10852</v>
      </c>
      <c r="H2037" s="215" t="s">
        <v>6521</v>
      </c>
      <c r="I2037" s="300"/>
      <c r="J2037" s="300"/>
      <c r="K2037" s="300"/>
      <c r="L2037" s="300"/>
      <c r="M2037" s="300"/>
      <c r="N2037" s="300"/>
      <c r="O2037" s="300"/>
      <c r="P2037" s="300"/>
      <c r="Q2037" s="300"/>
      <c r="R2037" s="300"/>
      <c r="S2037" s="300"/>
      <c r="T2037" s="300"/>
      <c r="U2037" s="300"/>
      <c r="V2037" s="300"/>
      <c r="W2037" s="300"/>
      <c r="X2037" s="300"/>
      <c r="Y2037" s="300"/>
      <c r="Z2037" s="300"/>
    </row>
    <row r="2038" spans="1:26">
      <c r="A2038" s="215" t="s">
        <v>3960</v>
      </c>
      <c r="B2038" s="207">
        <v>2696</v>
      </c>
      <c r="C2038" s="215" t="s">
        <v>5992</v>
      </c>
      <c r="D2038" s="215" t="s">
        <v>10958</v>
      </c>
      <c r="E2038" s="215" t="s">
        <v>10958</v>
      </c>
      <c r="F2038" s="215" t="s">
        <v>10851</v>
      </c>
      <c r="G2038" s="215" t="s">
        <v>10852</v>
      </c>
      <c r="H2038" s="215" t="s">
        <v>6500</v>
      </c>
      <c r="I2038" s="300"/>
      <c r="J2038" s="300"/>
      <c r="K2038" s="300"/>
      <c r="L2038" s="300"/>
      <c r="M2038" s="300"/>
      <c r="N2038" s="300"/>
      <c r="O2038" s="300"/>
      <c r="P2038" s="300"/>
      <c r="Q2038" s="300"/>
      <c r="R2038" s="300"/>
      <c r="S2038" s="300"/>
      <c r="T2038" s="300"/>
      <c r="U2038" s="300"/>
      <c r="V2038" s="300"/>
      <c r="W2038" s="300"/>
      <c r="X2038" s="300"/>
      <c r="Y2038" s="300"/>
      <c r="Z2038" s="300"/>
    </row>
    <row r="2039" spans="1:26">
      <c r="A2039" s="215" t="s">
        <v>3927</v>
      </c>
      <c r="B2039" s="207">
        <v>2697</v>
      </c>
      <c r="C2039" s="215" t="s">
        <v>5971</v>
      </c>
      <c r="D2039" s="215" t="s">
        <v>3926</v>
      </c>
      <c r="E2039" s="215" t="s">
        <v>3926</v>
      </c>
      <c r="F2039" s="215" t="s">
        <v>10851</v>
      </c>
      <c r="G2039" s="215" t="s">
        <v>10852</v>
      </c>
      <c r="H2039" s="215" t="s">
        <v>6500</v>
      </c>
      <c r="I2039" s="300"/>
      <c r="J2039" s="300"/>
      <c r="K2039" s="300"/>
      <c r="L2039" s="300"/>
      <c r="M2039" s="300"/>
      <c r="N2039" s="300"/>
      <c r="O2039" s="300"/>
      <c r="P2039" s="300"/>
      <c r="Q2039" s="300"/>
      <c r="R2039" s="300"/>
      <c r="S2039" s="300"/>
      <c r="T2039" s="300"/>
      <c r="U2039" s="300"/>
      <c r="V2039" s="300"/>
      <c r="W2039" s="300"/>
      <c r="X2039" s="300"/>
      <c r="Y2039" s="300"/>
      <c r="Z2039" s="300"/>
    </row>
    <row r="2040" spans="1:26">
      <c r="A2040" s="215" t="s">
        <v>3974</v>
      </c>
      <c r="B2040" s="207">
        <v>2698</v>
      </c>
      <c r="C2040" s="215" t="s">
        <v>10959</v>
      </c>
      <c r="D2040" s="215" t="s">
        <v>10960</v>
      </c>
      <c r="E2040" s="215" t="s">
        <v>10960</v>
      </c>
      <c r="F2040" s="215" t="s">
        <v>10851</v>
      </c>
      <c r="G2040" s="215" t="s">
        <v>10852</v>
      </c>
      <c r="H2040" s="215" t="s">
        <v>6497</v>
      </c>
      <c r="I2040" s="300"/>
      <c r="J2040" s="300"/>
      <c r="K2040" s="300"/>
      <c r="L2040" s="300"/>
      <c r="M2040" s="300"/>
      <c r="N2040" s="300"/>
      <c r="O2040" s="300"/>
      <c r="P2040" s="300"/>
      <c r="Q2040" s="300"/>
      <c r="R2040" s="300"/>
      <c r="S2040" s="300"/>
      <c r="T2040" s="300"/>
      <c r="U2040" s="300"/>
      <c r="V2040" s="300"/>
      <c r="W2040" s="300"/>
      <c r="X2040" s="300"/>
      <c r="Y2040" s="300"/>
      <c r="Z2040" s="300"/>
    </row>
    <row r="2041" spans="1:26">
      <c r="A2041" s="215" t="s">
        <v>4148</v>
      </c>
      <c r="B2041" s="207">
        <v>2699</v>
      </c>
      <c r="C2041" s="215" t="s">
        <v>6137</v>
      </c>
      <c r="D2041" s="215" t="s">
        <v>10961</v>
      </c>
      <c r="E2041" s="215" t="s">
        <v>10961</v>
      </c>
      <c r="F2041" s="215" t="s">
        <v>10851</v>
      </c>
      <c r="G2041" s="215" t="s">
        <v>10852</v>
      </c>
      <c r="H2041" s="215" t="s">
        <v>6497</v>
      </c>
      <c r="I2041" s="300"/>
      <c r="J2041" s="300"/>
      <c r="K2041" s="300"/>
      <c r="L2041" s="300"/>
      <c r="M2041" s="300"/>
      <c r="N2041" s="300"/>
      <c r="O2041" s="300"/>
      <c r="P2041" s="300"/>
      <c r="Q2041" s="300"/>
      <c r="R2041" s="300"/>
      <c r="S2041" s="300"/>
      <c r="T2041" s="300"/>
      <c r="U2041" s="300"/>
      <c r="V2041" s="300"/>
      <c r="W2041" s="300"/>
      <c r="X2041" s="300"/>
      <c r="Y2041" s="300"/>
      <c r="Z2041" s="300"/>
    </row>
    <row r="2042" spans="1:26">
      <c r="A2042" s="215" t="s">
        <v>10962</v>
      </c>
      <c r="B2042" s="207">
        <v>2700</v>
      </c>
      <c r="C2042" s="215" t="s">
        <v>4999</v>
      </c>
      <c r="D2042" s="215" t="s">
        <v>10963</v>
      </c>
      <c r="E2042" s="215" t="s">
        <v>10964</v>
      </c>
      <c r="F2042" s="215" t="s">
        <v>10851</v>
      </c>
      <c r="G2042" s="215" t="s">
        <v>10852</v>
      </c>
      <c r="H2042" s="215" t="s">
        <v>6504</v>
      </c>
      <c r="I2042" s="300"/>
      <c r="J2042" s="300"/>
      <c r="K2042" s="300"/>
      <c r="L2042" s="300"/>
      <c r="M2042" s="300"/>
      <c r="N2042" s="300"/>
      <c r="O2042" s="300"/>
      <c r="P2042" s="300"/>
      <c r="Q2042" s="300"/>
      <c r="R2042" s="300"/>
      <c r="S2042" s="300"/>
      <c r="T2042" s="300"/>
      <c r="U2042" s="300"/>
      <c r="V2042" s="300"/>
      <c r="W2042" s="300"/>
      <c r="X2042" s="300"/>
      <c r="Y2042" s="300"/>
      <c r="Z2042" s="300"/>
    </row>
    <row r="2043" spans="1:26">
      <c r="A2043" s="215" t="s">
        <v>4152</v>
      </c>
      <c r="B2043" s="207">
        <v>2701</v>
      </c>
      <c r="C2043" s="215" t="s">
        <v>6141</v>
      </c>
      <c r="D2043" s="215" t="s">
        <v>10965</v>
      </c>
      <c r="E2043" s="215" t="s">
        <v>10965</v>
      </c>
      <c r="F2043" s="215" t="s">
        <v>10851</v>
      </c>
      <c r="G2043" s="215" t="s">
        <v>10852</v>
      </c>
      <c r="H2043" s="215" t="s">
        <v>6521</v>
      </c>
      <c r="I2043" s="300"/>
      <c r="J2043" s="300"/>
      <c r="K2043" s="300"/>
      <c r="L2043" s="300"/>
      <c r="M2043" s="300"/>
      <c r="N2043" s="300"/>
      <c r="O2043" s="300"/>
      <c r="P2043" s="300"/>
      <c r="Q2043" s="300"/>
      <c r="R2043" s="300"/>
      <c r="S2043" s="300"/>
      <c r="T2043" s="300"/>
      <c r="U2043" s="300"/>
      <c r="V2043" s="300"/>
      <c r="W2043" s="300"/>
      <c r="X2043" s="300"/>
      <c r="Y2043" s="300"/>
      <c r="Z2043" s="300"/>
    </row>
    <row r="2044" spans="1:26">
      <c r="A2044" s="215" t="s">
        <v>4126</v>
      </c>
      <c r="B2044" s="207">
        <v>2702</v>
      </c>
      <c r="C2044" s="215" t="s">
        <v>5924</v>
      </c>
      <c r="D2044" s="215" t="s">
        <v>10966</v>
      </c>
      <c r="E2044" s="215" t="s">
        <v>10966</v>
      </c>
      <c r="F2044" s="215" t="s">
        <v>10851</v>
      </c>
      <c r="G2044" s="215" t="s">
        <v>10852</v>
      </c>
      <c r="H2044" s="215" t="s">
        <v>6521</v>
      </c>
      <c r="I2044" s="300"/>
      <c r="J2044" s="300"/>
      <c r="K2044" s="300"/>
      <c r="L2044" s="300"/>
      <c r="M2044" s="300"/>
      <c r="N2044" s="300"/>
      <c r="O2044" s="300"/>
      <c r="P2044" s="300"/>
      <c r="Q2044" s="300"/>
      <c r="R2044" s="300"/>
      <c r="S2044" s="300"/>
      <c r="T2044" s="300"/>
      <c r="U2044" s="300"/>
      <c r="V2044" s="300"/>
      <c r="W2044" s="300"/>
      <c r="X2044" s="300"/>
      <c r="Y2044" s="300"/>
      <c r="Z2044" s="300"/>
    </row>
    <row r="2045" spans="1:26">
      <c r="A2045" s="215" t="s">
        <v>4146</v>
      </c>
      <c r="B2045" s="207">
        <v>2703</v>
      </c>
      <c r="C2045" s="215" t="s">
        <v>5257</v>
      </c>
      <c r="D2045" s="215" t="s">
        <v>10967</v>
      </c>
      <c r="E2045" s="215" t="s">
        <v>10967</v>
      </c>
      <c r="F2045" s="215" t="s">
        <v>10851</v>
      </c>
      <c r="G2045" s="215" t="s">
        <v>10852</v>
      </c>
      <c r="H2045" s="215" t="s">
        <v>6504</v>
      </c>
      <c r="I2045" s="300"/>
      <c r="J2045" s="300"/>
      <c r="K2045" s="300"/>
      <c r="L2045" s="300"/>
      <c r="M2045" s="300"/>
      <c r="N2045" s="300"/>
      <c r="O2045" s="300"/>
      <c r="P2045" s="300"/>
      <c r="Q2045" s="300"/>
      <c r="R2045" s="300"/>
      <c r="S2045" s="300"/>
      <c r="T2045" s="300"/>
      <c r="U2045" s="300"/>
      <c r="V2045" s="300"/>
      <c r="W2045" s="300"/>
      <c r="X2045" s="300"/>
      <c r="Y2045" s="300"/>
      <c r="Z2045" s="300"/>
    </row>
    <row r="2046" spans="1:26">
      <c r="A2046" s="215" t="s">
        <v>4110</v>
      </c>
      <c r="B2046" s="207">
        <v>2704</v>
      </c>
      <c r="C2046" s="215" t="s">
        <v>6113</v>
      </c>
      <c r="D2046" s="215" t="s">
        <v>4122</v>
      </c>
      <c r="E2046" s="215" t="s">
        <v>4122</v>
      </c>
      <c r="F2046" s="215" t="s">
        <v>10851</v>
      </c>
      <c r="G2046" s="215" t="s">
        <v>10852</v>
      </c>
      <c r="H2046" s="215" t="s">
        <v>6500</v>
      </c>
      <c r="I2046" s="300"/>
      <c r="J2046" s="300"/>
      <c r="K2046" s="300"/>
      <c r="L2046" s="300"/>
      <c r="M2046" s="300"/>
      <c r="N2046" s="300"/>
      <c r="O2046" s="300"/>
      <c r="P2046" s="300"/>
      <c r="Q2046" s="300"/>
      <c r="R2046" s="300"/>
      <c r="S2046" s="300"/>
      <c r="T2046" s="300"/>
      <c r="U2046" s="300"/>
      <c r="V2046" s="300"/>
      <c r="W2046" s="300"/>
      <c r="X2046" s="300"/>
      <c r="Y2046" s="300"/>
      <c r="Z2046" s="300"/>
    </row>
    <row r="2047" spans="1:26">
      <c r="A2047" s="215" t="s">
        <v>4063</v>
      </c>
      <c r="B2047" s="207">
        <v>2705</v>
      </c>
      <c r="C2047" s="215" t="s">
        <v>6082</v>
      </c>
      <c r="D2047" s="215" t="s">
        <v>10968</v>
      </c>
      <c r="E2047" s="215" t="s">
        <v>10969</v>
      </c>
      <c r="F2047" s="215" t="s">
        <v>10851</v>
      </c>
      <c r="G2047" s="215" t="s">
        <v>10852</v>
      </c>
      <c r="H2047" s="215" t="s">
        <v>6500</v>
      </c>
      <c r="I2047" s="300"/>
      <c r="J2047" s="300"/>
      <c r="K2047" s="300"/>
      <c r="L2047" s="300"/>
      <c r="M2047" s="300"/>
      <c r="N2047" s="300"/>
      <c r="O2047" s="300"/>
      <c r="P2047" s="300"/>
      <c r="Q2047" s="300"/>
      <c r="R2047" s="300"/>
      <c r="S2047" s="300"/>
      <c r="T2047" s="300"/>
      <c r="U2047" s="300"/>
      <c r="V2047" s="300"/>
      <c r="W2047" s="300"/>
      <c r="X2047" s="300"/>
      <c r="Y2047" s="300"/>
      <c r="Z2047" s="300"/>
    </row>
    <row r="2048" spans="1:26">
      <c r="A2048" s="215" t="s">
        <v>4149</v>
      </c>
      <c r="B2048" s="207">
        <v>2706</v>
      </c>
      <c r="C2048" s="215" t="s">
        <v>6138</v>
      </c>
      <c r="D2048" s="215" t="s">
        <v>10970</v>
      </c>
      <c r="E2048" s="215" t="s">
        <v>10970</v>
      </c>
      <c r="F2048" s="215" t="s">
        <v>10851</v>
      </c>
      <c r="G2048" s="215" t="s">
        <v>10852</v>
      </c>
      <c r="H2048" s="215" t="s">
        <v>6497</v>
      </c>
      <c r="I2048" s="300"/>
      <c r="J2048" s="300"/>
      <c r="K2048" s="300"/>
      <c r="L2048" s="300"/>
      <c r="M2048" s="300"/>
      <c r="N2048" s="300"/>
      <c r="O2048" s="300"/>
      <c r="P2048" s="300"/>
      <c r="Q2048" s="300"/>
      <c r="R2048" s="300"/>
      <c r="S2048" s="300"/>
      <c r="T2048" s="300"/>
      <c r="U2048" s="300"/>
      <c r="V2048" s="300"/>
      <c r="W2048" s="300"/>
      <c r="X2048" s="300"/>
      <c r="Y2048" s="300"/>
      <c r="Z2048" s="300"/>
    </row>
    <row r="2049" spans="1:26">
      <c r="A2049" s="215" t="s">
        <v>4438</v>
      </c>
      <c r="B2049" s="207">
        <v>2707</v>
      </c>
      <c r="C2049" s="215" t="s">
        <v>10971</v>
      </c>
      <c r="D2049" s="215" t="s">
        <v>10972</v>
      </c>
      <c r="E2049" s="215" t="s">
        <v>10973</v>
      </c>
      <c r="F2049" s="215" t="s">
        <v>10851</v>
      </c>
      <c r="G2049" s="215" t="s">
        <v>10852</v>
      </c>
      <c r="H2049" s="215" t="s">
        <v>6497</v>
      </c>
      <c r="I2049" s="300"/>
      <c r="J2049" s="300"/>
      <c r="K2049" s="300"/>
      <c r="L2049" s="300"/>
      <c r="M2049" s="300"/>
      <c r="N2049" s="300"/>
      <c r="O2049" s="300"/>
      <c r="P2049" s="300"/>
      <c r="Q2049" s="300"/>
      <c r="R2049" s="300"/>
      <c r="S2049" s="300"/>
      <c r="T2049" s="300"/>
      <c r="U2049" s="300"/>
      <c r="V2049" s="300"/>
      <c r="W2049" s="300"/>
      <c r="X2049" s="300"/>
      <c r="Y2049" s="300"/>
      <c r="Z2049" s="300"/>
    </row>
    <row r="2050" spans="1:26">
      <c r="A2050" s="215" t="s">
        <v>4331</v>
      </c>
      <c r="B2050" s="207">
        <v>2708</v>
      </c>
      <c r="C2050" s="215" t="s">
        <v>6283</v>
      </c>
      <c r="D2050" s="215" t="s">
        <v>10974</v>
      </c>
      <c r="E2050" s="215" t="s">
        <v>10975</v>
      </c>
      <c r="F2050" s="215" t="s">
        <v>10851</v>
      </c>
      <c r="G2050" s="215" t="s">
        <v>10852</v>
      </c>
      <c r="H2050" s="215" t="s">
        <v>6521</v>
      </c>
      <c r="I2050" s="300"/>
      <c r="J2050" s="300"/>
      <c r="K2050" s="300"/>
      <c r="L2050" s="300"/>
      <c r="M2050" s="300"/>
      <c r="N2050" s="300"/>
      <c r="O2050" s="300"/>
      <c r="P2050" s="300"/>
      <c r="Q2050" s="300"/>
      <c r="R2050" s="300"/>
      <c r="S2050" s="300"/>
      <c r="T2050" s="300"/>
      <c r="U2050" s="300"/>
      <c r="V2050" s="300"/>
      <c r="W2050" s="300"/>
      <c r="X2050" s="300"/>
      <c r="Y2050" s="300"/>
      <c r="Z2050" s="300"/>
    </row>
    <row r="2051" spans="1:26">
      <c r="A2051" s="215" t="s">
        <v>4378</v>
      </c>
      <c r="B2051" s="207">
        <v>2709</v>
      </c>
      <c r="C2051" s="215" t="s">
        <v>6323</v>
      </c>
      <c r="D2051" s="215" t="s">
        <v>10976</v>
      </c>
      <c r="E2051" s="215" t="s">
        <v>10976</v>
      </c>
      <c r="F2051" s="215" t="s">
        <v>10851</v>
      </c>
      <c r="G2051" s="215" t="s">
        <v>10852</v>
      </c>
      <c r="H2051" s="215" t="s">
        <v>6548</v>
      </c>
      <c r="I2051" s="300"/>
      <c r="J2051" s="300"/>
      <c r="K2051" s="300"/>
      <c r="L2051" s="300"/>
      <c r="M2051" s="300"/>
      <c r="N2051" s="300"/>
      <c r="O2051" s="300"/>
      <c r="P2051" s="300"/>
      <c r="Q2051" s="300"/>
      <c r="R2051" s="300"/>
      <c r="S2051" s="300"/>
      <c r="T2051" s="300"/>
      <c r="U2051" s="300"/>
      <c r="V2051" s="300"/>
      <c r="W2051" s="300"/>
      <c r="X2051" s="300"/>
      <c r="Y2051" s="300"/>
      <c r="Z2051" s="300"/>
    </row>
    <row r="2052" spans="1:26">
      <c r="A2052" s="215" t="s">
        <v>4408</v>
      </c>
      <c r="B2052" s="207">
        <v>2710</v>
      </c>
      <c r="C2052" s="215" t="s">
        <v>6348</v>
      </c>
      <c r="D2052" s="215" t="s">
        <v>4408</v>
      </c>
      <c r="E2052" s="215" t="s">
        <v>4408</v>
      </c>
      <c r="F2052" s="215" t="s">
        <v>10851</v>
      </c>
      <c r="G2052" s="215" t="s">
        <v>10852</v>
      </c>
      <c r="H2052" s="215" t="s">
        <v>6521</v>
      </c>
      <c r="I2052" s="300"/>
      <c r="J2052" s="300"/>
      <c r="K2052" s="300"/>
      <c r="L2052" s="300"/>
      <c r="M2052" s="300"/>
      <c r="N2052" s="300"/>
      <c r="O2052" s="300"/>
      <c r="P2052" s="300"/>
      <c r="Q2052" s="300"/>
      <c r="R2052" s="300"/>
      <c r="S2052" s="300"/>
      <c r="T2052" s="300"/>
      <c r="U2052" s="300"/>
      <c r="V2052" s="300"/>
      <c r="W2052" s="300"/>
      <c r="X2052" s="300"/>
      <c r="Y2052" s="300"/>
      <c r="Z2052" s="300"/>
    </row>
    <row r="2053" spans="1:26">
      <c r="A2053" s="215" t="s">
        <v>4159</v>
      </c>
      <c r="B2053" s="207">
        <v>2711</v>
      </c>
      <c r="C2053" s="215" t="s">
        <v>6147</v>
      </c>
      <c r="D2053" s="215" t="s">
        <v>10977</v>
      </c>
      <c r="E2053" s="215" t="s">
        <v>10978</v>
      </c>
      <c r="F2053" s="215" t="s">
        <v>10851</v>
      </c>
      <c r="G2053" s="215" t="s">
        <v>10852</v>
      </c>
      <c r="H2053" s="215" t="s">
        <v>6497</v>
      </c>
      <c r="I2053" s="300"/>
      <c r="J2053" s="300"/>
      <c r="K2053" s="300"/>
      <c r="L2053" s="300"/>
      <c r="M2053" s="300"/>
      <c r="N2053" s="300"/>
      <c r="O2053" s="300"/>
      <c r="P2053" s="300"/>
      <c r="Q2053" s="300"/>
      <c r="R2053" s="300"/>
      <c r="S2053" s="300"/>
      <c r="T2053" s="300"/>
      <c r="U2053" s="300"/>
      <c r="V2053" s="300"/>
      <c r="W2053" s="300"/>
      <c r="X2053" s="300"/>
      <c r="Y2053" s="300"/>
      <c r="Z2053" s="300"/>
    </row>
    <row r="2054" spans="1:26">
      <c r="A2054" s="215" t="s">
        <v>4517</v>
      </c>
      <c r="B2054" s="207">
        <v>2712</v>
      </c>
      <c r="C2054" s="215" t="s">
        <v>6431</v>
      </c>
      <c r="D2054" s="215" t="s">
        <v>10979</v>
      </c>
      <c r="E2054" s="215" t="s">
        <v>10980</v>
      </c>
      <c r="F2054" s="215" t="s">
        <v>10851</v>
      </c>
      <c r="G2054" s="215" t="s">
        <v>10852</v>
      </c>
      <c r="H2054" s="215" t="s">
        <v>6504</v>
      </c>
      <c r="I2054" s="300"/>
      <c r="J2054" s="300"/>
      <c r="K2054" s="300"/>
      <c r="L2054" s="300"/>
      <c r="M2054" s="300"/>
      <c r="N2054" s="300"/>
      <c r="O2054" s="300"/>
      <c r="P2054" s="300"/>
      <c r="Q2054" s="300"/>
      <c r="R2054" s="300"/>
      <c r="S2054" s="300"/>
      <c r="T2054" s="300"/>
      <c r="U2054" s="300"/>
      <c r="V2054" s="300"/>
      <c r="W2054" s="300"/>
      <c r="X2054" s="300"/>
      <c r="Y2054" s="300"/>
      <c r="Z2054" s="300"/>
    </row>
    <row r="2055" spans="1:26">
      <c r="A2055" s="215" t="s">
        <v>4562</v>
      </c>
      <c r="B2055" s="207">
        <v>2713</v>
      </c>
      <c r="C2055" s="215" t="s">
        <v>6444</v>
      </c>
      <c r="D2055" s="215" t="s">
        <v>10981</v>
      </c>
      <c r="E2055" s="215" t="s">
        <v>10981</v>
      </c>
      <c r="F2055" s="215" t="s">
        <v>10851</v>
      </c>
      <c r="G2055" s="215" t="s">
        <v>10852</v>
      </c>
      <c r="H2055" s="215" t="s">
        <v>6548</v>
      </c>
      <c r="I2055" s="300"/>
      <c r="J2055" s="300"/>
      <c r="K2055" s="300"/>
      <c r="L2055" s="300"/>
      <c r="M2055" s="300"/>
      <c r="N2055" s="300"/>
      <c r="O2055" s="300"/>
      <c r="P2055" s="300"/>
      <c r="Q2055" s="300"/>
      <c r="R2055" s="300"/>
      <c r="S2055" s="300"/>
      <c r="T2055" s="300"/>
      <c r="U2055" s="300"/>
      <c r="V2055" s="300"/>
      <c r="W2055" s="300"/>
      <c r="X2055" s="300"/>
      <c r="Y2055" s="300"/>
      <c r="Z2055" s="300"/>
    </row>
    <row r="2056" spans="1:26">
      <c r="A2056" s="215" t="s">
        <v>3006</v>
      </c>
      <c r="B2056" s="207">
        <v>370</v>
      </c>
      <c r="C2056" s="215" t="s">
        <v>5146</v>
      </c>
      <c r="D2056" s="215" t="s">
        <v>10982</v>
      </c>
      <c r="E2056" s="215" t="s">
        <v>10983</v>
      </c>
      <c r="F2056" s="215" t="s">
        <v>10984</v>
      </c>
      <c r="G2056" s="215" t="s">
        <v>10985</v>
      </c>
      <c r="H2056" s="215" t="s">
        <v>6504</v>
      </c>
      <c r="I2056" s="300"/>
      <c r="J2056" s="300"/>
      <c r="K2056" s="300"/>
      <c r="L2056" s="300"/>
      <c r="M2056" s="300"/>
      <c r="N2056" s="300"/>
      <c r="O2056" s="300"/>
      <c r="P2056" s="300"/>
      <c r="Q2056" s="300"/>
      <c r="R2056" s="300"/>
      <c r="S2056" s="300"/>
      <c r="T2056" s="300"/>
      <c r="U2056" s="300"/>
      <c r="V2056" s="300"/>
      <c r="W2056" s="300"/>
      <c r="X2056" s="300"/>
      <c r="Y2056" s="300"/>
      <c r="Z2056" s="300"/>
    </row>
    <row r="2057" spans="1:26">
      <c r="A2057" s="215" t="s">
        <v>3006</v>
      </c>
      <c r="B2057" s="207">
        <v>413</v>
      </c>
      <c r="C2057" s="215" t="s">
        <v>5147</v>
      </c>
      <c r="D2057" s="215" t="s">
        <v>10986</v>
      </c>
      <c r="E2057" s="215" t="s">
        <v>10987</v>
      </c>
      <c r="F2057" s="215" t="s">
        <v>10984</v>
      </c>
      <c r="G2057" s="215" t="s">
        <v>10985</v>
      </c>
      <c r="H2057" s="215" t="s">
        <v>6548</v>
      </c>
      <c r="I2057" s="300"/>
      <c r="J2057" s="300"/>
      <c r="K2057" s="300"/>
      <c r="L2057" s="300"/>
      <c r="M2057" s="300"/>
      <c r="N2057" s="300"/>
      <c r="O2057" s="300"/>
      <c r="P2057" s="300"/>
      <c r="Q2057" s="300"/>
      <c r="R2057" s="300"/>
      <c r="S2057" s="300"/>
      <c r="T2057" s="300"/>
      <c r="U2057" s="300"/>
      <c r="V2057" s="300"/>
      <c r="W2057" s="300"/>
      <c r="X2057" s="300"/>
      <c r="Y2057" s="300"/>
      <c r="Z2057" s="300"/>
    </row>
    <row r="2058" spans="1:26">
      <c r="A2058" s="215" t="s">
        <v>4457</v>
      </c>
      <c r="B2058" s="207">
        <v>1474</v>
      </c>
      <c r="C2058" s="215" t="s">
        <v>6386</v>
      </c>
      <c r="D2058" s="215" t="s">
        <v>10988</v>
      </c>
      <c r="E2058" s="215" t="s">
        <v>10989</v>
      </c>
      <c r="F2058" s="215" t="s">
        <v>10984</v>
      </c>
      <c r="G2058" s="215" t="s">
        <v>10985</v>
      </c>
      <c r="H2058" s="215" t="s">
        <v>6504</v>
      </c>
      <c r="I2058" s="300"/>
      <c r="J2058" s="300"/>
      <c r="K2058" s="300"/>
      <c r="L2058" s="300"/>
      <c r="M2058" s="300"/>
      <c r="N2058" s="300"/>
      <c r="O2058" s="300"/>
      <c r="P2058" s="300"/>
      <c r="Q2058" s="300"/>
      <c r="R2058" s="300"/>
      <c r="S2058" s="300"/>
      <c r="T2058" s="300"/>
      <c r="U2058" s="300"/>
      <c r="V2058" s="300"/>
      <c r="W2058" s="300"/>
      <c r="X2058" s="300"/>
      <c r="Y2058" s="300"/>
      <c r="Z2058" s="300"/>
    </row>
    <row r="2059" spans="1:26">
      <c r="A2059" s="215" t="s">
        <v>10990</v>
      </c>
      <c r="B2059" s="207">
        <v>622</v>
      </c>
      <c r="C2059" s="215" t="s">
        <v>5230</v>
      </c>
      <c r="D2059" s="215" t="s">
        <v>10991</v>
      </c>
      <c r="E2059" s="215" t="s">
        <v>10991</v>
      </c>
      <c r="F2059" s="215" t="s">
        <v>10992</v>
      </c>
      <c r="G2059" s="215" t="s">
        <v>10993</v>
      </c>
      <c r="H2059" s="215" t="s">
        <v>6504</v>
      </c>
      <c r="I2059" s="300"/>
      <c r="J2059" s="300"/>
      <c r="K2059" s="300"/>
      <c r="L2059" s="300"/>
      <c r="M2059" s="300"/>
      <c r="N2059" s="300"/>
      <c r="O2059" s="300"/>
      <c r="P2059" s="300"/>
      <c r="Q2059" s="300"/>
      <c r="R2059" s="300"/>
      <c r="S2059" s="300"/>
      <c r="T2059" s="300"/>
      <c r="U2059" s="300"/>
      <c r="V2059" s="300"/>
      <c r="W2059" s="300"/>
      <c r="X2059" s="300"/>
      <c r="Y2059" s="300"/>
      <c r="Z2059" s="300"/>
    </row>
    <row r="2060" spans="1:26">
      <c r="A2060" s="215" t="s">
        <v>3591</v>
      </c>
      <c r="B2060" s="207">
        <v>623</v>
      </c>
      <c r="C2060" s="215" t="s">
        <v>5692</v>
      </c>
      <c r="D2060" s="215" t="s">
        <v>10994</v>
      </c>
      <c r="E2060" s="215" t="s">
        <v>10995</v>
      </c>
      <c r="F2060" s="215" t="s">
        <v>10992</v>
      </c>
      <c r="G2060" s="215" t="s">
        <v>10993</v>
      </c>
      <c r="H2060" s="215" t="s">
        <v>6500</v>
      </c>
      <c r="I2060" s="300"/>
      <c r="J2060" s="300"/>
      <c r="K2060" s="300"/>
      <c r="L2060" s="300"/>
      <c r="M2060" s="300"/>
      <c r="N2060" s="300"/>
      <c r="O2060" s="300"/>
      <c r="P2060" s="300"/>
      <c r="Q2060" s="300"/>
      <c r="R2060" s="300"/>
      <c r="S2060" s="300"/>
      <c r="T2060" s="300"/>
      <c r="U2060" s="300"/>
      <c r="V2060" s="300"/>
      <c r="W2060" s="300"/>
      <c r="X2060" s="300"/>
      <c r="Y2060" s="300"/>
      <c r="Z2060" s="300"/>
    </row>
    <row r="2061" spans="1:26">
      <c r="A2061" s="215" t="s">
        <v>3190</v>
      </c>
      <c r="B2061" s="207">
        <v>2052</v>
      </c>
      <c r="C2061" s="215" t="s">
        <v>5306</v>
      </c>
      <c r="D2061" s="215" t="s">
        <v>10996</v>
      </c>
      <c r="E2061" s="215" t="s">
        <v>10996</v>
      </c>
      <c r="F2061" s="215" t="s">
        <v>10992</v>
      </c>
      <c r="G2061" s="215" t="s">
        <v>10993</v>
      </c>
      <c r="H2061" s="215" t="s">
        <v>6497</v>
      </c>
      <c r="I2061" s="300"/>
      <c r="J2061" s="300"/>
      <c r="K2061" s="300"/>
      <c r="L2061" s="300"/>
      <c r="M2061" s="300"/>
      <c r="N2061" s="300"/>
      <c r="O2061" s="300"/>
      <c r="P2061" s="300"/>
      <c r="Q2061" s="300"/>
      <c r="R2061" s="300"/>
      <c r="S2061" s="300"/>
      <c r="T2061" s="300"/>
      <c r="U2061" s="300"/>
      <c r="V2061" s="300"/>
      <c r="W2061" s="300"/>
      <c r="X2061" s="300"/>
      <c r="Y2061" s="300"/>
      <c r="Z2061" s="300"/>
    </row>
    <row r="2062" spans="1:26">
      <c r="A2062" s="215" t="s">
        <v>10997</v>
      </c>
      <c r="B2062" s="207">
        <v>2053</v>
      </c>
      <c r="C2062" s="215" t="s">
        <v>6123</v>
      </c>
      <c r="D2062" s="215" t="s">
        <v>10998</v>
      </c>
      <c r="E2062" s="215" t="s">
        <v>10998</v>
      </c>
      <c r="F2062" s="215" t="s">
        <v>10992</v>
      </c>
      <c r="G2062" s="215" t="s">
        <v>10993</v>
      </c>
      <c r="H2062" s="215" t="s">
        <v>6500</v>
      </c>
      <c r="I2062" s="300"/>
      <c r="J2062" s="300"/>
      <c r="K2062" s="300"/>
      <c r="L2062" s="300"/>
      <c r="M2062" s="300"/>
      <c r="N2062" s="300"/>
      <c r="O2062" s="300"/>
      <c r="P2062" s="300"/>
      <c r="Q2062" s="300"/>
      <c r="R2062" s="300"/>
      <c r="S2062" s="300"/>
      <c r="T2062" s="300"/>
      <c r="U2062" s="300"/>
      <c r="V2062" s="300"/>
      <c r="W2062" s="300"/>
      <c r="X2062" s="300"/>
      <c r="Y2062" s="300"/>
      <c r="Z2062" s="300"/>
    </row>
    <row r="2063" spans="1:26">
      <c r="A2063" s="215" t="s">
        <v>3188</v>
      </c>
      <c r="B2063" s="207">
        <v>2186</v>
      </c>
      <c r="C2063" s="215" t="s">
        <v>5320</v>
      </c>
      <c r="D2063" s="215" t="s">
        <v>10999</v>
      </c>
      <c r="E2063" s="215" t="s">
        <v>10999</v>
      </c>
      <c r="F2063" s="215" t="s">
        <v>10992</v>
      </c>
      <c r="G2063" s="215" t="s">
        <v>10993</v>
      </c>
      <c r="H2063" s="215" t="s">
        <v>6500</v>
      </c>
      <c r="I2063" s="300"/>
      <c r="J2063" s="300"/>
      <c r="K2063" s="300"/>
      <c r="L2063" s="300"/>
      <c r="M2063" s="300"/>
      <c r="N2063" s="300"/>
      <c r="O2063" s="300"/>
      <c r="P2063" s="300"/>
      <c r="Q2063" s="300"/>
      <c r="R2063" s="300"/>
      <c r="S2063" s="300"/>
      <c r="T2063" s="300"/>
      <c r="U2063" s="300"/>
      <c r="V2063" s="300"/>
      <c r="W2063" s="300"/>
      <c r="X2063" s="300"/>
      <c r="Y2063" s="300"/>
      <c r="Z2063" s="300"/>
    </row>
    <row r="2064" spans="1:26">
      <c r="A2064" s="215" t="s">
        <v>3185</v>
      </c>
      <c r="B2064" s="207">
        <v>2187</v>
      </c>
      <c r="C2064" s="215" t="s">
        <v>11000</v>
      </c>
      <c r="D2064" s="215" t="s">
        <v>11001</v>
      </c>
      <c r="E2064" s="215" t="s">
        <v>11002</v>
      </c>
      <c r="F2064" s="215" t="s">
        <v>10992</v>
      </c>
      <c r="G2064" s="215" t="s">
        <v>10993</v>
      </c>
      <c r="H2064" s="215" t="s">
        <v>6500</v>
      </c>
      <c r="I2064" s="300"/>
      <c r="J2064" s="300"/>
      <c r="K2064" s="300"/>
      <c r="L2064" s="300"/>
      <c r="M2064" s="300"/>
      <c r="N2064" s="300"/>
      <c r="O2064" s="300"/>
      <c r="P2064" s="300"/>
      <c r="Q2064" s="300"/>
      <c r="R2064" s="300"/>
      <c r="S2064" s="300"/>
      <c r="T2064" s="300"/>
      <c r="U2064" s="300"/>
      <c r="V2064" s="300"/>
      <c r="W2064" s="300"/>
      <c r="X2064" s="300"/>
      <c r="Y2064" s="300"/>
      <c r="Z2064" s="300"/>
    </row>
    <row r="2065" spans="1:26">
      <c r="A2065" s="215" t="s">
        <v>4275</v>
      </c>
      <c r="B2065" s="207">
        <v>2188</v>
      </c>
      <c r="C2065" s="215" t="s">
        <v>6241</v>
      </c>
      <c r="D2065" s="215" t="s">
        <v>11003</v>
      </c>
      <c r="E2065" s="215" t="s">
        <v>11004</v>
      </c>
      <c r="F2065" s="215" t="s">
        <v>10992</v>
      </c>
      <c r="G2065" s="215" t="s">
        <v>10993</v>
      </c>
      <c r="H2065" s="215" t="s">
        <v>6504</v>
      </c>
      <c r="I2065" s="300"/>
      <c r="J2065" s="300"/>
      <c r="K2065" s="300"/>
      <c r="L2065" s="300"/>
      <c r="M2065" s="300"/>
      <c r="N2065" s="300"/>
      <c r="O2065" s="300"/>
      <c r="P2065" s="300"/>
      <c r="Q2065" s="300"/>
      <c r="R2065" s="300"/>
      <c r="S2065" s="300"/>
      <c r="T2065" s="300"/>
      <c r="U2065" s="300"/>
      <c r="V2065" s="300"/>
      <c r="W2065" s="300"/>
      <c r="X2065" s="300"/>
      <c r="Y2065" s="300"/>
      <c r="Z2065" s="300"/>
    </row>
    <row r="2066" spans="1:26">
      <c r="A2066" s="215" t="s">
        <v>2905</v>
      </c>
      <c r="B2066" s="207">
        <v>2189</v>
      </c>
      <c r="C2066" s="215" t="s">
        <v>5068</v>
      </c>
      <c r="D2066" s="215" t="s">
        <v>11005</v>
      </c>
      <c r="E2066" s="215" t="s">
        <v>11006</v>
      </c>
      <c r="F2066" s="215" t="s">
        <v>10992</v>
      </c>
      <c r="G2066" s="215" t="s">
        <v>10993</v>
      </c>
      <c r="H2066" s="215" t="s">
        <v>6521</v>
      </c>
      <c r="I2066" s="300"/>
      <c r="J2066" s="300"/>
      <c r="K2066" s="300"/>
      <c r="L2066" s="300"/>
      <c r="M2066" s="300"/>
      <c r="N2066" s="300"/>
      <c r="O2066" s="300"/>
      <c r="P2066" s="300"/>
      <c r="Q2066" s="300"/>
      <c r="R2066" s="300"/>
      <c r="S2066" s="300"/>
      <c r="T2066" s="300"/>
      <c r="U2066" s="300"/>
      <c r="V2066" s="300"/>
      <c r="W2066" s="300"/>
      <c r="X2066" s="300"/>
      <c r="Y2066" s="300"/>
      <c r="Z2066" s="300"/>
    </row>
    <row r="2067" spans="1:26">
      <c r="A2067" s="215" t="s">
        <v>4005</v>
      </c>
      <c r="B2067" s="207">
        <v>705</v>
      </c>
      <c r="C2067" s="215" t="s">
        <v>6031</v>
      </c>
      <c r="D2067" s="215" t="s">
        <v>11007</v>
      </c>
      <c r="E2067" s="215" t="s">
        <v>11008</v>
      </c>
      <c r="F2067" s="215" t="s">
        <v>11009</v>
      </c>
      <c r="G2067" s="215" t="s">
        <v>11010</v>
      </c>
      <c r="H2067" s="215" t="s">
        <v>6504</v>
      </c>
      <c r="I2067" s="300"/>
      <c r="J2067" s="300"/>
      <c r="K2067" s="300"/>
      <c r="L2067" s="300"/>
      <c r="M2067" s="300"/>
      <c r="N2067" s="300"/>
      <c r="O2067" s="300"/>
      <c r="P2067" s="300"/>
      <c r="Q2067" s="300"/>
      <c r="R2067" s="300"/>
      <c r="S2067" s="300"/>
      <c r="T2067" s="300"/>
      <c r="U2067" s="300"/>
      <c r="V2067" s="300"/>
      <c r="W2067" s="300"/>
      <c r="X2067" s="300"/>
      <c r="Y2067" s="300"/>
      <c r="Z2067" s="300"/>
    </row>
    <row r="2068" spans="1:26">
      <c r="A2068" s="215" t="s">
        <v>3685</v>
      </c>
      <c r="B2068" s="207">
        <v>706</v>
      </c>
      <c r="C2068" s="215" t="s">
        <v>5773</v>
      </c>
      <c r="D2068" s="215" t="s">
        <v>11011</v>
      </c>
      <c r="E2068" s="215" t="s">
        <v>11012</v>
      </c>
      <c r="F2068" s="215" t="s">
        <v>11009</v>
      </c>
      <c r="G2068" s="215" t="s">
        <v>11010</v>
      </c>
      <c r="H2068" s="215" t="s">
        <v>6504</v>
      </c>
      <c r="I2068" s="300"/>
      <c r="J2068" s="300"/>
      <c r="K2068" s="300"/>
      <c r="L2068" s="300"/>
      <c r="M2068" s="300"/>
      <c r="N2068" s="300"/>
      <c r="O2068" s="300"/>
      <c r="P2068" s="300"/>
      <c r="Q2068" s="300"/>
      <c r="R2068" s="300"/>
      <c r="S2068" s="300"/>
      <c r="T2068" s="300"/>
      <c r="U2068" s="300"/>
      <c r="V2068" s="300"/>
      <c r="W2068" s="300"/>
      <c r="X2068" s="300"/>
      <c r="Y2068" s="300"/>
      <c r="Z2068" s="300"/>
    </row>
    <row r="2069" spans="1:26">
      <c r="A2069" s="215" t="s">
        <v>3941</v>
      </c>
      <c r="B2069" s="207">
        <v>707</v>
      </c>
      <c r="C2069" s="215" t="s">
        <v>5979</v>
      </c>
      <c r="D2069" s="215" t="s">
        <v>11013</v>
      </c>
      <c r="E2069" s="215" t="s">
        <v>11014</v>
      </c>
      <c r="F2069" s="215" t="s">
        <v>11009</v>
      </c>
      <c r="G2069" s="215" t="s">
        <v>11010</v>
      </c>
      <c r="H2069" s="215" t="s">
        <v>6504</v>
      </c>
      <c r="I2069" s="300"/>
      <c r="J2069" s="300"/>
      <c r="K2069" s="300"/>
      <c r="L2069" s="300"/>
      <c r="M2069" s="300"/>
      <c r="N2069" s="300"/>
      <c r="O2069" s="300"/>
      <c r="P2069" s="300"/>
      <c r="Q2069" s="300"/>
      <c r="R2069" s="300"/>
      <c r="S2069" s="300"/>
      <c r="T2069" s="300"/>
      <c r="U2069" s="300"/>
      <c r="V2069" s="300"/>
      <c r="W2069" s="300"/>
      <c r="X2069" s="300"/>
      <c r="Y2069" s="300"/>
      <c r="Z2069" s="300"/>
    </row>
    <row r="2070" spans="1:26">
      <c r="A2070" s="215" t="s">
        <v>2737</v>
      </c>
      <c r="B2070" s="207">
        <v>708</v>
      </c>
      <c r="C2070" s="215" t="s">
        <v>11015</v>
      </c>
      <c r="D2070" s="215" t="s">
        <v>11016</v>
      </c>
      <c r="E2070" s="215" t="s">
        <v>11017</v>
      </c>
      <c r="F2070" s="215" t="s">
        <v>11009</v>
      </c>
      <c r="G2070" s="215" t="s">
        <v>11010</v>
      </c>
      <c r="H2070" s="215" t="s">
        <v>6500</v>
      </c>
      <c r="I2070" s="300"/>
      <c r="J2070" s="300"/>
      <c r="K2070" s="300"/>
      <c r="L2070" s="300"/>
      <c r="M2070" s="300"/>
      <c r="N2070" s="300"/>
      <c r="O2070" s="300"/>
      <c r="P2070" s="300"/>
      <c r="Q2070" s="300"/>
      <c r="R2070" s="300"/>
      <c r="S2070" s="300"/>
      <c r="T2070" s="300"/>
      <c r="U2070" s="300"/>
      <c r="V2070" s="300"/>
      <c r="W2070" s="300"/>
      <c r="X2070" s="300"/>
      <c r="Y2070" s="300"/>
      <c r="Z2070" s="300"/>
    </row>
    <row r="2071" spans="1:26">
      <c r="A2071" s="215" t="s">
        <v>3793</v>
      </c>
      <c r="B2071" s="207">
        <v>391</v>
      </c>
      <c r="C2071" s="215" t="s">
        <v>11018</v>
      </c>
      <c r="D2071" s="215" t="s">
        <v>11019</v>
      </c>
      <c r="E2071" s="215" t="s">
        <v>11020</v>
      </c>
      <c r="F2071" s="215" t="s">
        <v>11021</v>
      </c>
      <c r="G2071" s="215" t="s">
        <v>11022</v>
      </c>
      <c r="H2071" s="215" t="s">
        <v>6504</v>
      </c>
      <c r="I2071" s="300"/>
      <c r="J2071" s="300"/>
      <c r="K2071" s="300"/>
      <c r="L2071" s="300"/>
      <c r="M2071" s="300"/>
      <c r="N2071" s="300"/>
      <c r="O2071" s="300"/>
      <c r="P2071" s="300"/>
      <c r="Q2071" s="300"/>
      <c r="R2071" s="300"/>
      <c r="S2071" s="300"/>
      <c r="T2071" s="300"/>
      <c r="U2071" s="300"/>
      <c r="V2071" s="300"/>
      <c r="W2071" s="300"/>
      <c r="X2071" s="300"/>
      <c r="Y2071" s="300"/>
      <c r="Z2071" s="300"/>
    </row>
    <row r="2072" spans="1:26">
      <c r="A2072" s="215" t="s">
        <v>3249</v>
      </c>
      <c r="B2072" s="207">
        <v>1351</v>
      </c>
      <c r="C2072" s="215" t="s">
        <v>11023</v>
      </c>
      <c r="D2072" s="215" t="s">
        <v>11024</v>
      </c>
      <c r="E2072" s="215" t="s">
        <v>11025</v>
      </c>
      <c r="F2072" s="215" t="s">
        <v>11021</v>
      </c>
      <c r="G2072" s="215" t="s">
        <v>11022</v>
      </c>
      <c r="H2072" s="215" t="s">
        <v>6504</v>
      </c>
      <c r="I2072" s="300"/>
      <c r="J2072" s="300"/>
      <c r="K2072" s="300"/>
      <c r="L2072" s="300"/>
      <c r="M2072" s="300"/>
      <c r="N2072" s="300"/>
      <c r="O2072" s="300"/>
      <c r="P2072" s="300"/>
      <c r="Q2072" s="300"/>
      <c r="R2072" s="300"/>
      <c r="S2072" s="300"/>
      <c r="T2072" s="300"/>
      <c r="U2072" s="300"/>
      <c r="V2072" s="300"/>
      <c r="W2072" s="300"/>
      <c r="X2072" s="300"/>
      <c r="Y2072" s="300"/>
      <c r="Z2072" s="300"/>
    </row>
    <row r="2073" spans="1:26">
      <c r="A2073" s="215"/>
      <c r="B2073" s="207">
        <v>1475</v>
      </c>
      <c r="C2073" s="215" t="s">
        <v>5673</v>
      </c>
      <c r="D2073" s="215" t="s">
        <v>11026</v>
      </c>
      <c r="E2073" s="215" t="s">
        <v>11027</v>
      </c>
      <c r="F2073" s="215" t="s">
        <v>11021</v>
      </c>
      <c r="G2073" s="215" t="s">
        <v>11022</v>
      </c>
      <c r="H2073" s="215" t="s">
        <v>6504</v>
      </c>
      <c r="I2073" s="300"/>
      <c r="J2073" s="300"/>
      <c r="K2073" s="300"/>
      <c r="L2073" s="300"/>
      <c r="M2073" s="300"/>
      <c r="N2073" s="300"/>
      <c r="O2073" s="300"/>
      <c r="P2073" s="300"/>
      <c r="Q2073" s="300"/>
      <c r="R2073" s="300"/>
      <c r="S2073" s="300"/>
      <c r="T2073" s="300"/>
      <c r="U2073" s="300"/>
      <c r="V2073" s="300"/>
      <c r="W2073" s="300"/>
      <c r="X2073" s="300"/>
      <c r="Y2073" s="300"/>
      <c r="Z2073" s="300"/>
    </row>
    <row r="2074" spans="1:26">
      <c r="A2074" s="215" t="s">
        <v>2874</v>
      </c>
      <c r="B2074" s="207">
        <v>1513</v>
      </c>
      <c r="C2074" s="215" t="s">
        <v>11028</v>
      </c>
      <c r="D2074" s="215" t="s">
        <v>11029</v>
      </c>
      <c r="E2074" s="215" t="s">
        <v>11030</v>
      </c>
      <c r="F2074" s="215" t="s">
        <v>11031</v>
      </c>
      <c r="G2074" s="215" t="s">
        <v>11032</v>
      </c>
      <c r="H2074" s="215" t="s">
        <v>6500</v>
      </c>
      <c r="I2074" s="300"/>
      <c r="J2074" s="300"/>
      <c r="K2074" s="300"/>
      <c r="L2074" s="300"/>
      <c r="M2074" s="300"/>
      <c r="N2074" s="300"/>
      <c r="O2074" s="300"/>
      <c r="P2074" s="300"/>
      <c r="Q2074" s="300"/>
      <c r="R2074" s="300"/>
      <c r="S2074" s="300"/>
      <c r="T2074" s="300"/>
      <c r="U2074" s="300"/>
      <c r="V2074" s="300"/>
      <c r="W2074" s="300"/>
      <c r="X2074" s="300"/>
      <c r="Y2074" s="300"/>
      <c r="Z2074" s="300"/>
    </row>
    <row r="2075" spans="1:26">
      <c r="A2075" s="215" t="s">
        <v>3103</v>
      </c>
      <c r="B2075" s="207">
        <v>147</v>
      </c>
      <c r="C2075" s="215" t="s">
        <v>11033</v>
      </c>
      <c r="D2075" s="215" t="s">
        <v>11034</v>
      </c>
      <c r="E2075" s="215" t="s">
        <v>11035</v>
      </c>
      <c r="F2075" s="215" t="s">
        <v>11036</v>
      </c>
      <c r="G2075" s="215" t="s">
        <v>11037</v>
      </c>
      <c r="H2075" s="215" t="s">
        <v>6504</v>
      </c>
      <c r="I2075" s="300"/>
      <c r="J2075" s="300"/>
      <c r="K2075" s="300"/>
      <c r="L2075" s="300"/>
      <c r="M2075" s="300"/>
      <c r="N2075" s="300"/>
      <c r="O2075" s="300"/>
      <c r="P2075" s="300"/>
      <c r="Q2075" s="300"/>
      <c r="R2075" s="300"/>
      <c r="S2075" s="300"/>
      <c r="T2075" s="300"/>
      <c r="U2075" s="300"/>
      <c r="V2075" s="300"/>
      <c r="W2075" s="300"/>
      <c r="X2075" s="300"/>
      <c r="Y2075" s="300"/>
      <c r="Z2075" s="300"/>
    </row>
    <row r="2076" spans="1:26">
      <c r="A2076" s="215" t="s">
        <v>4530</v>
      </c>
      <c r="B2076" s="207">
        <v>156</v>
      </c>
      <c r="C2076" s="215" t="s">
        <v>6443</v>
      </c>
      <c r="D2076" s="215" t="s">
        <v>11038</v>
      </c>
      <c r="E2076" s="215" t="s">
        <v>11039</v>
      </c>
      <c r="F2076" s="215" t="s">
        <v>11036</v>
      </c>
      <c r="G2076" s="215" t="s">
        <v>11037</v>
      </c>
      <c r="H2076" s="215" t="s">
        <v>6497</v>
      </c>
      <c r="I2076" s="300"/>
      <c r="J2076" s="300"/>
      <c r="K2076" s="300"/>
      <c r="L2076" s="300"/>
      <c r="M2076" s="300"/>
      <c r="N2076" s="300"/>
      <c r="O2076" s="300"/>
      <c r="P2076" s="300"/>
      <c r="Q2076" s="300"/>
      <c r="R2076" s="300"/>
      <c r="S2076" s="300"/>
      <c r="T2076" s="300"/>
      <c r="U2076" s="300"/>
      <c r="V2076" s="300"/>
      <c r="W2076" s="300"/>
      <c r="X2076" s="300"/>
      <c r="Y2076" s="300"/>
      <c r="Z2076" s="300"/>
    </row>
    <row r="2077" spans="1:26">
      <c r="A2077" s="215" t="s">
        <v>4538</v>
      </c>
      <c r="B2077" s="207">
        <v>158</v>
      </c>
      <c r="C2077" s="215" t="s">
        <v>6449</v>
      </c>
      <c r="D2077" s="215" t="s">
        <v>11040</v>
      </c>
      <c r="E2077" s="215" t="s">
        <v>11041</v>
      </c>
      <c r="F2077" s="215" t="s">
        <v>11036</v>
      </c>
      <c r="G2077" s="215" t="s">
        <v>11037</v>
      </c>
      <c r="H2077" s="215" t="s">
        <v>6548</v>
      </c>
      <c r="I2077" s="300"/>
      <c r="J2077" s="300"/>
      <c r="K2077" s="300"/>
      <c r="L2077" s="300"/>
      <c r="M2077" s="300"/>
      <c r="N2077" s="300"/>
      <c r="O2077" s="300"/>
      <c r="P2077" s="300"/>
      <c r="Q2077" s="300"/>
      <c r="R2077" s="300"/>
      <c r="S2077" s="300"/>
      <c r="T2077" s="300"/>
      <c r="U2077" s="300"/>
      <c r="V2077" s="300"/>
      <c r="W2077" s="300"/>
      <c r="X2077" s="300"/>
      <c r="Y2077" s="300"/>
      <c r="Z2077" s="300"/>
    </row>
    <row r="2078" spans="1:26">
      <c r="A2078" s="215" t="s">
        <v>2655</v>
      </c>
      <c r="B2078" s="207">
        <v>163</v>
      </c>
      <c r="C2078" s="215" t="s">
        <v>11042</v>
      </c>
      <c r="D2078" s="215" t="s">
        <v>11043</v>
      </c>
      <c r="E2078" s="215" t="s">
        <v>11044</v>
      </c>
      <c r="F2078" s="215" t="s">
        <v>11036</v>
      </c>
      <c r="G2078" s="215" t="s">
        <v>11037</v>
      </c>
      <c r="H2078" s="215" t="s">
        <v>6497</v>
      </c>
      <c r="I2078" s="300"/>
      <c r="J2078" s="300"/>
      <c r="K2078" s="300"/>
      <c r="L2078" s="300"/>
      <c r="M2078" s="300"/>
      <c r="N2078" s="300"/>
      <c r="O2078" s="300"/>
      <c r="P2078" s="300"/>
      <c r="Q2078" s="300"/>
      <c r="R2078" s="300"/>
      <c r="S2078" s="300"/>
      <c r="T2078" s="300"/>
      <c r="U2078" s="300"/>
      <c r="V2078" s="300"/>
      <c r="W2078" s="300"/>
      <c r="X2078" s="300"/>
      <c r="Y2078" s="300"/>
      <c r="Z2078" s="300"/>
    </row>
    <row r="2079" spans="1:26">
      <c r="A2079" s="215" t="s">
        <v>3601</v>
      </c>
      <c r="B2079" s="207">
        <v>328</v>
      </c>
      <c r="C2079" s="215" t="s">
        <v>5700</v>
      </c>
      <c r="D2079" s="215" t="s">
        <v>11045</v>
      </c>
      <c r="E2079" s="215" t="s">
        <v>11046</v>
      </c>
      <c r="F2079" s="215" t="s">
        <v>11036</v>
      </c>
      <c r="G2079" s="215" t="s">
        <v>11037</v>
      </c>
      <c r="H2079" s="215" t="s">
        <v>6500</v>
      </c>
      <c r="I2079" s="300"/>
      <c r="J2079" s="300"/>
      <c r="K2079" s="300"/>
      <c r="L2079" s="300"/>
      <c r="M2079" s="300"/>
      <c r="N2079" s="300"/>
      <c r="O2079" s="300"/>
      <c r="P2079" s="300"/>
      <c r="Q2079" s="300"/>
      <c r="R2079" s="300"/>
      <c r="S2079" s="300"/>
      <c r="T2079" s="300"/>
      <c r="U2079" s="300"/>
      <c r="V2079" s="300"/>
      <c r="W2079" s="300"/>
      <c r="X2079" s="300"/>
      <c r="Y2079" s="300"/>
      <c r="Z2079" s="300"/>
    </row>
    <row r="2080" spans="1:26">
      <c r="A2080" s="215" t="s">
        <v>4082</v>
      </c>
      <c r="B2080" s="207">
        <v>329</v>
      </c>
      <c r="C2080" s="215" t="s">
        <v>11047</v>
      </c>
      <c r="D2080" s="215" t="s">
        <v>11048</v>
      </c>
      <c r="E2080" s="215" t="s">
        <v>11049</v>
      </c>
      <c r="F2080" s="215" t="s">
        <v>11036</v>
      </c>
      <c r="G2080" s="215" t="s">
        <v>11037</v>
      </c>
      <c r="H2080" s="215" t="s">
        <v>6548</v>
      </c>
      <c r="I2080" s="300"/>
      <c r="J2080" s="300"/>
      <c r="K2080" s="300"/>
      <c r="L2080" s="300"/>
      <c r="M2080" s="300"/>
      <c r="N2080" s="300"/>
      <c r="O2080" s="300"/>
      <c r="P2080" s="300"/>
      <c r="Q2080" s="300"/>
      <c r="R2080" s="300"/>
      <c r="S2080" s="300"/>
      <c r="T2080" s="300"/>
      <c r="U2080" s="300"/>
      <c r="V2080" s="300"/>
      <c r="W2080" s="300"/>
      <c r="X2080" s="300"/>
      <c r="Y2080" s="300"/>
      <c r="Z2080" s="300"/>
    </row>
    <row r="2081" spans="1:26">
      <c r="A2081" s="215" t="s">
        <v>2756</v>
      </c>
      <c r="B2081" s="207">
        <v>334</v>
      </c>
      <c r="C2081" s="215" t="s">
        <v>4911</v>
      </c>
      <c r="D2081" s="215" t="s">
        <v>11050</v>
      </c>
      <c r="E2081" s="215" t="s">
        <v>11051</v>
      </c>
      <c r="F2081" s="215" t="s">
        <v>11036</v>
      </c>
      <c r="G2081" s="215" t="s">
        <v>11037</v>
      </c>
      <c r="H2081" s="215" t="s">
        <v>6521</v>
      </c>
      <c r="I2081" s="300"/>
      <c r="J2081" s="300"/>
      <c r="K2081" s="300"/>
      <c r="L2081" s="300"/>
      <c r="M2081" s="300"/>
      <c r="N2081" s="300"/>
      <c r="O2081" s="300"/>
      <c r="P2081" s="300"/>
      <c r="Q2081" s="300"/>
      <c r="R2081" s="300"/>
      <c r="S2081" s="300"/>
      <c r="T2081" s="300"/>
      <c r="U2081" s="300"/>
      <c r="V2081" s="300"/>
      <c r="W2081" s="300"/>
      <c r="X2081" s="300"/>
      <c r="Y2081" s="300"/>
      <c r="Z2081" s="300"/>
    </row>
    <row r="2082" spans="1:26">
      <c r="A2082" s="215" t="s">
        <v>2951</v>
      </c>
      <c r="B2082" s="207">
        <v>338</v>
      </c>
      <c r="C2082" s="215" t="s">
        <v>5104</v>
      </c>
      <c r="D2082" s="215" t="s">
        <v>11052</v>
      </c>
      <c r="E2082" s="215" t="s">
        <v>11053</v>
      </c>
      <c r="F2082" s="215" t="s">
        <v>11036</v>
      </c>
      <c r="G2082" s="215" t="s">
        <v>11037</v>
      </c>
      <c r="H2082" s="215" t="s">
        <v>6521</v>
      </c>
      <c r="I2082" s="300"/>
      <c r="J2082" s="300"/>
      <c r="K2082" s="300"/>
      <c r="L2082" s="300"/>
      <c r="M2082" s="300"/>
      <c r="N2082" s="300"/>
      <c r="O2082" s="300"/>
      <c r="P2082" s="300"/>
      <c r="Q2082" s="300"/>
      <c r="R2082" s="300"/>
      <c r="S2082" s="300"/>
      <c r="T2082" s="300"/>
      <c r="U2082" s="300"/>
      <c r="V2082" s="300"/>
      <c r="W2082" s="300"/>
      <c r="X2082" s="300"/>
      <c r="Y2082" s="300"/>
      <c r="Z2082" s="300"/>
    </row>
    <row r="2083" spans="1:26">
      <c r="A2083" s="215" t="s">
        <v>3618</v>
      </c>
      <c r="B2083" s="207">
        <v>347</v>
      </c>
      <c r="C2083" s="215" t="s">
        <v>5716</v>
      </c>
      <c r="D2083" s="215" t="s">
        <v>11054</v>
      </c>
      <c r="E2083" s="215" t="s">
        <v>11055</v>
      </c>
      <c r="F2083" s="215" t="s">
        <v>11036</v>
      </c>
      <c r="G2083" s="215" t="s">
        <v>11037</v>
      </c>
      <c r="H2083" s="215" t="s">
        <v>6500</v>
      </c>
      <c r="I2083" s="300"/>
      <c r="J2083" s="300"/>
      <c r="K2083" s="300"/>
      <c r="L2083" s="300"/>
      <c r="M2083" s="300"/>
      <c r="N2083" s="300"/>
      <c r="O2083" s="300"/>
      <c r="P2083" s="300"/>
      <c r="Q2083" s="300"/>
      <c r="R2083" s="300"/>
      <c r="S2083" s="300"/>
      <c r="T2083" s="300"/>
      <c r="U2083" s="300"/>
      <c r="V2083" s="300"/>
      <c r="W2083" s="300"/>
      <c r="X2083" s="300"/>
      <c r="Y2083" s="300"/>
      <c r="Z2083" s="300"/>
    </row>
    <row r="2084" spans="1:26">
      <c r="A2084" s="215" t="s">
        <v>3716</v>
      </c>
      <c r="B2084" s="207">
        <v>350</v>
      </c>
      <c r="C2084" s="215" t="s">
        <v>5804</v>
      </c>
      <c r="D2084" s="215" t="s">
        <v>11056</v>
      </c>
      <c r="E2084" s="215" t="s">
        <v>11057</v>
      </c>
      <c r="F2084" s="215" t="s">
        <v>11036</v>
      </c>
      <c r="G2084" s="215" t="s">
        <v>11037</v>
      </c>
      <c r="H2084" s="215" t="s">
        <v>6500</v>
      </c>
      <c r="I2084" s="300"/>
      <c r="J2084" s="300"/>
      <c r="K2084" s="300"/>
      <c r="L2084" s="300"/>
      <c r="M2084" s="300"/>
      <c r="N2084" s="300"/>
      <c r="O2084" s="300"/>
      <c r="P2084" s="300"/>
      <c r="Q2084" s="300"/>
      <c r="R2084" s="300"/>
      <c r="S2084" s="300"/>
      <c r="T2084" s="300"/>
      <c r="U2084" s="300"/>
      <c r="V2084" s="300"/>
      <c r="W2084" s="300"/>
      <c r="X2084" s="300"/>
      <c r="Y2084" s="300"/>
      <c r="Z2084" s="300"/>
    </row>
    <row r="2085" spans="1:26">
      <c r="A2085" s="215" t="s">
        <v>3290</v>
      </c>
      <c r="B2085" s="207">
        <v>360</v>
      </c>
      <c r="C2085" s="215" t="s">
        <v>5420</v>
      </c>
      <c r="D2085" s="215" t="s">
        <v>11058</v>
      </c>
      <c r="E2085" s="215" t="s">
        <v>11059</v>
      </c>
      <c r="F2085" s="215" t="s">
        <v>11036</v>
      </c>
      <c r="G2085" s="215" t="s">
        <v>11037</v>
      </c>
      <c r="H2085" s="215" t="s">
        <v>6504</v>
      </c>
      <c r="I2085" s="300"/>
      <c r="J2085" s="300"/>
      <c r="K2085" s="300"/>
      <c r="L2085" s="300"/>
      <c r="M2085" s="300"/>
      <c r="N2085" s="300"/>
      <c r="O2085" s="300"/>
      <c r="P2085" s="300"/>
      <c r="Q2085" s="300"/>
      <c r="R2085" s="300"/>
      <c r="S2085" s="300"/>
      <c r="T2085" s="300"/>
      <c r="U2085" s="300"/>
      <c r="V2085" s="300"/>
      <c r="W2085" s="300"/>
      <c r="X2085" s="300"/>
      <c r="Y2085" s="300"/>
      <c r="Z2085" s="300"/>
    </row>
    <row r="2086" spans="1:26">
      <c r="A2086" s="215" t="s">
        <v>4460</v>
      </c>
      <c r="B2086" s="207">
        <v>368</v>
      </c>
      <c r="C2086" s="215" t="s">
        <v>11060</v>
      </c>
      <c r="D2086" s="215" t="s">
        <v>11061</v>
      </c>
      <c r="E2086" s="215" t="s">
        <v>11062</v>
      </c>
      <c r="F2086" s="215" t="s">
        <v>11036</v>
      </c>
      <c r="G2086" s="215" t="s">
        <v>11037</v>
      </c>
      <c r="H2086" s="215" t="s">
        <v>6500</v>
      </c>
      <c r="I2086" s="300"/>
      <c r="J2086" s="300"/>
      <c r="K2086" s="300"/>
      <c r="L2086" s="300"/>
      <c r="M2086" s="300"/>
      <c r="N2086" s="300"/>
      <c r="O2086" s="300"/>
      <c r="P2086" s="300"/>
      <c r="Q2086" s="300"/>
      <c r="R2086" s="300"/>
      <c r="S2086" s="300"/>
      <c r="T2086" s="300"/>
      <c r="U2086" s="300"/>
      <c r="V2086" s="300"/>
      <c r="W2086" s="300"/>
      <c r="X2086" s="300"/>
      <c r="Y2086" s="300"/>
      <c r="Z2086" s="300"/>
    </row>
    <row r="2087" spans="1:26">
      <c r="A2087" s="215" t="s">
        <v>4091</v>
      </c>
      <c r="B2087" s="207">
        <v>372</v>
      </c>
      <c r="C2087" s="215" t="s">
        <v>11063</v>
      </c>
      <c r="D2087" s="215" t="s">
        <v>11064</v>
      </c>
      <c r="E2087" s="215" t="s">
        <v>11065</v>
      </c>
      <c r="F2087" s="215" t="s">
        <v>11036</v>
      </c>
      <c r="G2087" s="215" t="s">
        <v>11037</v>
      </c>
      <c r="H2087" s="215" t="s">
        <v>6504</v>
      </c>
      <c r="I2087" s="300"/>
      <c r="J2087" s="300"/>
      <c r="K2087" s="300"/>
      <c r="L2087" s="300"/>
      <c r="M2087" s="300"/>
      <c r="N2087" s="300"/>
      <c r="O2087" s="300"/>
      <c r="P2087" s="300"/>
      <c r="Q2087" s="300"/>
      <c r="R2087" s="300"/>
      <c r="S2087" s="300"/>
      <c r="T2087" s="300"/>
      <c r="U2087" s="300"/>
      <c r="V2087" s="300"/>
      <c r="W2087" s="300"/>
      <c r="X2087" s="300"/>
      <c r="Y2087" s="300"/>
      <c r="Z2087" s="300"/>
    </row>
    <row r="2088" spans="1:26">
      <c r="A2088" s="215" t="s">
        <v>3441</v>
      </c>
      <c r="B2088" s="207">
        <v>373</v>
      </c>
      <c r="C2088" s="215" t="s">
        <v>5043</v>
      </c>
      <c r="D2088" s="215" t="s">
        <v>11066</v>
      </c>
      <c r="E2088" s="215" t="s">
        <v>11066</v>
      </c>
      <c r="F2088" s="215" t="s">
        <v>11036</v>
      </c>
      <c r="G2088" s="215" t="s">
        <v>11037</v>
      </c>
      <c r="H2088" s="215" t="s">
        <v>6500</v>
      </c>
      <c r="I2088" s="300"/>
      <c r="J2088" s="300"/>
      <c r="K2088" s="300"/>
      <c r="L2088" s="300"/>
      <c r="M2088" s="300"/>
      <c r="N2088" s="300"/>
      <c r="O2088" s="300"/>
      <c r="P2088" s="300"/>
      <c r="Q2088" s="300"/>
      <c r="R2088" s="300"/>
      <c r="S2088" s="300"/>
      <c r="T2088" s="300"/>
      <c r="U2088" s="300"/>
      <c r="V2088" s="300"/>
      <c r="W2088" s="300"/>
      <c r="X2088" s="300"/>
      <c r="Y2088" s="300"/>
      <c r="Z2088" s="300"/>
    </row>
    <row r="2089" spans="1:26">
      <c r="A2089" s="215" t="s">
        <v>3565</v>
      </c>
      <c r="B2089" s="207">
        <v>385</v>
      </c>
      <c r="C2089" s="215" t="s">
        <v>11067</v>
      </c>
      <c r="D2089" s="215" t="s">
        <v>11068</v>
      </c>
      <c r="E2089" s="215" t="s">
        <v>11069</v>
      </c>
      <c r="F2089" s="215" t="s">
        <v>11036</v>
      </c>
      <c r="G2089" s="215" t="s">
        <v>11037</v>
      </c>
      <c r="H2089" s="215" t="s">
        <v>6504</v>
      </c>
      <c r="I2089" s="300"/>
      <c r="J2089" s="300"/>
      <c r="K2089" s="300"/>
      <c r="L2089" s="300"/>
      <c r="M2089" s="300"/>
      <c r="N2089" s="300"/>
      <c r="O2089" s="300"/>
      <c r="P2089" s="300"/>
      <c r="Q2089" s="300"/>
      <c r="R2089" s="300"/>
      <c r="S2089" s="300"/>
      <c r="T2089" s="300"/>
      <c r="U2089" s="300"/>
      <c r="V2089" s="300"/>
      <c r="W2089" s="300"/>
      <c r="X2089" s="300"/>
      <c r="Y2089" s="300"/>
      <c r="Z2089" s="300"/>
    </row>
    <row r="2090" spans="1:26">
      <c r="A2090" s="215"/>
      <c r="B2090" s="207">
        <v>395</v>
      </c>
      <c r="C2090" s="215" t="s">
        <v>5998</v>
      </c>
      <c r="D2090" s="215"/>
      <c r="E2090" s="215"/>
      <c r="F2090" s="215" t="s">
        <v>11036</v>
      </c>
      <c r="G2090" s="215" t="s">
        <v>11037</v>
      </c>
      <c r="H2090" s="215" t="s">
        <v>6548</v>
      </c>
      <c r="I2090" s="300"/>
      <c r="J2090" s="300"/>
      <c r="K2090" s="300"/>
      <c r="L2090" s="300"/>
      <c r="M2090" s="300"/>
      <c r="N2090" s="300"/>
      <c r="O2090" s="300"/>
      <c r="P2090" s="300"/>
      <c r="Q2090" s="300"/>
      <c r="R2090" s="300"/>
      <c r="S2090" s="300"/>
      <c r="T2090" s="300"/>
      <c r="U2090" s="300"/>
      <c r="V2090" s="300"/>
      <c r="W2090" s="300"/>
      <c r="X2090" s="300"/>
      <c r="Y2090" s="300"/>
      <c r="Z2090" s="300"/>
    </row>
    <row r="2091" spans="1:26">
      <c r="A2091" s="215" t="s">
        <v>3431</v>
      </c>
      <c r="B2091" s="207">
        <v>397</v>
      </c>
      <c r="C2091" s="215" t="s">
        <v>5552</v>
      </c>
      <c r="D2091" s="215" t="s">
        <v>11070</v>
      </c>
      <c r="E2091" s="215" t="s">
        <v>11071</v>
      </c>
      <c r="F2091" s="215" t="s">
        <v>11036</v>
      </c>
      <c r="G2091" s="215" t="s">
        <v>11037</v>
      </c>
      <c r="H2091" s="215" t="s">
        <v>6500</v>
      </c>
      <c r="I2091" s="300"/>
      <c r="J2091" s="300"/>
      <c r="K2091" s="300"/>
      <c r="L2091" s="300"/>
      <c r="M2091" s="300"/>
      <c r="N2091" s="300"/>
      <c r="O2091" s="300"/>
      <c r="P2091" s="300"/>
      <c r="Q2091" s="300"/>
      <c r="R2091" s="300"/>
      <c r="S2091" s="300"/>
      <c r="T2091" s="300"/>
      <c r="U2091" s="300"/>
      <c r="V2091" s="300"/>
      <c r="W2091" s="300"/>
      <c r="X2091" s="300"/>
      <c r="Y2091" s="300"/>
      <c r="Z2091" s="300"/>
    </row>
    <row r="2092" spans="1:26">
      <c r="A2092" s="215" t="s">
        <v>4095</v>
      </c>
      <c r="B2092" s="207">
        <v>416</v>
      </c>
      <c r="C2092" s="215" t="s">
        <v>11072</v>
      </c>
      <c r="D2092" s="215" t="s">
        <v>11073</v>
      </c>
      <c r="E2092" s="215" t="s">
        <v>11074</v>
      </c>
      <c r="F2092" s="215" t="s">
        <v>11036</v>
      </c>
      <c r="G2092" s="215" t="s">
        <v>11037</v>
      </c>
      <c r="H2092" s="215" t="s">
        <v>6497</v>
      </c>
      <c r="I2092" s="300"/>
      <c r="J2092" s="300"/>
      <c r="K2092" s="300"/>
      <c r="L2092" s="300"/>
      <c r="M2092" s="300"/>
      <c r="N2092" s="300"/>
      <c r="O2092" s="300"/>
      <c r="P2092" s="300"/>
      <c r="Q2092" s="300"/>
      <c r="R2092" s="300"/>
      <c r="S2092" s="300"/>
      <c r="T2092" s="300"/>
      <c r="U2092" s="300"/>
      <c r="V2092" s="300"/>
      <c r="W2092" s="300"/>
      <c r="X2092" s="300"/>
      <c r="Y2092" s="300"/>
      <c r="Z2092" s="300"/>
    </row>
    <row r="2093" spans="1:26">
      <c r="A2093" s="215" t="s">
        <v>4356</v>
      </c>
      <c r="B2093" s="207">
        <v>418</v>
      </c>
      <c r="C2093" s="215" t="s">
        <v>6305</v>
      </c>
      <c r="D2093" s="215" t="s">
        <v>11075</v>
      </c>
      <c r="E2093" s="215" t="s">
        <v>11076</v>
      </c>
      <c r="F2093" s="215" t="s">
        <v>11036</v>
      </c>
      <c r="G2093" s="215" t="s">
        <v>11037</v>
      </c>
      <c r="H2093" s="215" t="s">
        <v>6500</v>
      </c>
      <c r="I2093" s="300"/>
      <c r="J2093" s="300"/>
      <c r="K2093" s="300"/>
      <c r="L2093" s="300"/>
      <c r="M2093" s="300"/>
      <c r="N2093" s="300"/>
      <c r="O2093" s="300"/>
      <c r="P2093" s="300"/>
      <c r="Q2093" s="300"/>
      <c r="R2093" s="300"/>
      <c r="S2093" s="300"/>
      <c r="T2093" s="300"/>
      <c r="U2093" s="300"/>
      <c r="V2093" s="300"/>
      <c r="W2093" s="300"/>
      <c r="X2093" s="300"/>
      <c r="Y2093" s="300"/>
      <c r="Z2093" s="300"/>
    </row>
    <row r="2094" spans="1:26">
      <c r="A2094" s="215" t="s">
        <v>4394</v>
      </c>
      <c r="B2094" s="207">
        <v>420</v>
      </c>
      <c r="C2094" s="215" t="s">
        <v>6335</v>
      </c>
      <c r="D2094" s="215" t="s">
        <v>11077</v>
      </c>
      <c r="E2094" s="215" t="s">
        <v>11078</v>
      </c>
      <c r="F2094" s="215" t="s">
        <v>11036</v>
      </c>
      <c r="G2094" s="215" t="s">
        <v>11037</v>
      </c>
      <c r="H2094" s="215" t="s">
        <v>6504</v>
      </c>
      <c r="I2094" s="300"/>
      <c r="J2094" s="300"/>
      <c r="K2094" s="300"/>
      <c r="L2094" s="300"/>
      <c r="M2094" s="300"/>
      <c r="N2094" s="300"/>
      <c r="O2094" s="300"/>
      <c r="P2094" s="300"/>
      <c r="Q2094" s="300"/>
      <c r="R2094" s="300"/>
      <c r="S2094" s="300"/>
      <c r="T2094" s="300"/>
      <c r="U2094" s="300"/>
      <c r="V2094" s="300"/>
      <c r="W2094" s="300"/>
      <c r="X2094" s="300"/>
      <c r="Y2094" s="300"/>
      <c r="Z2094" s="300"/>
    </row>
    <row r="2095" spans="1:26">
      <c r="A2095" s="215" t="s">
        <v>4406</v>
      </c>
      <c r="B2095" s="207">
        <v>423</v>
      </c>
      <c r="C2095" s="215" t="s">
        <v>6345</v>
      </c>
      <c r="D2095" s="215" t="s">
        <v>11079</v>
      </c>
      <c r="E2095" s="215" t="s">
        <v>11080</v>
      </c>
      <c r="F2095" s="215" t="s">
        <v>11036</v>
      </c>
      <c r="G2095" s="215" t="s">
        <v>11037</v>
      </c>
      <c r="H2095" s="215" t="s">
        <v>6497</v>
      </c>
      <c r="I2095" s="300"/>
      <c r="J2095" s="300"/>
      <c r="K2095" s="300"/>
      <c r="L2095" s="300"/>
      <c r="M2095" s="300"/>
      <c r="N2095" s="300"/>
      <c r="O2095" s="300"/>
      <c r="P2095" s="300"/>
      <c r="Q2095" s="300"/>
      <c r="R2095" s="300"/>
      <c r="S2095" s="300"/>
      <c r="T2095" s="300"/>
      <c r="U2095" s="300"/>
      <c r="V2095" s="300"/>
      <c r="W2095" s="300"/>
      <c r="X2095" s="300"/>
      <c r="Y2095" s="300"/>
      <c r="Z2095" s="300"/>
    </row>
    <row r="2096" spans="1:26">
      <c r="A2096" s="215" t="s">
        <v>3680</v>
      </c>
      <c r="B2096" s="207">
        <v>427</v>
      </c>
      <c r="C2096" s="215" t="s">
        <v>5768</v>
      </c>
      <c r="D2096" s="215" t="s">
        <v>11081</v>
      </c>
      <c r="E2096" s="215" t="s">
        <v>11082</v>
      </c>
      <c r="F2096" s="215" t="s">
        <v>11036</v>
      </c>
      <c r="G2096" s="215" t="s">
        <v>11037</v>
      </c>
      <c r="H2096" s="215" t="s">
        <v>6504</v>
      </c>
      <c r="I2096" s="300"/>
      <c r="J2096" s="300"/>
      <c r="K2096" s="300"/>
      <c r="L2096" s="300"/>
      <c r="M2096" s="300"/>
      <c r="N2096" s="300"/>
      <c r="O2096" s="300"/>
      <c r="P2096" s="300"/>
      <c r="Q2096" s="300"/>
      <c r="R2096" s="300"/>
      <c r="S2096" s="300"/>
      <c r="T2096" s="300"/>
      <c r="U2096" s="300"/>
      <c r="V2096" s="300"/>
      <c r="W2096" s="300"/>
      <c r="X2096" s="300"/>
      <c r="Y2096" s="300"/>
      <c r="Z2096" s="300"/>
    </row>
    <row r="2097" spans="1:26">
      <c r="A2097" s="215"/>
      <c r="B2097" s="207">
        <v>457</v>
      </c>
      <c r="C2097" s="215" t="s">
        <v>5902</v>
      </c>
      <c r="D2097" s="215" t="s">
        <v>4196</v>
      </c>
      <c r="E2097" s="215" t="s">
        <v>11083</v>
      </c>
      <c r="F2097" s="215" t="s">
        <v>11036</v>
      </c>
      <c r="G2097" s="215" t="s">
        <v>11037</v>
      </c>
      <c r="H2097" s="215" t="s">
        <v>6504</v>
      </c>
      <c r="I2097" s="300"/>
      <c r="J2097" s="300"/>
      <c r="K2097" s="300"/>
      <c r="L2097" s="300"/>
      <c r="M2097" s="300"/>
      <c r="N2097" s="300"/>
      <c r="O2097" s="300"/>
      <c r="P2097" s="300"/>
      <c r="Q2097" s="300"/>
      <c r="R2097" s="300"/>
      <c r="S2097" s="300"/>
      <c r="T2097" s="300"/>
      <c r="U2097" s="300"/>
      <c r="V2097" s="300"/>
      <c r="W2097" s="300"/>
      <c r="X2097" s="300"/>
      <c r="Y2097" s="300"/>
      <c r="Z2097" s="300"/>
    </row>
    <row r="2098" spans="1:26">
      <c r="A2098" s="215" t="s">
        <v>2662</v>
      </c>
      <c r="B2098" s="207">
        <v>462</v>
      </c>
      <c r="C2098" s="215" t="s">
        <v>11084</v>
      </c>
      <c r="D2098" s="215" t="s">
        <v>11085</v>
      </c>
      <c r="E2098" s="215" t="s">
        <v>11086</v>
      </c>
      <c r="F2098" s="215" t="s">
        <v>11036</v>
      </c>
      <c r="G2098" s="215" t="s">
        <v>11037</v>
      </c>
      <c r="H2098" s="215" t="s">
        <v>6500</v>
      </c>
      <c r="I2098" s="300"/>
      <c r="J2098" s="300"/>
      <c r="K2098" s="300"/>
      <c r="L2098" s="300"/>
      <c r="M2098" s="300"/>
      <c r="N2098" s="300"/>
      <c r="O2098" s="300"/>
      <c r="P2098" s="300"/>
      <c r="Q2098" s="300"/>
      <c r="R2098" s="300"/>
      <c r="S2098" s="300"/>
      <c r="T2098" s="300"/>
      <c r="U2098" s="300"/>
      <c r="V2098" s="300"/>
      <c r="W2098" s="300"/>
      <c r="X2098" s="300"/>
      <c r="Y2098" s="300"/>
      <c r="Z2098" s="300"/>
    </row>
    <row r="2099" spans="1:26">
      <c r="A2099" s="215" t="s">
        <v>2661</v>
      </c>
      <c r="B2099" s="207">
        <v>463</v>
      </c>
      <c r="C2099" s="215" t="s">
        <v>4833</v>
      </c>
      <c r="D2099" s="215" t="s">
        <v>11087</v>
      </c>
      <c r="E2099" s="215" t="s">
        <v>11088</v>
      </c>
      <c r="F2099" s="215" t="s">
        <v>11036</v>
      </c>
      <c r="G2099" s="215" t="s">
        <v>11037</v>
      </c>
      <c r="H2099" s="215" t="s">
        <v>6504</v>
      </c>
      <c r="I2099" s="300"/>
      <c r="J2099" s="300"/>
      <c r="K2099" s="300"/>
      <c r="L2099" s="300"/>
      <c r="M2099" s="300"/>
      <c r="N2099" s="300"/>
      <c r="O2099" s="300"/>
      <c r="P2099" s="300"/>
      <c r="Q2099" s="300"/>
      <c r="R2099" s="300"/>
      <c r="S2099" s="300"/>
      <c r="T2099" s="300"/>
      <c r="U2099" s="300"/>
      <c r="V2099" s="300"/>
      <c r="W2099" s="300"/>
      <c r="X2099" s="300"/>
      <c r="Y2099" s="300"/>
      <c r="Z2099" s="300"/>
    </row>
    <row r="2100" spans="1:26">
      <c r="A2100" s="215" t="s">
        <v>3764</v>
      </c>
      <c r="B2100" s="207">
        <v>464</v>
      </c>
      <c r="C2100" s="215" t="s">
        <v>11089</v>
      </c>
      <c r="D2100" s="215" t="s">
        <v>11090</v>
      </c>
      <c r="E2100" s="215" t="s">
        <v>11091</v>
      </c>
      <c r="F2100" s="215" t="s">
        <v>11036</v>
      </c>
      <c r="G2100" s="215" t="s">
        <v>11037</v>
      </c>
      <c r="H2100" s="215" t="s">
        <v>6497</v>
      </c>
      <c r="I2100" s="300"/>
      <c r="J2100" s="300"/>
      <c r="K2100" s="300"/>
      <c r="L2100" s="300"/>
      <c r="M2100" s="300"/>
      <c r="N2100" s="300"/>
      <c r="O2100" s="300"/>
      <c r="P2100" s="300"/>
      <c r="Q2100" s="300"/>
      <c r="R2100" s="300"/>
      <c r="S2100" s="300"/>
      <c r="T2100" s="300"/>
      <c r="U2100" s="300"/>
      <c r="V2100" s="300"/>
      <c r="W2100" s="300"/>
      <c r="X2100" s="300"/>
      <c r="Y2100" s="300"/>
      <c r="Z2100" s="300"/>
    </row>
    <row r="2101" spans="1:26">
      <c r="A2101" s="215" t="s">
        <v>3106</v>
      </c>
      <c r="B2101" s="207">
        <v>465</v>
      </c>
      <c r="C2101" s="215" t="s">
        <v>5236</v>
      </c>
      <c r="D2101" s="215" t="s">
        <v>11092</v>
      </c>
      <c r="E2101" s="215" t="s">
        <v>11092</v>
      </c>
      <c r="F2101" s="215" t="s">
        <v>11036</v>
      </c>
      <c r="G2101" s="215" t="s">
        <v>11037</v>
      </c>
      <c r="H2101" s="215" t="s">
        <v>6548</v>
      </c>
      <c r="I2101" s="300"/>
      <c r="J2101" s="300"/>
      <c r="K2101" s="300"/>
      <c r="L2101" s="300"/>
      <c r="M2101" s="300"/>
      <c r="N2101" s="300"/>
      <c r="O2101" s="300"/>
      <c r="P2101" s="300"/>
      <c r="Q2101" s="300"/>
      <c r="R2101" s="300"/>
      <c r="S2101" s="300"/>
      <c r="T2101" s="300"/>
      <c r="U2101" s="300"/>
      <c r="V2101" s="300"/>
      <c r="W2101" s="300"/>
      <c r="X2101" s="300"/>
      <c r="Y2101" s="300"/>
      <c r="Z2101" s="300"/>
    </row>
    <row r="2102" spans="1:26">
      <c r="A2102" s="215" t="s">
        <v>2965</v>
      </c>
      <c r="B2102" s="207">
        <v>466</v>
      </c>
      <c r="C2102" s="215" t="s">
        <v>5116</v>
      </c>
      <c r="D2102" s="215" t="s">
        <v>11093</v>
      </c>
      <c r="E2102" s="215" t="s">
        <v>11094</v>
      </c>
      <c r="F2102" s="215" t="s">
        <v>11036</v>
      </c>
      <c r="G2102" s="215" t="s">
        <v>11037</v>
      </c>
      <c r="H2102" s="215" t="s">
        <v>6504</v>
      </c>
      <c r="I2102" s="300"/>
      <c r="J2102" s="300"/>
      <c r="K2102" s="300"/>
      <c r="L2102" s="300"/>
      <c r="M2102" s="300"/>
      <c r="N2102" s="300"/>
      <c r="O2102" s="300"/>
      <c r="P2102" s="300"/>
      <c r="Q2102" s="300"/>
      <c r="R2102" s="300"/>
      <c r="S2102" s="300"/>
      <c r="T2102" s="300"/>
      <c r="U2102" s="300"/>
      <c r="V2102" s="300"/>
      <c r="W2102" s="300"/>
      <c r="X2102" s="300"/>
      <c r="Y2102" s="300"/>
      <c r="Z2102" s="300"/>
    </row>
    <row r="2103" spans="1:26">
      <c r="A2103" s="215" t="s">
        <v>2972</v>
      </c>
      <c r="B2103" s="207">
        <v>467</v>
      </c>
      <c r="C2103" s="215" t="s">
        <v>11095</v>
      </c>
      <c r="D2103" s="215" t="s">
        <v>11096</v>
      </c>
      <c r="E2103" s="215" t="s">
        <v>11097</v>
      </c>
      <c r="F2103" s="215" t="s">
        <v>11036</v>
      </c>
      <c r="G2103" s="215" t="s">
        <v>11037</v>
      </c>
      <c r="H2103" s="215" t="s">
        <v>6497</v>
      </c>
      <c r="I2103" s="300"/>
      <c r="J2103" s="300"/>
      <c r="K2103" s="300"/>
      <c r="L2103" s="300"/>
      <c r="M2103" s="300"/>
      <c r="N2103" s="300"/>
      <c r="O2103" s="300"/>
      <c r="P2103" s="300"/>
      <c r="Q2103" s="300"/>
      <c r="R2103" s="300"/>
      <c r="S2103" s="300"/>
      <c r="T2103" s="300"/>
      <c r="U2103" s="300"/>
      <c r="V2103" s="300"/>
      <c r="W2103" s="300"/>
      <c r="X2103" s="300"/>
      <c r="Y2103" s="300"/>
      <c r="Z2103" s="300"/>
    </row>
    <row r="2104" spans="1:26">
      <c r="A2104" s="215" t="s">
        <v>3053</v>
      </c>
      <c r="B2104" s="207">
        <v>468</v>
      </c>
      <c r="C2104" s="215" t="s">
        <v>5188</v>
      </c>
      <c r="D2104" s="215" t="s">
        <v>11098</v>
      </c>
      <c r="E2104" s="215" t="s">
        <v>11099</v>
      </c>
      <c r="F2104" s="215" t="s">
        <v>11036</v>
      </c>
      <c r="G2104" s="215" t="s">
        <v>11037</v>
      </c>
      <c r="H2104" s="215" t="s">
        <v>6500</v>
      </c>
      <c r="I2104" s="300"/>
      <c r="J2104" s="300"/>
      <c r="K2104" s="300"/>
      <c r="L2104" s="300"/>
      <c r="M2104" s="300"/>
      <c r="N2104" s="300"/>
      <c r="O2104" s="300"/>
      <c r="P2104" s="300"/>
      <c r="Q2104" s="300"/>
      <c r="R2104" s="300"/>
      <c r="S2104" s="300"/>
      <c r="T2104" s="300"/>
      <c r="U2104" s="300"/>
      <c r="V2104" s="300"/>
      <c r="W2104" s="300"/>
      <c r="X2104" s="300"/>
      <c r="Y2104" s="300"/>
      <c r="Z2104" s="300"/>
    </row>
    <row r="2105" spans="1:26">
      <c r="A2105" s="215" t="s">
        <v>8030</v>
      </c>
      <c r="B2105" s="207">
        <v>469</v>
      </c>
      <c r="C2105" s="215" t="s">
        <v>11100</v>
      </c>
      <c r="D2105" s="215" t="s">
        <v>11101</v>
      </c>
      <c r="E2105" s="215" t="s">
        <v>11102</v>
      </c>
      <c r="F2105" s="215" t="s">
        <v>11036</v>
      </c>
      <c r="G2105" s="215" t="s">
        <v>11037</v>
      </c>
      <c r="H2105" s="215" t="s">
        <v>6500</v>
      </c>
      <c r="I2105" s="300"/>
      <c r="J2105" s="300"/>
      <c r="K2105" s="300"/>
      <c r="L2105" s="300"/>
      <c r="M2105" s="300"/>
      <c r="N2105" s="300"/>
      <c r="O2105" s="300"/>
      <c r="P2105" s="300"/>
      <c r="Q2105" s="300"/>
      <c r="R2105" s="300"/>
      <c r="S2105" s="300"/>
      <c r="T2105" s="300"/>
      <c r="U2105" s="300"/>
      <c r="V2105" s="300"/>
      <c r="W2105" s="300"/>
      <c r="X2105" s="300"/>
      <c r="Y2105" s="300"/>
      <c r="Z2105" s="300"/>
    </row>
    <row r="2106" spans="1:26">
      <c r="A2106" s="215"/>
      <c r="B2106" s="207">
        <v>470</v>
      </c>
      <c r="C2106" s="215" t="s">
        <v>11103</v>
      </c>
      <c r="D2106" s="215"/>
      <c r="E2106" s="215"/>
      <c r="F2106" s="215" t="s">
        <v>11036</v>
      </c>
      <c r="G2106" s="215" t="s">
        <v>11037</v>
      </c>
      <c r="H2106" s="215" t="s">
        <v>6548</v>
      </c>
      <c r="I2106" s="300"/>
      <c r="J2106" s="300"/>
      <c r="K2106" s="300"/>
      <c r="L2106" s="300"/>
      <c r="M2106" s="300"/>
      <c r="N2106" s="300"/>
      <c r="O2106" s="300"/>
      <c r="P2106" s="300"/>
      <c r="Q2106" s="300"/>
      <c r="R2106" s="300"/>
      <c r="S2106" s="300"/>
      <c r="T2106" s="300"/>
      <c r="U2106" s="300"/>
      <c r="V2106" s="300"/>
      <c r="W2106" s="300"/>
      <c r="X2106" s="300"/>
      <c r="Y2106" s="300"/>
      <c r="Z2106" s="300"/>
    </row>
    <row r="2107" spans="1:26">
      <c r="A2107" s="215" t="s">
        <v>3106</v>
      </c>
      <c r="B2107" s="207">
        <v>471</v>
      </c>
      <c r="C2107" s="215" t="s">
        <v>11104</v>
      </c>
      <c r="D2107" s="215" t="s">
        <v>11105</v>
      </c>
      <c r="E2107" s="215" t="s">
        <v>11106</v>
      </c>
      <c r="F2107" s="215" t="s">
        <v>11036</v>
      </c>
      <c r="G2107" s="215" t="s">
        <v>11037</v>
      </c>
      <c r="H2107" s="215" t="s">
        <v>6504</v>
      </c>
      <c r="I2107" s="300"/>
      <c r="J2107" s="300"/>
      <c r="K2107" s="300"/>
      <c r="L2107" s="300"/>
      <c r="M2107" s="300"/>
      <c r="N2107" s="300"/>
      <c r="O2107" s="300"/>
      <c r="P2107" s="300"/>
      <c r="Q2107" s="300"/>
      <c r="R2107" s="300"/>
      <c r="S2107" s="300"/>
      <c r="T2107" s="300"/>
      <c r="U2107" s="300"/>
      <c r="V2107" s="300"/>
      <c r="W2107" s="300"/>
      <c r="X2107" s="300"/>
      <c r="Y2107" s="300"/>
      <c r="Z2107" s="300"/>
    </row>
    <row r="2108" spans="1:26">
      <c r="A2108" s="215" t="s">
        <v>3094</v>
      </c>
      <c r="B2108" s="207">
        <v>472</v>
      </c>
      <c r="C2108" s="215" t="s">
        <v>11107</v>
      </c>
      <c r="D2108" s="215" t="s">
        <v>11108</v>
      </c>
      <c r="E2108" s="215" t="s">
        <v>11109</v>
      </c>
      <c r="F2108" s="215" t="s">
        <v>11036</v>
      </c>
      <c r="G2108" s="215" t="s">
        <v>11037</v>
      </c>
      <c r="H2108" s="215" t="s">
        <v>6497</v>
      </c>
      <c r="I2108" s="300"/>
      <c r="J2108" s="300"/>
      <c r="K2108" s="300"/>
      <c r="L2108" s="300"/>
      <c r="M2108" s="300"/>
      <c r="N2108" s="300"/>
      <c r="O2108" s="300"/>
      <c r="P2108" s="300"/>
      <c r="Q2108" s="300"/>
      <c r="R2108" s="300"/>
      <c r="S2108" s="300"/>
      <c r="T2108" s="300"/>
      <c r="U2108" s="300"/>
      <c r="V2108" s="300"/>
      <c r="W2108" s="300"/>
      <c r="X2108" s="300"/>
      <c r="Y2108" s="300"/>
      <c r="Z2108" s="300"/>
    </row>
    <row r="2109" spans="1:26">
      <c r="A2109" s="215" t="s">
        <v>4533</v>
      </c>
      <c r="B2109" s="207">
        <v>473</v>
      </c>
      <c r="C2109" s="215" t="s">
        <v>11110</v>
      </c>
      <c r="D2109" s="215" t="s">
        <v>11111</v>
      </c>
      <c r="E2109" s="215" t="s">
        <v>11112</v>
      </c>
      <c r="F2109" s="215" t="s">
        <v>11036</v>
      </c>
      <c r="G2109" s="215" t="s">
        <v>11037</v>
      </c>
      <c r="H2109" s="215" t="s">
        <v>6504</v>
      </c>
      <c r="I2109" s="300"/>
      <c r="J2109" s="300"/>
      <c r="K2109" s="300"/>
      <c r="L2109" s="300"/>
      <c r="M2109" s="300"/>
      <c r="N2109" s="300"/>
      <c r="O2109" s="300"/>
      <c r="P2109" s="300"/>
      <c r="Q2109" s="300"/>
      <c r="R2109" s="300"/>
      <c r="S2109" s="300"/>
      <c r="T2109" s="300"/>
      <c r="U2109" s="300"/>
      <c r="V2109" s="300"/>
      <c r="W2109" s="300"/>
      <c r="X2109" s="300"/>
      <c r="Y2109" s="300"/>
      <c r="Z2109" s="300"/>
    </row>
    <row r="2110" spans="1:26">
      <c r="A2110" s="215" t="s">
        <v>4552</v>
      </c>
      <c r="B2110" s="207">
        <v>474</v>
      </c>
      <c r="C2110" s="215" t="s">
        <v>6464</v>
      </c>
      <c r="D2110" s="215" t="s">
        <v>11113</v>
      </c>
      <c r="E2110" s="215" t="s">
        <v>11114</v>
      </c>
      <c r="F2110" s="215" t="s">
        <v>11036</v>
      </c>
      <c r="G2110" s="215" t="s">
        <v>11037</v>
      </c>
      <c r="H2110" s="215" t="s">
        <v>6497</v>
      </c>
      <c r="I2110" s="300"/>
      <c r="J2110" s="300"/>
      <c r="K2110" s="300"/>
      <c r="L2110" s="300"/>
      <c r="M2110" s="300"/>
      <c r="N2110" s="300"/>
      <c r="O2110" s="300"/>
      <c r="P2110" s="300"/>
      <c r="Q2110" s="300"/>
      <c r="R2110" s="300"/>
      <c r="S2110" s="300"/>
      <c r="T2110" s="300"/>
      <c r="U2110" s="300"/>
      <c r="V2110" s="300"/>
      <c r="W2110" s="300"/>
      <c r="X2110" s="300"/>
      <c r="Y2110" s="300"/>
      <c r="Z2110" s="300"/>
    </row>
    <row r="2111" spans="1:26">
      <c r="A2111" s="215" t="s">
        <v>3284</v>
      </c>
      <c r="B2111" s="207">
        <v>476</v>
      </c>
      <c r="C2111" s="215" t="s">
        <v>5414</v>
      </c>
      <c r="D2111" s="215" t="s">
        <v>11115</v>
      </c>
      <c r="E2111" s="215" t="s">
        <v>11116</v>
      </c>
      <c r="F2111" s="215" t="s">
        <v>11036</v>
      </c>
      <c r="G2111" s="215" t="s">
        <v>11037</v>
      </c>
      <c r="H2111" s="215" t="s">
        <v>6497</v>
      </c>
      <c r="I2111" s="300"/>
      <c r="J2111" s="300"/>
      <c r="K2111" s="300"/>
      <c r="L2111" s="300"/>
      <c r="M2111" s="300"/>
      <c r="N2111" s="300"/>
      <c r="O2111" s="300"/>
      <c r="P2111" s="300"/>
      <c r="Q2111" s="300"/>
      <c r="R2111" s="300"/>
      <c r="S2111" s="300"/>
      <c r="T2111" s="300"/>
      <c r="U2111" s="300"/>
      <c r="V2111" s="300"/>
      <c r="W2111" s="300"/>
      <c r="X2111" s="300"/>
      <c r="Y2111" s="300"/>
      <c r="Z2111" s="300"/>
    </row>
    <row r="2112" spans="1:26">
      <c r="A2112" s="215" t="s">
        <v>11117</v>
      </c>
      <c r="B2112" s="207">
        <v>477</v>
      </c>
      <c r="C2112" s="215" t="s">
        <v>5510</v>
      </c>
      <c r="D2112" s="215" t="s">
        <v>11118</v>
      </c>
      <c r="E2112" s="215" t="s">
        <v>11119</v>
      </c>
      <c r="F2112" s="215" t="s">
        <v>11036</v>
      </c>
      <c r="G2112" s="215" t="s">
        <v>11037</v>
      </c>
      <c r="H2112" s="215" t="s">
        <v>6548</v>
      </c>
      <c r="I2112" s="300"/>
      <c r="J2112" s="300"/>
      <c r="K2112" s="300"/>
      <c r="L2112" s="300"/>
      <c r="M2112" s="300"/>
      <c r="N2112" s="300"/>
      <c r="O2112" s="300"/>
      <c r="P2112" s="300"/>
      <c r="Q2112" s="300"/>
      <c r="R2112" s="300"/>
      <c r="S2112" s="300"/>
      <c r="T2112" s="300"/>
      <c r="U2112" s="300"/>
      <c r="V2112" s="300"/>
      <c r="W2112" s="300"/>
      <c r="X2112" s="300"/>
      <c r="Y2112" s="300"/>
      <c r="Z2112" s="300"/>
    </row>
    <row r="2113" spans="1:26">
      <c r="A2113" s="215" t="s">
        <v>3106</v>
      </c>
      <c r="B2113" s="207">
        <v>478</v>
      </c>
      <c r="C2113" s="215" t="s">
        <v>11120</v>
      </c>
      <c r="D2113" s="215" t="s">
        <v>11121</v>
      </c>
      <c r="E2113" s="215" t="s">
        <v>11122</v>
      </c>
      <c r="F2113" s="215" t="s">
        <v>11036</v>
      </c>
      <c r="G2113" s="215" t="s">
        <v>11037</v>
      </c>
      <c r="H2113" s="215" t="s">
        <v>6504</v>
      </c>
      <c r="I2113" s="300"/>
      <c r="J2113" s="300"/>
      <c r="K2113" s="300"/>
      <c r="L2113" s="300"/>
      <c r="M2113" s="300"/>
      <c r="N2113" s="300"/>
      <c r="O2113" s="300"/>
      <c r="P2113" s="300"/>
      <c r="Q2113" s="300"/>
      <c r="R2113" s="300"/>
      <c r="S2113" s="300"/>
      <c r="T2113" s="300"/>
      <c r="U2113" s="300"/>
      <c r="V2113" s="300"/>
      <c r="W2113" s="300"/>
      <c r="X2113" s="300"/>
      <c r="Y2113" s="300"/>
      <c r="Z2113" s="300"/>
    </row>
    <row r="2114" spans="1:26">
      <c r="A2114" s="215" t="s">
        <v>3454</v>
      </c>
      <c r="B2114" s="207">
        <v>479</v>
      </c>
      <c r="C2114" s="215" t="s">
        <v>5572</v>
      </c>
      <c r="D2114" s="215" t="s">
        <v>11123</v>
      </c>
      <c r="E2114" s="215" t="s">
        <v>11123</v>
      </c>
      <c r="F2114" s="215" t="s">
        <v>11036</v>
      </c>
      <c r="G2114" s="215" t="s">
        <v>11037</v>
      </c>
      <c r="H2114" s="215" t="s">
        <v>6548</v>
      </c>
      <c r="I2114" s="300"/>
      <c r="J2114" s="300"/>
      <c r="K2114" s="300"/>
      <c r="L2114" s="300"/>
      <c r="M2114" s="300"/>
      <c r="N2114" s="300"/>
      <c r="O2114" s="300"/>
      <c r="P2114" s="300"/>
      <c r="Q2114" s="300"/>
      <c r="R2114" s="300"/>
      <c r="S2114" s="300"/>
      <c r="T2114" s="300"/>
      <c r="U2114" s="300"/>
      <c r="V2114" s="300"/>
      <c r="W2114" s="300"/>
      <c r="X2114" s="300"/>
      <c r="Y2114" s="300"/>
      <c r="Z2114" s="300"/>
    </row>
    <row r="2115" spans="1:26">
      <c r="A2115" s="215" t="s">
        <v>3364</v>
      </c>
      <c r="B2115" s="207">
        <v>480</v>
      </c>
      <c r="C2115" s="215" t="s">
        <v>5485</v>
      </c>
      <c r="D2115" s="215" t="s">
        <v>3364</v>
      </c>
      <c r="E2115" s="215" t="s">
        <v>11124</v>
      </c>
      <c r="F2115" s="215" t="s">
        <v>11036</v>
      </c>
      <c r="G2115" s="215" t="s">
        <v>11037</v>
      </c>
      <c r="H2115" s="215" t="s">
        <v>6504</v>
      </c>
      <c r="I2115" s="300"/>
      <c r="J2115" s="300"/>
      <c r="K2115" s="300"/>
      <c r="L2115" s="300"/>
      <c r="M2115" s="300"/>
      <c r="N2115" s="300"/>
      <c r="O2115" s="300"/>
      <c r="P2115" s="300"/>
      <c r="Q2115" s="300"/>
      <c r="R2115" s="300"/>
      <c r="S2115" s="300"/>
      <c r="T2115" s="300"/>
      <c r="U2115" s="300"/>
      <c r="V2115" s="300"/>
      <c r="W2115" s="300"/>
      <c r="X2115" s="300"/>
      <c r="Y2115" s="300"/>
      <c r="Z2115" s="300"/>
    </row>
    <row r="2116" spans="1:26">
      <c r="A2116" s="215" t="s">
        <v>3391</v>
      </c>
      <c r="B2116" s="207">
        <v>481</v>
      </c>
      <c r="C2116" s="215" t="s">
        <v>5516</v>
      </c>
      <c r="D2116" s="215" t="s">
        <v>11125</v>
      </c>
      <c r="E2116" s="215" t="s">
        <v>11126</v>
      </c>
      <c r="F2116" s="215" t="s">
        <v>11036</v>
      </c>
      <c r="G2116" s="215" t="s">
        <v>11037</v>
      </c>
      <c r="H2116" s="215" t="s">
        <v>6500</v>
      </c>
      <c r="I2116" s="300"/>
      <c r="J2116" s="300"/>
      <c r="K2116" s="300"/>
      <c r="L2116" s="300"/>
      <c r="M2116" s="300"/>
      <c r="N2116" s="300"/>
      <c r="O2116" s="300"/>
      <c r="P2116" s="300"/>
      <c r="Q2116" s="300"/>
      <c r="R2116" s="300"/>
      <c r="S2116" s="300"/>
      <c r="T2116" s="300"/>
      <c r="U2116" s="300"/>
      <c r="V2116" s="300"/>
      <c r="W2116" s="300"/>
      <c r="X2116" s="300"/>
      <c r="Y2116" s="300"/>
      <c r="Z2116" s="300"/>
    </row>
    <row r="2117" spans="1:26">
      <c r="A2117" s="215" t="s">
        <v>3347</v>
      </c>
      <c r="B2117" s="207">
        <v>483</v>
      </c>
      <c r="C2117" s="215" t="s">
        <v>11127</v>
      </c>
      <c r="D2117" s="215" t="s">
        <v>11128</v>
      </c>
      <c r="E2117" s="215" t="s">
        <v>11129</v>
      </c>
      <c r="F2117" s="215" t="s">
        <v>11036</v>
      </c>
      <c r="G2117" s="215" t="s">
        <v>11037</v>
      </c>
      <c r="H2117" s="215" t="s">
        <v>6500</v>
      </c>
      <c r="I2117" s="300"/>
      <c r="J2117" s="300"/>
      <c r="K2117" s="300"/>
      <c r="L2117" s="300"/>
      <c r="M2117" s="300"/>
      <c r="N2117" s="300"/>
      <c r="O2117" s="300"/>
      <c r="P2117" s="300"/>
      <c r="Q2117" s="300"/>
      <c r="R2117" s="300"/>
      <c r="S2117" s="300"/>
      <c r="T2117" s="300"/>
      <c r="U2117" s="300"/>
      <c r="V2117" s="300"/>
      <c r="W2117" s="300"/>
      <c r="X2117" s="300"/>
      <c r="Y2117" s="300"/>
      <c r="Z2117" s="300"/>
    </row>
    <row r="2118" spans="1:26">
      <c r="A2118" s="215" t="s">
        <v>3442</v>
      </c>
      <c r="B2118" s="207">
        <v>484</v>
      </c>
      <c r="C2118" s="215" t="s">
        <v>5563</v>
      </c>
      <c r="D2118" s="215" t="s">
        <v>11130</v>
      </c>
      <c r="E2118" s="215" t="s">
        <v>11131</v>
      </c>
      <c r="F2118" s="215" t="s">
        <v>11036</v>
      </c>
      <c r="G2118" s="215" t="s">
        <v>11037</v>
      </c>
      <c r="H2118" s="215" t="s">
        <v>6504</v>
      </c>
      <c r="I2118" s="300"/>
      <c r="J2118" s="300"/>
      <c r="K2118" s="300"/>
      <c r="L2118" s="300"/>
      <c r="M2118" s="300"/>
      <c r="N2118" s="300"/>
      <c r="O2118" s="300"/>
      <c r="P2118" s="300"/>
      <c r="Q2118" s="300"/>
      <c r="R2118" s="300"/>
      <c r="S2118" s="300"/>
      <c r="T2118" s="300"/>
      <c r="U2118" s="300"/>
      <c r="V2118" s="300"/>
      <c r="W2118" s="300"/>
      <c r="X2118" s="300"/>
      <c r="Y2118" s="300"/>
      <c r="Z2118" s="300"/>
    </row>
    <row r="2119" spans="1:26">
      <c r="A2119" s="215"/>
      <c r="B2119" s="207">
        <v>485</v>
      </c>
      <c r="C2119" s="215" t="s">
        <v>11132</v>
      </c>
      <c r="D2119" s="215"/>
      <c r="E2119" s="215"/>
      <c r="F2119" s="215" t="s">
        <v>11036</v>
      </c>
      <c r="G2119" s="215" t="s">
        <v>11037</v>
      </c>
      <c r="H2119" s="215" t="s">
        <v>6548</v>
      </c>
      <c r="I2119" s="300"/>
      <c r="J2119" s="300"/>
      <c r="K2119" s="300"/>
      <c r="L2119" s="300"/>
      <c r="M2119" s="300"/>
      <c r="N2119" s="300"/>
      <c r="O2119" s="300"/>
      <c r="P2119" s="300"/>
      <c r="Q2119" s="300"/>
      <c r="R2119" s="300"/>
      <c r="S2119" s="300"/>
      <c r="T2119" s="300"/>
      <c r="U2119" s="300"/>
      <c r="V2119" s="300"/>
      <c r="W2119" s="300"/>
      <c r="X2119" s="300"/>
      <c r="Y2119" s="300"/>
      <c r="Z2119" s="300"/>
    </row>
    <row r="2120" spans="1:26">
      <c r="A2120" s="215" t="s">
        <v>2637</v>
      </c>
      <c r="B2120" s="207">
        <v>486</v>
      </c>
      <c r="C2120" s="215" t="s">
        <v>11133</v>
      </c>
      <c r="D2120" s="215" t="s">
        <v>11134</v>
      </c>
      <c r="E2120" s="215" t="s">
        <v>11135</v>
      </c>
      <c r="F2120" s="215" t="s">
        <v>11036</v>
      </c>
      <c r="G2120" s="215" t="s">
        <v>11037</v>
      </c>
      <c r="H2120" s="215" t="s">
        <v>6548</v>
      </c>
      <c r="I2120" s="300"/>
      <c r="J2120" s="300"/>
      <c r="K2120" s="300"/>
      <c r="L2120" s="300"/>
      <c r="M2120" s="300"/>
      <c r="N2120" s="300"/>
      <c r="O2120" s="300"/>
      <c r="P2120" s="300"/>
      <c r="Q2120" s="300"/>
      <c r="R2120" s="300"/>
      <c r="S2120" s="300"/>
      <c r="T2120" s="300"/>
      <c r="U2120" s="300"/>
      <c r="V2120" s="300"/>
      <c r="W2120" s="300"/>
      <c r="X2120" s="300"/>
      <c r="Y2120" s="300"/>
      <c r="Z2120" s="300"/>
    </row>
    <row r="2121" spans="1:26">
      <c r="A2121" s="215" t="s">
        <v>3648</v>
      </c>
      <c r="B2121" s="207">
        <v>487</v>
      </c>
      <c r="C2121" s="215" t="s">
        <v>5743</v>
      </c>
      <c r="D2121" s="215" t="s">
        <v>11136</v>
      </c>
      <c r="E2121" s="215" t="s">
        <v>11137</v>
      </c>
      <c r="F2121" s="215" t="s">
        <v>11036</v>
      </c>
      <c r="G2121" s="215" t="s">
        <v>11037</v>
      </c>
      <c r="H2121" s="215" t="s">
        <v>6504</v>
      </c>
      <c r="I2121" s="300"/>
      <c r="J2121" s="300"/>
      <c r="K2121" s="300"/>
      <c r="L2121" s="300"/>
      <c r="M2121" s="300"/>
      <c r="N2121" s="300"/>
      <c r="O2121" s="300"/>
      <c r="P2121" s="300"/>
      <c r="Q2121" s="300"/>
      <c r="R2121" s="300"/>
      <c r="S2121" s="300"/>
      <c r="T2121" s="300"/>
      <c r="U2121" s="300"/>
      <c r="V2121" s="300"/>
      <c r="W2121" s="300"/>
      <c r="X2121" s="300"/>
      <c r="Y2121" s="300"/>
      <c r="Z2121" s="300"/>
    </row>
    <row r="2122" spans="1:26">
      <c r="A2122" s="215"/>
      <c r="B2122" s="207">
        <v>488</v>
      </c>
      <c r="C2122" s="215" t="s">
        <v>11138</v>
      </c>
      <c r="D2122" s="215"/>
      <c r="E2122" s="215"/>
      <c r="F2122" s="215" t="s">
        <v>11036</v>
      </c>
      <c r="G2122" s="215" t="s">
        <v>11037</v>
      </c>
      <c r="H2122" s="215" t="s">
        <v>6548</v>
      </c>
      <c r="I2122" s="300"/>
      <c r="J2122" s="300"/>
      <c r="K2122" s="300"/>
      <c r="L2122" s="300"/>
      <c r="M2122" s="300"/>
      <c r="N2122" s="300"/>
      <c r="O2122" s="300"/>
      <c r="P2122" s="300"/>
      <c r="Q2122" s="300"/>
      <c r="R2122" s="300"/>
      <c r="S2122" s="300"/>
      <c r="T2122" s="300"/>
      <c r="U2122" s="300"/>
      <c r="V2122" s="300"/>
      <c r="W2122" s="300"/>
      <c r="X2122" s="300"/>
      <c r="Y2122" s="300"/>
      <c r="Z2122" s="300"/>
    </row>
    <row r="2123" spans="1:26">
      <c r="A2123" s="215" t="s">
        <v>3745</v>
      </c>
      <c r="B2123" s="207">
        <v>490</v>
      </c>
      <c r="C2123" s="215" t="s">
        <v>5825</v>
      </c>
      <c r="D2123" s="215" t="s">
        <v>11139</v>
      </c>
      <c r="E2123" s="215" t="s">
        <v>11140</v>
      </c>
      <c r="F2123" s="215" t="s">
        <v>11036</v>
      </c>
      <c r="G2123" s="215" t="s">
        <v>11037</v>
      </c>
      <c r="H2123" s="215" t="s">
        <v>6497</v>
      </c>
      <c r="I2123" s="300"/>
      <c r="J2123" s="300"/>
      <c r="K2123" s="300"/>
      <c r="L2123" s="300"/>
      <c r="M2123" s="300"/>
      <c r="N2123" s="300"/>
      <c r="O2123" s="300"/>
      <c r="P2123" s="300"/>
      <c r="Q2123" s="300"/>
      <c r="R2123" s="300"/>
      <c r="S2123" s="300"/>
      <c r="T2123" s="300"/>
      <c r="U2123" s="300"/>
      <c r="V2123" s="300"/>
      <c r="W2123" s="300"/>
      <c r="X2123" s="300"/>
      <c r="Y2123" s="300"/>
      <c r="Z2123" s="300"/>
    </row>
    <row r="2124" spans="1:26">
      <c r="A2124" s="215" t="s">
        <v>3761</v>
      </c>
      <c r="B2124" s="207">
        <v>491</v>
      </c>
      <c r="C2124" s="215" t="s">
        <v>5838</v>
      </c>
      <c r="D2124" s="215" t="s">
        <v>11141</v>
      </c>
      <c r="E2124" s="215" t="s">
        <v>11142</v>
      </c>
      <c r="F2124" s="215" t="s">
        <v>11036</v>
      </c>
      <c r="G2124" s="215" t="s">
        <v>11037</v>
      </c>
      <c r="H2124" s="215" t="s">
        <v>6504</v>
      </c>
      <c r="I2124" s="300"/>
      <c r="J2124" s="300"/>
      <c r="K2124" s="300"/>
      <c r="L2124" s="300"/>
      <c r="M2124" s="300"/>
      <c r="N2124" s="300"/>
      <c r="O2124" s="300"/>
      <c r="P2124" s="300"/>
      <c r="Q2124" s="300"/>
      <c r="R2124" s="300"/>
      <c r="S2124" s="300"/>
      <c r="T2124" s="300"/>
      <c r="U2124" s="300"/>
      <c r="V2124" s="300"/>
      <c r="W2124" s="300"/>
      <c r="X2124" s="300"/>
      <c r="Y2124" s="300"/>
      <c r="Z2124" s="300"/>
    </row>
    <row r="2125" spans="1:26">
      <c r="A2125" s="215" t="s">
        <v>3827</v>
      </c>
      <c r="B2125" s="207">
        <v>492</v>
      </c>
      <c r="C2125" s="215" t="s">
        <v>5901</v>
      </c>
      <c r="D2125" s="215" t="s">
        <v>11143</v>
      </c>
      <c r="E2125" s="215" t="s">
        <v>11144</v>
      </c>
      <c r="F2125" s="215" t="s">
        <v>11036</v>
      </c>
      <c r="G2125" s="215" t="s">
        <v>11037</v>
      </c>
      <c r="H2125" s="215" t="s">
        <v>6497</v>
      </c>
      <c r="I2125" s="300"/>
      <c r="J2125" s="300"/>
      <c r="K2125" s="300"/>
      <c r="L2125" s="300"/>
      <c r="M2125" s="300"/>
      <c r="N2125" s="300"/>
      <c r="O2125" s="300"/>
      <c r="P2125" s="300"/>
      <c r="Q2125" s="300"/>
      <c r="R2125" s="300"/>
      <c r="S2125" s="300"/>
      <c r="T2125" s="300"/>
      <c r="U2125" s="300"/>
      <c r="V2125" s="300"/>
      <c r="W2125" s="300"/>
      <c r="X2125" s="300"/>
      <c r="Y2125" s="300"/>
      <c r="Z2125" s="300"/>
    </row>
    <row r="2126" spans="1:26">
      <c r="A2126" s="215" t="s">
        <v>3826</v>
      </c>
      <c r="B2126" s="207">
        <v>493</v>
      </c>
      <c r="C2126" s="215" t="s">
        <v>5900</v>
      </c>
      <c r="D2126" s="215" t="s">
        <v>11145</v>
      </c>
      <c r="E2126" s="215" t="s">
        <v>11146</v>
      </c>
      <c r="F2126" s="215" t="s">
        <v>11036</v>
      </c>
      <c r="G2126" s="215" t="s">
        <v>11037</v>
      </c>
      <c r="H2126" s="215" t="s">
        <v>6497</v>
      </c>
      <c r="I2126" s="300"/>
      <c r="J2126" s="300"/>
      <c r="K2126" s="300"/>
      <c r="L2126" s="300"/>
      <c r="M2126" s="300"/>
      <c r="N2126" s="300"/>
      <c r="O2126" s="300"/>
      <c r="P2126" s="300"/>
      <c r="Q2126" s="300"/>
      <c r="R2126" s="300"/>
      <c r="S2126" s="300"/>
      <c r="T2126" s="300"/>
      <c r="U2126" s="300"/>
      <c r="V2126" s="300"/>
      <c r="W2126" s="300"/>
      <c r="X2126" s="300"/>
      <c r="Y2126" s="300"/>
      <c r="Z2126" s="300"/>
    </row>
    <row r="2127" spans="1:26">
      <c r="A2127" s="215" t="s">
        <v>2637</v>
      </c>
      <c r="B2127" s="207">
        <v>494</v>
      </c>
      <c r="C2127" s="215" t="s">
        <v>11147</v>
      </c>
      <c r="D2127" s="215" t="s">
        <v>11148</v>
      </c>
      <c r="E2127" s="215" t="s">
        <v>11149</v>
      </c>
      <c r="F2127" s="215" t="s">
        <v>11036</v>
      </c>
      <c r="G2127" s="215" t="s">
        <v>11037</v>
      </c>
      <c r="H2127" s="215" t="s">
        <v>6548</v>
      </c>
      <c r="I2127" s="300"/>
      <c r="J2127" s="300"/>
      <c r="K2127" s="300"/>
      <c r="L2127" s="300"/>
      <c r="M2127" s="300"/>
      <c r="N2127" s="300"/>
      <c r="O2127" s="300"/>
      <c r="P2127" s="300"/>
      <c r="Q2127" s="300"/>
      <c r="R2127" s="300"/>
      <c r="S2127" s="300"/>
      <c r="T2127" s="300"/>
      <c r="U2127" s="300"/>
      <c r="V2127" s="300"/>
      <c r="W2127" s="300"/>
      <c r="X2127" s="300"/>
      <c r="Y2127" s="300"/>
      <c r="Z2127" s="300"/>
    </row>
    <row r="2128" spans="1:26">
      <c r="A2128" s="215" t="s">
        <v>7775</v>
      </c>
      <c r="B2128" s="207">
        <v>495</v>
      </c>
      <c r="C2128" s="215" t="s">
        <v>11150</v>
      </c>
      <c r="D2128" s="215" t="s">
        <v>11151</v>
      </c>
      <c r="E2128" s="215" t="s">
        <v>11152</v>
      </c>
      <c r="F2128" s="215" t="s">
        <v>11036</v>
      </c>
      <c r="G2128" s="215" t="s">
        <v>11037</v>
      </c>
      <c r="H2128" s="215" t="s">
        <v>6504</v>
      </c>
      <c r="I2128" s="300"/>
      <c r="J2128" s="300"/>
      <c r="K2128" s="300"/>
      <c r="L2128" s="300"/>
      <c r="M2128" s="300"/>
      <c r="N2128" s="300"/>
      <c r="O2128" s="300"/>
      <c r="P2128" s="300"/>
      <c r="Q2128" s="300"/>
      <c r="R2128" s="300"/>
      <c r="S2128" s="300"/>
      <c r="T2128" s="300"/>
      <c r="U2128" s="300"/>
      <c r="V2128" s="300"/>
      <c r="W2128" s="300"/>
      <c r="X2128" s="300"/>
      <c r="Y2128" s="300"/>
      <c r="Z2128" s="300"/>
    </row>
    <row r="2129" spans="1:26">
      <c r="A2129" s="215" t="s">
        <v>3764</v>
      </c>
      <c r="B2129" s="207">
        <v>496</v>
      </c>
      <c r="C2129" s="215" t="s">
        <v>11153</v>
      </c>
      <c r="D2129" s="215" t="s">
        <v>11154</v>
      </c>
      <c r="E2129" s="215" t="s">
        <v>11155</v>
      </c>
      <c r="F2129" s="215" t="s">
        <v>11036</v>
      </c>
      <c r="G2129" s="215" t="s">
        <v>11037</v>
      </c>
      <c r="H2129" s="215" t="s">
        <v>6504</v>
      </c>
      <c r="I2129" s="300"/>
      <c r="J2129" s="300"/>
      <c r="K2129" s="300"/>
      <c r="L2129" s="300"/>
      <c r="M2129" s="300"/>
      <c r="N2129" s="300"/>
      <c r="O2129" s="300"/>
      <c r="P2129" s="300"/>
      <c r="Q2129" s="300"/>
      <c r="R2129" s="300"/>
      <c r="S2129" s="300"/>
      <c r="T2129" s="300"/>
      <c r="U2129" s="300"/>
      <c r="V2129" s="300"/>
      <c r="W2129" s="300"/>
      <c r="X2129" s="300"/>
      <c r="Y2129" s="300"/>
      <c r="Z2129" s="300"/>
    </row>
    <row r="2130" spans="1:26">
      <c r="A2130" s="215" t="s">
        <v>4062</v>
      </c>
      <c r="B2130" s="207">
        <v>497</v>
      </c>
      <c r="C2130" s="215" t="s">
        <v>11156</v>
      </c>
      <c r="D2130" s="215" t="s">
        <v>11157</v>
      </c>
      <c r="E2130" s="215" t="s">
        <v>11158</v>
      </c>
      <c r="F2130" s="215" t="s">
        <v>11036</v>
      </c>
      <c r="G2130" s="215" t="s">
        <v>11037</v>
      </c>
      <c r="H2130" s="215" t="s">
        <v>6504</v>
      </c>
      <c r="I2130" s="300"/>
      <c r="J2130" s="300"/>
      <c r="K2130" s="300"/>
      <c r="L2130" s="300"/>
      <c r="M2130" s="300"/>
      <c r="N2130" s="300"/>
      <c r="O2130" s="300"/>
      <c r="P2130" s="300"/>
      <c r="Q2130" s="300"/>
      <c r="R2130" s="300"/>
      <c r="S2130" s="300"/>
      <c r="T2130" s="300"/>
      <c r="U2130" s="300"/>
      <c r="V2130" s="300"/>
      <c r="W2130" s="300"/>
      <c r="X2130" s="300"/>
      <c r="Y2130" s="300"/>
      <c r="Z2130" s="300"/>
    </row>
    <row r="2131" spans="1:26">
      <c r="A2131" s="215" t="s">
        <v>2963</v>
      </c>
      <c r="B2131" s="207">
        <v>498</v>
      </c>
      <c r="C2131" s="215" t="s">
        <v>5114</v>
      </c>
      <c r="D2131" s="215" t="s">
        <v>11159</v>
      </c>
      <c r="E2131" s="215" t="s">
        <v>11160</v>
      </c>
      <c r="F2131" s="215" t="s">
        <v>11036</v>
      </c>
      <c r="G2131" s="215" t="s">
        <v>11037</v>
      </c>
      <c r="H2131" s="215" t="s">
        <v>6504</v>
      </c>
      <c r="I2131" s="300"/>
      <c r="J2131" s="300"/>
      <c r="K2131" s="300"/>
      <c r="L2131" s="300"/>
      <c r="M2131" s="300"/>
      <c r="N2131" s="300"/>
      <c r="O2131" s="300"/>
      <c r="P2131" s="300"/>
      <c r="Q2131" s="300"/>
      <c r="R2131" s="300"/>
      <c r="S2131" s="300"/>
      <c r="T2131" s="300"/>
      <c r="U2131" s="300"/>
      <c r="V2131" s="300"/>
      <c r="W2131" s="300"/>
      <c r="X2131" s="300"/>
      <c r="Y2131" s="300"/>
      <c r="Z2131" s="300"/>
    </row>
    <row r="2132" spans="1:26">
      <c r="A2132" s="215"/>
      <c r="B2132" s="207">
        <v>499</v>
      </c>
      <c r="C2132" s="215" t="s">
        <v>11161</v>
      </c>
      <c r="D2132" s="215"/>
      <c r="E2132" s="215"/>
      <c r="F2132" s="215" t="s">
        <v>11036</v>
      </c>
      <c r="G2132" s="215" t="s">
        <v>11037</v>
      </c>
      <c r="H2132" s="215" t="s">
        <v>6548</v>
      </c>
      <c r="I2132" s="300"/>
      <c r="J2132" s="300"/>
      <c r="K2132" s="300"/>
      <c r="L2132" s="300"/>
      <c r="M2132" s="300"/>
      <c r="N2132" s="300"/>
      <c r="O2132" s="300"/>
      <c r="P2132" s="300"/>
      <c r="Q2132" s="300"/>
      <c r="R2132" s="300"/>
      <c r="S2132" s="300"/>
      <c r="T2132" s="300"/>
      <c r="U2132" s="300"/>
      <c r="V2132" s="300"/>
      <c r="W2132" s="300"/>
      <c r="X2132" s="300"/>
      <c r="Y2132" s="300"/>
      <c r="Z2132" s="300"/>
    </row>
    <row r="2133" spans="1:26">
      <c r="A2133" s="215" t="s">
        <v>2728</v>
      </c>
      <c r="B2133" s="207">
        <v>500</v>
      </c>
      <c r="C2133" s="215" t="s">
        <v>11162</v>
      </c>
      <c r="D2133" s="215" t="s">
        <v>11163</v>
      </c>
      <c r="E2133" s="215" t="s">
        <v>11164</v>
      </c>
      <c r="F2133" s="215" t="s">
        <v>11036</v>
      </c>
      <c r="G2133" s="215" t="s">
        <v>11037</v>
      </c>
      <c r="H2133" s="215" t="s">
        <v>6504</v>
      </c>
      <c r="I2133" s="300"/>
      <c r="J2133" s="300"/>
      <c r="K2133" s="300"/>
      <c r="L2133" s="300"/>
      <c r="M2133" s="300"/>
      <c r="N2133" s="300"/>
      <c r="O2133" s="300"/>
      <c r="P2133" s="300"/>
      <c r="Q2133" s="300"/>
      <c r="R2133" s="300"/>
      <c r="S2133" s="300"/>
      <c r="T2133" s="300"/>
      <c r="U2133" s="300"/>
      <c r="V2133" s="300"/>
      <c r="W2133" s="300"/>
      <c r="X2133" s="300"/>
      <c r="Y2133" s="300"/>
      <c r="Z2133" s="300"/>
    </row>
    <row r="2134" spans="1:26">
      <c r="A2134" s="215" t="s">
        <v>3388</v>
      </c>
      <c r="B2134" s="207">
        <v>501</v>
      </c>
      <c r="C2134" s="215" t="s">
        <v>5511</v>
      </c>
      <c r="D2134" s="215" t="s">
        <v>11165</v>
      </c>
      <c r="E2134" s="215" t="s">
        <v>11165</v>
      </c>
      <c r="F2134" s="215" t="s">
        <v>11036</v>
      </c>
      <c r="G2134" s="215" t="s">
        <v>11037</v>
      </c>
      <c r="H2134" s="215" t="s">
        <v>6497</v>
      </c>
      <c r="I2134" s="300"/>
      <c r="J2134" s="300"/>
      <c r="K2134" s="300"/>
      <c r="L2134" s="300"/>
      <c r="M2134" s="300"/>
      <c r="N2134" s="300"/>
      <c r="O2134" s="300"/>
      <c r="P2134" s="300"/>
      <c r="Q2134" s="300"/>
      <c r="R2134" s="300"/>
      <c r="S2134" s="300"/>
      <c r="T2134" s="300"/>
      <c r="U2134" s="300"/>
      <c r="V2134" s="300"/>
      <c r="W2134" s="300"/>
      <c r="X2134" s="300"/>
      <c r="Y2134" s="300"/>
      <c r="Z2134" s="300"/>
    </row>
    <row r="2135" spans="1:26">
      <c r="A2135" s="215" t="s">
        <v>3095</v>
      </c>
      <c r="B2135" s="207">
        <v>502</v>
      </c>
      <c r="C2135" s="215" t="s">
        <v>11166</v>
      </c>
      <c r="D2135" s="215" t="s">
        <v>11167</v>
      </c>
      <c r="E2135" s="215" t="s">
        <v>11168</v>
      </c>
      <c r="F2135" s="215" t="s">
        <v>11036</v>
      </c>
      <c r="G2135" s="215" t="s">
        <v>11037</v>
      </c>
      <c r="H2135" s="215" t="s">
        <v>6497</v>
      </c>
      <c r="I2135" s="300"/>
      <c r="J2135" s="300"/>
      <c r="K2135" s="300"/>
      <c r="L2135" s="300"/>
      <c r="M2135" s="300"/>
      <c r="N2135" s="300"/>
      <c r="O2135" s="300"/>
      <c r="P2135" s="300"/>
      <c r="Q2135" s="300"/>
      <c r="R2135" s="300"/>
      <c r="S2135" s="300"/>
      <c r="T2135" s="300"/>
      <c r="U2135" s="300"/>
      <c r="V2135" s="300"/>
      <c r="W2135" s="300"/>
      <c r="X2135" s="300"/>
      <c r="Y2135" s="300"/>
      <c r="Z2135" s="300"/>
    </row>
    <row r="2136" spans="1:26">
      <c r="A2136" s="215" t="s">
        <v>4533</v>
      </c>
      <c r="B2136" s="207">
        <v>503</v>
      </c>
      <c r="C2136" s="215" t="s">
        <v>11169</v>
      </c>
      <c r="D2136" s="215" t="s">
        <v>11170</v>
      </c>
      <c r="E2136" s="215" t="s">
        <v>11171</v>
      </c>
      <c r="F2136" s="215" t="s">
        <v>11036</v>
      </c>
      <c r="G2136" s="215" t="s">
        <v>11037</v>
      </c>
      <c r="H2136" s="215" t="s">
        <v>6500</v>
      </c>
      <c r="I2136" s="300"/>
      <c r="J2136" s="300"/>
      <c r="K2136" s="300"/>
      <c r="L2136" s="300"/>
      <c r="M2136" s="300"/>
      <c r="N2136" s="300"/>
      <c r="O2136" s="300"/>
      <c r="P2136" s="300"/>
      <c r="Q2136" s="300"/>
      <c r="R2136" s="300"/>
      <c r="S2136" s="300"/>
      <c r="T2136" s="300"/>
      <c r="U2136" s="300"/>
      <c r="V2136" s="300"/>
      <c r="W2136" s="300"/>
      <c r="X2136" s="300"/>
      <c r="Y2136" s="300"/>
      <c r="Z2136" s="300"/>
    </row>
    <row r="2137" spans="1:26">
      <c r="A2137" s="215" t="s">
        <v>11172</v>
      </c>
      <c r="B2137" s="207">
        <v>504</v>
      </c>
      <c r="C2137" s="215" t="s">
        <v>11173</v>
      </c>
      <c r="D2137" s="215" t="s">
        <v>11174</v>
      </c>
      <c r="E2137" s="215" t="s">
        <v>11175</v>
      </c>
      <c r="F2137" s="215" t="s">
        <v>11036</v>
      </c>
      <c r="G2137" s="215" t="s">
        <v>11037</v>
      </c>
      <c r="H2137" s="215" t="s">
        <v>6497</v>
      </c>
      <c r="I2137" s="300"/>
      <c r="J2137" s="300"/>
      <c r="K2137" s="300"/>
      <c r="L2137" s="300"/>
      <c r="M2137" s="300"/>
      <c r="N2137" s="300"/>
      <c r="O2137" s="300"/>
      <c r="P2137" s="300"/>
      <c r="Q2137" s="300"/>
      <c r="R2137" s="300"/>
      <c r="S2137" s="300"/>
      <c r="T2137" s="300"/>
      <c r="U2137" s="300"/>
      <c r="V2137" s="300"/>
      <c r="W2137" s="300"/>
      <c r="X2137" s="300"/>
      <c r="Y2137" s="300"/>
      <c r="Z2137" s="300"/>
    </row>
    <row r="2138" spans="1:26">
      <c r="A2138" s="215" t="s">
        <v>4353</v>
      </c>
      <c r="B2138" s="207">
        <v>505</v>
      </c>
      <c r="C2138" s="215" t="s">
        <v>6303</v>
      </c>
      <c r="D2138" s="215" t="s">
        <v>11176</v>
      </c>
      <c r="E2138" s="215" t="s">
        <v>11176</v>
      </c>
      <c r="F2138" s="215" t="s">
        <v>11036</v>
      </c>
      <c r="G2138" s="215" t="s">
        <v>11037</v>
      </c>
      <c r="H2138" s="215" t="s">
        <v>6497</v>
      </c>
      <c r="I2138" s="300"/>
      <c r="J2138" s="300"/>
      <c r="K2138" s="300"/>
      <c r="L2138" s="300"/>
      <c r="M2138" s="300"/>
      <c r="N2138" s="300"/>
      <c r="O2138" s="300"/>
      <c r="P2138" s="300"/>
      <c r="Q2138" s="300"/>
      <c r="R2138" s="300"/>
      <c r="S2138" s="300"/>
      <c r="T2138" s="300"/>
      <c r="U2138" s="300"/>
      <c r="V2138" s="300"/>
      <c r="W2138" s="300"/>
      <c r="X2138" s="300"/>
      <c r="Y2138" s="300"/>
      <c r="Z2138" s="300"/>
    </row>
    <row r="2139" spans="1:26">
      <c r="A2139" s="215" t="s">
        <v>4361</v>
      </c>
      <c r="B2139" s="207">
        <v>506</v>
      </c>
      <c r="C2139" s="215" t="s">
        <v>6310</v>
      </c>
      <c r="D2139" s="215" t="s">
        <v>11177</v>
      </c>
      <c r="E2139" s="215" t="s">
        <v>11178</v>
      </c>
      <c r="F2139" s="215" t="s">
        <v>11036</v>
      </c>
      <c r="G2139" s="215" t="s">
        <v>11037</v>
      </c>
      <c r="H2139" s="215" t="s">
        <v>6497</v>
      </c>
      <c r="I2139" s="300"/>
      <c r="J2139" s="300"/>
      <c r="K2139" s="300"/>
      <c r="L2139" s="300"/>
      <c r="M2139" s="300"/>
      <c r="N2139" s="300"/>
      <c r="O2139" s="300"/>
      <c r="P2139" s="300"/>
      <c r="Q2139" s="300"/>
      <c r="R2139" s="300"/>
      <c r="S2139" s="300"/>
      <c r="T2139" s="300"/>
      <c r="U2139" s="300"/>
      <c r="V2139" s="300"/>
      <c r="W2139" s="300"/>
      <c r="X2139" s="300"/>
      <c r="Y2139" s="300"/>
      <c r="Z2139" s="300"/>
    </row>
    <row r="2140" spans="1:26">
      <c r="A2140" s="215" t="s">
        <v>8030</v>
      </c>
      <c r="B2140" s="207">
        <v>507</v>
      </c>
      <c r="C2140" s="215" t="s">
        <v>11179</v>
      </c>
      <c r="D2140" s="215" t="s">
        <v>11180</v>
      </c>
      <c r="E2140" s="215" t="s">
        <v>11181</v>
      </c>
      <c r="F2140" s="215" t="s">
        <v>11036</v>
      </c>
      <c r="G2140" s="215" t="s">
        <v>11037</v>
      </c>
      <c r="H2140" s="215" t="s">
        <v>6504</v>
      </c>
      <c r="I2140" s="300"/>
      <c r="J2140" s="300"/>
      <c r="K2140" s="300"/>
      <c r="L2140" s="300"/>
      <c r="M2140" s="300"/>
      <c r="N2140" s="300"/>
      <c r="O2140" s="300"/>
      <c r="P2140" s="300"/>
      <c r="Q2140" s="300"/>
      <c r="R2140" s="300"/>
      <c r="S2140" s="300"/>
      <c r="T2140" s="300"/>
      <c r="U2140" s="300"/>
      <c r="V2140" s="300"/>
      <c r="W2140" s="300"/>
      <c r="X2140" s="300"/>
      <c r="Y2140" s="300"/>
      <c r="Z2140" s="300"/>
    </row>
    <row r="2141" spans="1:26">
      <c r="A2141" s="215" t="s">
        <v>4040</v>
      </c>
      <c r="B2141" s="207">
        <v>508</v>
      </c>
      <c r="C2141" s="215" t="s">
        <v>6065</v>
      </c>
      <c r="D2141" s="215" t="s">
        <v>11182</v>
      </c>
      <c r="E2141" s="215" t="s">
        <v>11183</v>
      </c>
      <c r="F2141" s="215" t="s">
        <v>11036</v>
      </c>
      <c r="G2141" s="215" t="s">
        <v>11037</v>
      </c>
      <c r="H2141" s="215" t="s">
        <v>6521</v>
      </c>
      <c r="I2141" s="300"/>
      <c r="J2141" s="300"/>
      <c r="K2141" s="300"/>
      <c r="L2141" s="300"/>
      <c r="M2141" s="300"/>
      <c r="N2141" s="300"/>
      <c r="O2141" s="300"/>
      <c r="P2141" s="300"/>
      <c r="Q2141" s="300"/>
      <c r="R2141" s="300"/>
      <c r="S2141" s="300"/>
      <c r="T2141" s="300"/>
      <c r="U2141" s="300"/>
      <c r="V2141" s="300"/>
      <c r="W2141" s="300"/>
      <c r="X2141" s="300"/>
      <c r="Y2141" s="300"/>
      <c r="Z2141" s="300"/>
    </row>
    <row r="2142" spans="1:26">
      <c r="A2142" s="215" t="s">
        <v>11184</v>
      </c>
      <c r="B2142" s="207">
        <v>509</v>
      </c>
      <c r="C2142" s="215" t="s">
        <v>6458</v>
      </c>
      <c r="D2142" s="215" t="s">
        <v>4545</v>
      </c>
      <c r="E2142" s="215" t="s">
        <v>11185</v>
      </c>
      <c r="F2142" s="215" t="s">
        <v>11036</v>
      </c>
      <c r="G2142" s="215" t="s">
        <v>11037</v>
      </c>
      <c r="H2142" s="215" t="s">
        <v>6548</v>
      </c>
      <c r="I2142" s="300"/>
      <c r="J2142" s="300"/>
      <c r="K2142" s="300"/>
      <c r="L2142" s="300"/>
      <c r="M2142" s="300"/>
      <c r="N2142" s="300"/>
      <c r="O2142" s="300"/>
      <c r="P2142" s="300"/>
      <c r="Q2142" s="300"/>
      <c r="R2142" s="300"/>
      <c r="S2142" s="300"/>
      <c r="T2142" s="300"/>
      <c r="U2142" s="300"/>
      <c r="V2142" s="300"/>
      <c r="W2142" s="300"/>
      <c r="X2142" s="300"/>
      <c r="Y2142" s="300"/>
      <c r="Z2142" s="300"/>
    </row>
    <row r="2143" spans="1:26">
      <c r="A2143" s="215"/>
      <c r="B2143" s="207">
        <v>510</v>
      </c>
      <c r="C2143" s="215" t="s">
        <v>11186</v>
      </c>
      <c r="D2143" s="215"/>
      <c r="E2143" s="215"/>
      <c r="F2143" s="215" t="s">
        <v>11036</v>
      </c>
      <c r="G2143" s="215" t="s">
        <v>11037</v>
      </c>
      <c r="H2143" s="215" t="s">
        <v>6548</v>
      </c>
      <c r="I2143" s="300"/>
      <c r="J2143" s="300"/>
      <c r="K2143" s="300"/>
      <c r="L2143" s="300"/>
      <c r="M2143" s="300"/>
      <c r="N2143" s="300"/>
      <c r="O2143" s="300"/>
      <c r="P2143" s="300"/>
      <c r="Q2143" s="300"/>
      <c r="R2143" s="300"/>
      <c r="S2143" s="300"/>
      <c r="T2143" s="300"/>
      <c r="U2143" s="300"/>
      <c r="V2143" s="300"/>
      <c r="W2143" s="300"/>
      <c r="X2143" s="300"/>
      <c r="Y2143" s="300"/>
      <c r="Z2143" s="300"/>
    </row>
    <row r="2144" spans="1:26">
      <c r="A2144" s="215" t="s">
        <v>4352</v>
      </c>
      <c r="B2144" s="207">
        <v>644</v>
      </c>
      <c r="C2144" s="215" t="s">
        <v>11187</v>
      </c>
      <c r="D2144" s="215" t="s">
        <v>11188</v>
      </c>
      <c r="E2144" s="215" t="s">
        <v>11189</v>
      </c>
      <c r="F2144" s="215" t="s">
        <v>11036</v>
      </c>
      <c r="G2144" s="215" t="s">
        <v>11037</v>
      </c>
      <c r="H2144" s="215" t="s">
        <v>6548</v>
      </c>
      <c r="I2144" s="300"/>
      <c r="J2144" s="300"/>
      <c r="K2144" s="300"/>
      <c r="L2144" s="300"/>
      <c r="M2144" s="300"/>
      <c r="N2144" s="300"/>
      <c r="O2144" s="300"/>
      <c r="P2144" s="300"/>
      <c r="Q2144" s="300"/>
      <c r="R2144" s="300"/>
      <c r="S2144" s="300"/>
      <c r="T2144" s="300"/>
      <c r="U2144" s="300"/>
      <c r="V2144" s="300"/>
      <c r="W2144" s="300"/>
      <c r="X2144" s="300"/>
      <c r="Y2144" s="300"/>
      <c r="Z2144" s="300"/>
    </row>
    <row r="2145" spans="1:26">
      <c r="A2145" s="215" t="s">
        <v>3793</v>
      </c>
      <c r="B2145" s="207">
        <v>669</v>
      </c>
      <c r="C2145" s="215" t="s">
        <v>11190</v>
      </c>
      <c r="D2145" s="215" t="s">
        <v>11191</v>
      </c>
      <c r="E2145" s="215" t="s">
        <v>11192</v>
      </c>
      <c r="F2145" s="215" t="s">
        <v>11036</v>
      </c>
      <c r="G2145" s="215" t="s">
        <v>11037</v>
      </c>
      <c r="H2145" s="215" t="s">
        <v>6500</v>
      </c>
      <c r="I2145" s="300"/>
      <c r="J2145" s="300"/>
      <c r="K2145" s="300"/>
      <c r="L2145" s="300"/>
      <c r="M2145" s="300"/>
      <c r="N2145" s="300"/>
      <c r="O2145" s="300"/>
      <c r="P2145" s="300"/>
      <c r="Q2145" s="300"/>
      <c r="R2145" s="300"/>
      <c r="S2145" s="300"/>
      <c r="T2145" s="300"/>
      <c r="U2145" s="300"/>
      <c r="V2145" s="300"/>
      <c r="W2145" s="300"/>
      <c r="X2145" s="300"/>
      <c r="Y2145" s="300"/>
      <c r="Z2145" s="300"/>
    </row>
    <row r="2146" spans="1:26">
      <c r="A2146" s="215" t="s">
        <v>7775</v>
      </c>
      <c r="B2146" s="207">
        <v>674</v>
      </c>
      <c r="C2146" s="215" t="s">
        <v>11193</v>
      </c>
      <c r="D2146" s="215" t="s">
        <v>11194</v>
      </c>
      <c r="E2146" s="215" t="s">
        <v>11195</v>
      </c>
      <c r="F2146" s="215" t="s">
        <v>11036</v>
      </c>
      <c r="G2146" s="215" t="s">
        <v>11037</v>
      </c>
      <c r="H2146" s="215" t="s">
        <v>6504</v>
      </c>
      <c r="I2146" s="300"/>
      <c r="J2146" s="300"/>
      <c r="K2146" s="300"/>
      <c r="L2146" s="300"/>
      <c r="M2146" s="300"/>
      <c r="N2146" s="300"/>
      <c r="O2146" s="300"/>
      <c r="P2146" s="300"/>
      <c r="Q2146" s="300"/>
      <c r="R2146" s="300"/>
      <c r="S2146" s="300"/>
      <c r="T2146" s="300"/>
      <c r="U2146" s="300"/>
      <c r="V2146" s="300"/>
      <c r="W2146" s="300"/>
      <c r="X2146" s="300"/>
      <c r="Y2146" s="300"/>
      <c r="Z2146" s="300"/>
    </row>
    <row r="2147" spans="1:26">
      <c r="A2147" s="215" t="s">
        <v>3347</v>
      </c>
      <c r="B2147" s="207">
        <v>676</v>
      </c>
      <c r="C2147" s="215" t="s">
        <v>11196</v>
      </c>
      <c r="D2147" s="215" t="s">
        <v>11197</v>
      </c>
      <c r="E2147" s="215" t="s">
        <v>11198</v>
      </c>
      <c r="F2147" s="215" t="s">
        <v>11036</v>
      </c>
      <c r="G2147" s="215" t="s">
        <v>11037</v>
      </c>
      <c r="H2147" s="215" t="s">
        <v>6500</v>
      </c>
      <c r="I2147" s="300"/>
      <c r="J2147" s="300"/>
      <c r="K2147" s="300"/>
      <c r="L2147" s="300"/>
      <c r="M2147" s="300"/>
      <c r="N2147" s="300"/>
      <c r="O2147" s="300"/>
      <c r="P2147" s="300"/>
      <c r="Q2147" s="300"/>
      <c r="R2147" s="300"/>
      <c r="S2147" s="300"/>
      <c r="T2147" s="300"/>
      <c r="U2147" s="300"/>
      <c r="V2147" s="300"/>
      <c r="W2147" s="300"/>
      <c r="X2147" s="300"/>
      <c r="Y2147" s="300"/>
      <c r="Z2147" s="300"/>
    </row>
    <row r="2148" spans="1:26">
      <c r="A2148" s="215" t="s">
        <v>3347</v>
      </c>
      <c r="B2148" s="207">
        <v>677</v>
      </c>
      <c r="C2148" s="215" t="s">
        <v>11199</v>
      </c>
      <c r="D2148" s="215" t="s">
        <v>11200</v>
      </c>
      <c r="E2148" s="215" t="s">
        <v>11201</v>
      </c>
      <c r="F2148" s="215" t="s">
        <v>11036</v>
      </c>
      <c r="G2148" s="215" t="s">
        <v>11037</v>
      </c>
      <c r="H2148" s="215" t="s">
        <v>6548</v>
      </c>
      <c r="I2148" s="300"/>
      <c r="J2148" s="300"/>
      <c r="K2148" s="300"/>
      <c r="L2148" s="300"/>
      <c r="M2148" s="300"/>
      <c r="N2148" s="300"/>
      <c r="O2148" s="300"/>
      <c r="P2148" s="300"/>
      <c r="Q2148" s="300"/>
      <c r="R2148" s="300"/>
      <c r="S2148" s="300"/>
      <c r="T2148" s="300"/>
      <c r="U2148" s="300"/>
      <c r="V2148" s="300"/>
      <c r="W2148" s="300"/>
      <c r="X2148" s="300"/>
      <c r="Y2148" s="300"/>
      <c r="Z2148" s="300"/>
    </row>
    <row r="2149" spans="1:26">
      <c r="A2149" s="215" t="s">
        <v>3648</v>
      </c>
      <c r="B2149" s="207">
        <v>678</v>
      </c>
      <c r="C2149" s="215" t="s">
        <v>11202</v>
      </c>
      <c r="D2149" s="215" t="s">
        <v>11203</v>
      </c>
      <c r="E2149" s="215" t="s">
        <v>11204</v>
      </c>
      <c r="F2149" s="215" t="s">
        <v>11036</v>
      </c>
      <c r="G2149" s="215" t="s">
        <v>11037</v>
      </c>
      <c r="H2149" s="215" t="s">
        <v>6548</v>
      </c>
      <c r="I2149" s="300"/>
      <c r="J2149" s="300"/>
      <c r="K2149" s="300"/>
      <c r="L2149" s="300"/>
      <c r="M2149" s="300"/>
      <c r="N2149" s="300"/>
      <c r="O2149" s="300"/>
      <c r="P2149" s="300"/>
      <c r="Q2149" s="300"/>
      <c r="R2149" s="300"/>
      <c r="S2149" s="300"/>
      <c r="T2149" s="300"/>
      <c r="U2149" s="300"/>
      <c r="V2149" s="300"/>
      <c r="W2149" s="300"/>
      <c r="X2149" s="300"/>
      <c r="Y2149" s="300"/>
      <c r="Z2149" s="300"/>
    </row>
    <row r="2150" spans="1:26">
      <c r="A2150" s="215" t="s">
        <v>4062</v>
      </c>
      <c r="B2150" s="207">
        <v>679</v>
      </c>
      <c r="C2150" s="215" t="s">
        <v>11205</v>
      </c>
      <c r="D2150" s="215" t="s">
        <v>11206</v>
      </c>
      <c r="E2150" s="215" t="s">
        <v>11207</v>
      </c>
      <c r="F2150" s="215" t="s">
        <v>11036</v>
      </c>
      <c r="G2150" s="215" t="s">
        <v>11037</v>
      </c>
      <c r="H2150" s="215" t="s">
        <v>6497</v>
      </c>
      <c r="I2150" s="300"/>
      <c r="J2150" s="300"/>
      <c r="K2150" s="300"/>
      <c r="L2150" s="300"/>
      <c r="M2150" s="300"/>
      <c r="N2150" s="300"/>
      <c r="O2150" s="300"/>
      <c r="P2150" s="300"/>
      <c r="Q2150" s="300"/>
      <c r="R2150" s="300"/>
      <c r="S2150" s="300"/>
      <c r="T2150" s="300"/>
      <c r="U2150" s="300"/>
      <c r="V2150" s="300"/>
      <c r="W2150" s="300"/>
      <c r="X2150" s="300"/>
      <c r="Y2150" s="300"/>
      <c r="Z2150" s="300"/>
    </row>
    <row r="2151" spans="1:26">
      <c r="A2151" s="215" t="s">
        <v>4191</v>
      </c>
      <c r="B2151" s="207">
        <v>680</v>
      </c>
      <c r="C2151" s="215" t="s">
        <v>6146</v>
      </c>
      <c r="D2151" s="215" t="s">
        <v>11208</v>
      </c>
      <c r="E2151" s="215" t="s">
        <v>11209</v>
      </c>
      <c r="F2151" s="215" t="s">
        <v>11036</v>
      </c>
      <c r="G2151" s="215" t="s">
        <v>11037</v>
      </c>
      <c r="H2151" s="215" t="s">
        <v>6500</v>
      </c>
      <c r="I2151" s="300"/>
      <c r="J2151" s="300"/>
      <c r="K2151" s="300"/>
      <c r="L2151" s="300"/>
      <c r="M2151" s="300"/>
      <c r="N2151" s="300"/>
      <c r="O2151" s="300"/>
      <c r="P2151" s="300"/>
      <c r="Q2151" s="300"/>
      <c r="R2151" s="300"/>
      <c r="S2151" s="300"/>
      <c r="T2151" s="300"/>
      <c r="U2151" s="300"/>
      <c r="V2151" s="300"/>
      <c r="W2151" s="300"/>
      <c r="X2151" s="300"/>
      <c r="Y2151" s="300"/>
      <c r="Z2151" s="300"/>
    </row>
    <row r="2152" spans="1:26">
      <c r="A2152" s="215" t="s">
        <v>3102</v>
      </c>
      <c r="B2152" s="207">
        <v>689</v>
      </c>
      <c r="C2152" s="215" t="s">
        <v>11210</v>
      </c>
      <c r="D2152" s="215" t="s">
        <v>11211</v>
      </c>
      <c r="E2152" s="215" t="s">
        <v>11212</v>
      </c>
      <c r="F2152" s="215" t="s">
        <v>11036</v>
      </c>
      <c r="G2152" s="215" t="s">
        <v>11037</v>
      </c>
      <c r="H2152" s="215" t="s">
        <v>6548</v>
      </c>
      <c r="I2152" s="300"/>
      <c r="J2152" s="300"/>
      <c r="K2152" s="300"/>
      <c r="L2152" s="300"/>
      <c r="M2152" s="300"/>
      <c r="N2152" s="300"/>
      <c r="O2152" s="300"/>
      <c r="P2152" s="300"/>
      <c r="Q2152" s="300"/>
      <c r="R2152" s="300"/>
      <c r="S2152" s="300"/>
      <c r="T2152" s="300"/>
      <c r="U2152" s="300"/>
      <c r="V2152" s="300"/>
      <c r="W2152" s="300"/>
      <c r="X2152" s="300"/>
      <c r="Y2152" s="300"/>
      <c r="Z2152" s="300"/>
    </row>
    <row r="2153" spans="1:26">
      <c r="A2153" s="215" t="s">
        <v>4062</v>
      </c>
      <c r="B2153" s="207">
        <v>719</v>
      </c>
      <c r="C2153" s="215" t="s">
        <v>6081</v>
      </c>
      <c r="D2153" s="215" t="s">
        <v>11213</v>
      </c>
      <c r="E2153" s="215" t="s">
        <v>11214</v>
      </c>
      <c r="F2153" s="215" t="s">
        <v>11036</v>
      </c>
      <c r="G2153" s="215" t="s">
        <v>11037</v>
      </c>
      <c r="H2153" s="215" t="s">
        <v>6497</v>
      </c>
      <c r="I2153" s="300"/>
      <c r="J2153" s="300"/>
      <c r="K2153" s="300"/>
      <c r="L2153" s="300"/>
      <c r="M2153" s="300"/>
      <c r="N2153" s="300"/>
      <c r="O2153" s="300"/>
      <c r="P2153" s="300"/>
      <c r="Q2153" s="300"/>
      <c r="R2153" s="300"/>
      <c r="S2153" s="300"/>
      <c r="T2153" s="300"/>
      <c r="U2153" s="300"/>
      <c r="V2153" s="300"/>
      <c r="W2153" s="300"/>
      <c r="X2153" s="300"/>
      <c r="Y2153" s="300"/>
      <c r="Z2153" s="300"/>
    </row>
    <row r="2154" spans="1:26">
      <c r="A2154" s="215" t="s">
        <v>3648</v>
      </c>
      <c r="B2154" s="207">
        <v>721</v>
      </c>
      <c r="C2154" s="215" t="s">
        <v>5742</v>
      </c>
      <c r="D2154" s="215" t="s">
        <v>11215</v>
      </c>
      <c r="E2154" s="215" t="s">
        <v>11216</v>
      </c>
      <c r="F2154" s="215" t="s">
        <v>11036</v>
      </c>
      <c r="G2154" s="215" t="s">
        <v>11037</v>
      </c>
      <c r="H2154" s="215" t="s">
        <v>6497</v>
      </c>
      <c r="I2154" s="300"/>
      <c r="J2154" s="300"/>
      <c r="K2154" s="300"/>
      <c r="L2154" s="300"/>
      <c r="M2154" s="300"/>
      <c r="N2154" s="300"/>
      <c r="O2154" s="300"/>
      <c r="P2154" s="300"/>
      <c r="Q2154" s="300"/>
      <c r="R2154" s="300"/>
      <c r="S2154" s="300"/>
      <c r="T2154" s="300"/>
      <c r="U2154" s="300"/>
      <c r="V2154" s="300"/>
      <c r="W2154" s="300"/>
      <c r="X2154" s="300"/>
      <c r="Y2154" s="300"/>
      <c r="Z2154" s="300"/>
    </row>
    <row r="2155" spans="1:26">
      <c r="A2155" s="215" t="s">
        <v>3648</v>
      </c>
      <c r="B2155" s="207">
        <v>722</v>
      </c>
      <c r="C2155" s="215" t="s">
        <v>5744</v>
      </c>
      <c r="D2155" s="215" t="s">
        <v>11217</v>
      </c>
      <c r="E2155" s="215" t="s">
        <v>11217</v>
      </c>
      <c r="F2155" s="215" t="s">
        <v>11036</v>
      </c>
      <c r="G2155" s="215" t="s">
        <v>11037</v>
      </c>
      <c r="H2155" s="215" t="s">
        <v>6548</v>
      </c>
      <c r="I2155" s="300"/>
      <c r="J2155" s="300"/>
      <c r="K2155" s="300"/>
      <c r="L2155" s="300"/>
      <c r="M2155" s="300"/>
      <c r="N2155" s="300"/>
      <c r="O2155" s="300"/>
      <c r="P2155" s="300"/>
      <c r="Q2155" s="300"/>
      <c r="R2155" s="300"/>
      <c r="S2155" s="300"/>
      <c r="T2155" s="300"/>
      <c r="U2155" s="300"/>
      <c r="V2155" s="300"/>
      <c r="W2155" s="300"/>
      <c r="X2155" s="300"/>
      <c r="Y2155" s="300"/>
      <c r="Z2155" s="300"/>
    </row>
    <row r="2156" spans="1:26">
      <c r="A2156" s="215" t="s">
        <v>3693</v>
      </c>
      <c r="B2156" s="207">
        <v>763</v>
      </c>
      <c r="C2156" s="215" t="s">
        <v>5782</v>
      </c>
      <c r="D2156" s="215" t="s">
        <v>11218</v>
      </c>
      <c r="E2156" s="215" t="s">
        <v>11219</v>
      </c>
      <c r="F2156" s="215" t="s">
        <v>11036</v>
      </c>
      <c r="G2156" s="215" t="s">
        <v>11037</v>
      </c>
      <c r="H2156" s="215" t="s">
        <v>6497</v>
      </c>
      <c r="I2156" s="300"/>
      <c r="J2156" s="300"/>
      <c r="K2156" s="300"/>
      <c r="L2156" s="300"/>
      <c r="M2156" s="300"/>
      <c r="N2156" s="300"/>
      <c r="O2156" s="300"/>
      <c r="P2156" s="300"/>
      <c r="Q2156" s="300"/>
      <c r="R2156" s="300"/>
      <c r="S2156" s="300"/>
      <c r="T2156" s="300"/>
      <c r="U2156" s="300"/>
      <c r="V2156" s="300"/>
      <c r="W2156" s="300"/>
      <c r="X2156" s="300"/>
      <c r="Y2156" s="300"/>
      <c r="Z2156" s="300"/>
    </row>
    <row r="2157" spans="1:26">
      <c r="A2157" s="215" t="s">
        <v>2600</v>
      </c>
      <c r="B2157" s="207">
        <v>1035</v>
      </c>
      <c r="C2157" s="215" t="s">
        <v>4810</v>
      </c>
      <c r="D2157" s="215" t="s">
        <v>11220</v>
      </c>
      <c r="E2157" s="215" t="s">
        <v>11220</v>
      </c>
      <c r="F2157" s="215" t="s">
        <v>11036</v>
      </c>
      <c r="G2157" s="215" t="s">
        <v>11037</v>
      </c>
      <c r="H2157" s="215" t="s">
        <v>6500</v>
      </c>
      <c r="I2157" s="300"/>
      <c r="J2157" s="300"/>
      <c r="K2157" s="300"/>
      <c r="L2157" s="300"/>
      <c r="M2157" s="300"/>
      <c r="N2157" s="300"/>
      <c r="O2157" s="300"/>
      <c r="P2157" s="300"/>
      <c r="Q2157" s="300"/>
      <c r="R2157" s="300"/>
      <c r="S2157" s="300"/>
      <c r="T2157" s="300"/>
      <c r="U2157" s="300"/>
      <c r="V2157" s="300"/>
      <c r="W2157" s="300"/>
      <c r="X2157" s="300"/>
      <c r="Y2157" s="300"/>
      <c r="Z2157" s="300"/>
    </row>
    <row r="2158" spans="1:26">
      <c r="A2158" s="215" t="s">
        <v>2671</v>
      </c>
      <c r="B2158" s="207">
        <v>1037</v>
      </c>
      <c r="C2158" s="215" t="s">
        <v>4845</v>
      </c>
      <c r="D2158" s="215" t="s">
        <v>11221</v>
      </c>
      <c r="E2158" s="215" t="s">
        <v>11221</v>
      </c>
      <c r="F2158" s="215" t="s">
        <v>11036</v>
      </c>
      <c r="G2158" s="215" t="s">
        <v>11037</v>
      </c>
      <c r="H2158" s="215" t="s">
        <v>6500</v>
      </c>
      <c r="I2158" s="300"/>
      <c r="J2158" s="300"/>
      <c r="K2158" s="300"/>
      <c r="L2158" s="300"/>
      <c r="M2158" s="300"/>
      <c r="N2158" s="300"/>
      <c r="O2158" s="300"/>
      <c r="P2158" s="300"/>
      <c r="Q2158" s="300"/>
      <c r="R2158" s="300"/>
      <c r="S2158" s="300"/>
      <c r="T2158" s="300"/>
      <c r="U2158" s="300"/>
      <c r="V2158" s="300"/>
      <c r="W2158" s="300"/>
      <c r="X2158" s="300"/>
      <c r="Y2158" s="300"/>
      <c r="Z2158" s="300"/>
    </row>
    <row r="2159" spans="1:26">
      <c r="A2159" s="215" t="s">
        <v>2697</v>
      </c>
      <c r="B2159" s="207">
        <v>1038</v>
      </c>
      <c r="C2159" s="215" t="s">
        <v>4863</v>
      </c>
      <c r="D2159" s="215" t="s">
        <v>11222</v>
      </c>
      <c r="E2159" s="215" t="s">
        <v>11222</v>
      </c>
      <c r="F2159" s="215" t="s">
        <v>11036</v>
      </c>
      <c r="G2159" s="215" t="s">
        <v>11037</v>
      </c>
      <c r="H2159" s="215" t="s">
        <v>6500</v>
      </c>
      <c r="I2159" s="300"/>
      <c r="J2159" s="300"/>
      <c r="K2159" s="300"/>
      <c r="L2159" s="300"/>
      <c r="M2159" s="300"/>
      <c r="N2159" s="300"/>
      <c r="O2159" s="300"/>
      <c r="P2159" s="300"/>
      <c r="Q2159" s="300"/>
      <c r="R2159" s="300"/>
      <c r="S2159" s="300"/>
      <c r="T2159" s="300"/>
      <c r="U2159" s="300"/>
      <c r="V2159" s="300"/>
      <c r="W2159" s="300"/>
      <c r="X2159" s="300"/>
      <c r="Y2159" s="300"/>
      <c r="Z2159" s="300"/>
    </row>
    <row r="2160" spans="1:26">
      <c r="A2160" s="215" t="s">
        <v>2651</v>
      </c>
      <c r="B2160" s="207">
        <v>1039</v>
      </c>
      <c r="C2160" s="215" t="s">
        <v>4825</v>
      </c>
      <c r="D2160" s="215" t="s">
        <v>11223</v>
      </c>
      <c r="E2160" s="215" t="s">
        <v>11224</v>
      </c>
      <c r="F2160" s="215" t="s">
        <v>11036</v>
      </c>
      <c r="G2160" s="215" t="s">
        <v>11037</v>
      </c>
      <c r="H2160" s="215" t="s">
        <v>6500</v>
      </c>
      <c r="I2160" s="300"/>
      <c r="J2160" s="300"/>
      <c r="K2160" s="300"/>
      <c r="L2160" s="300"/>
      <c r="M2160" s="300"/>
      <c r="N2160" s="300"/>
      <c r="O2160" s="300"/>
      <c r="P2160" s="300"/>
      <c r="Q2160" s="300"/>
      <c r="R2160" s="300"/>
      <c r="S2160" s="300"/>
      <c r="T2160" s="300"/>
      <c r="U2160" s="300"/>
      <c r="V2160" s="300"/>
      <c r="W2160" s="300"/>
      <c r="X2160" s="300"/>
      <c r="Y2160" s="300"/>
      <c r="Z2160" s="300"/>
    </row>
    <row r="2161" spans="1:26">
      <c r="A2161" s="215" t="s">
        <v>3479</v>
      </c>
      <c r="B2161" s="207">
        <v>1040</v>
      </c>
      <c r="C2161" s="215" t="s">
        <v>5589</v>
      </c>
      <c r="D2161" s="215" t="s">
        <v>11225</v>
      </c>
      <c r="E2161" s="215" t="s">
        <v>11225</v>
      </c>
      <c r="F2161" s="215" t="s">
        <v>11036</v>
      </c>
      <c r="G2161" s="215" t="s">
        <v>11037</v>
      </c>
      <c r="H2161" s="215" t="s">
        <v>6500</v>
      </c>
      <c r="I2161" s="300"/>
      <c r="J2161" s="300"/>
      <c r="K2161" s="300"/>
      <c r="L2161" s="300"/>
      <c r="M2161" s="300"/>
      <c r="N2161" s="300"/>
      <c r="O2161" s="300"/>
      <c r="P2161" s="300"/>
      <c r="Q2161" s="300"/>
      <c r="R2161" s="300"/>
      <c r="S2161" s="300"/>
      <c r="T2161" s="300"/>
      <c r="U2161" s="300"/>
      <c r="V2161" s="300"/>
      <c r="W2161" s="300"/>
      <c r="X2161" s="300"/>
      <c r="Y2161" s="300"/>
      <c r="Z2161" s="300"/>
    </row>
    <row r="2162" spans="1:26">
      <c r="A2162" s="215" t="s">
        <v>3334</v>
      </c>
      <c r="B2162" s="207">
        <v>1042</v>
      </c>
      <c r="C2162" s="215" t="s">
        <v>5459</v>
      </c>
      <c r="D2162" s="215" t="s">
        <v>11226</v>
      </c>
      <c r="E2162" s="215" t="s">
        <v>11227</v>
      </c>
      <c r="F2162" s="215" t="s">
        <v>11036</v>
      </c>
      <c r="G2162" s="215" t="s">
        <v>11037</v>
      </c>
      <c r="H2162" s="215" t="s">
        <v>6500</v>
      </c>
      <c r="I2162" s="300"/>
      <c r="J2162" s="300"/>
      <c r="K2162" s="300"/>
      <c r="L2162" s="300"/>
      <c r="M2162" s="300"/>
      <c r="N2162" s="300"/>
      <c r="O2162" s="300"/>
      <c r="P2162" s="300"/>
      <c r="Q2162" s="300"/>
      <c r="R2162" s="300"/>
      <c r="S2162" s="300"/>
      <c r="T2162" s="300"/>
      <c r="U2162" s="300"/>
      <c r="V2162" s="300"/>
      <c r="W2162" s="300"/>
      <c r="X2162" s="300"/>
      <c r="Y2162" s="300"/>
      <c r="Z2162" s="300"/>
    </row>
    <row r="2163" spans="1:26">
      <c r="A2163" s="215" t="s">
        <v>3257</v>
      </c>
      <c r="B2163" s="207">
        <v>1043</v>
      </c>
      <c r="C2163" s="215" t="s">
        <v>5384</v>
      </c>
      <c r="D2163" s="215" t="s">
        <v>11228</v>
      </c>
      <c r="E2163" s="215" t="s">
        <v>11228</v>
      </c>
      <c r="F2163" s="215" t="s">
        <v>11036</v>
      </c>
      <c r="G2163" s="215" t="s">
        <v>11037</v>
      </c>
      <c r="H2163" s="215" t="s">
        <v>6500</v>
      </c>
      <c r="I2163" s="300"/>
      <c r="J2163" s="300"/>
      <c r="K2163" s="300"/>
      <c r="L2163" s="300"/>
      <c r="M2163" s="300"/>
      <c r="N2163" s="300"/>
      <c r="O2163" s="300"/>
      <c r="P2163" s="300"/>
      <c r="Q2163" s="300"/>
      <c r="R2163" s="300"/>
      <c r="S2163" s="300"/>
      <c r="T2163" s="300"/>
      <c r="U2163" s="300"/>
      <c r="V2163" s="300"/>
      <c r="W2163" s="300"/>
      <c r="X2163" s="300"/>
      <c r="Y2163" s="300"/>
      <c r="Z2163" s="300"/>
    </row>
    <row r="2164" spans="1:26">
      <c r="A2164" s="215" t="s">
        <v>2838</v>
      </c>
      <c r="B2164" s="207">
        <v>1044</v>
      </c>
      <c r="C2164" s="215" t="s">
        <v>5001</v>
      </c>
      <c r="D2164" s="215" t="s">
        <v>11229</v>
      </c>
      <c r="E2164" s="215" t="s">
        <v>11230</v>
      </c>
      <c r="F2164" s="215" t="s">
        <v>11036</v>
      </c>
      <c r="G2164" s="215" t="s">
        <v>11037</v>
      </c>
      <c r="H2164" s="215" t="s">
        <v>6500</v>
      </c>
      <c r="I2164" s="300"/>
      <c r="J2164" s="300"/>
      <c r="K2164" s="300"/>
      <c r="L2164" s="300"/>
      <c r="M2164" s="300"/>
      <c r="N2164" s="300"/>
      <c r="O2164" s="300"/>
      <c r="P2164" s="300"/>
      <c r="Q2164" s="300"/>
      <c r="R2164" s="300"/>
      <c r="S2164" s="300"/>
      <c r="T2164" s="300"/>
      <c r="U2164" s="300"/>
      <c r="V2164" s="300"/>
      <c r="W2164" s="300"/>
      <c r="X2164" s="300"/>
      <c r="Y2164" s="300"/>
      <c r="Z2164" s="300"/>
    </row>
    <row r="2165" spans="1:26">
      <c r="A2165" s="215" t="s">
        <v>2961</v>
      </c>
      <c r="B2165" s="207">
        <v>1046</v>
      </c>
      <c r="C2165" s="215" t="s">
        <v>5112</v>
      </c>
      <c r="D2165" s="215" t="s">
        <v>11231</v>
      </c>
      <c r="E2165" s="215" t="s">
        <v>11231</v>
      </c>
      <c r="F2165" s="215" t="s">
        <v>11036</v>
      </c>
      <c r="G2165" s="215" t="s">
        <v>11037</v>
      </c>
      <c r="H2165" s="215" t="s">
        <v>6500</v>
      </c>
      <c r="I2165" s="300"/>
      <c r="J2165" s="300"/>
      <c r="K2165" s="300"/>
      <c r="L2165" s="300"/>
      <c r="M2165" s="300"/>
      <c r="N2165" s="300"/>
      <c r="O2165" s="300"/>
      <c r="P2165" s="300"/>
      <c r="Q2165" s="300"/>
      <c r="R2165" s="300"/>
      <c r="S2165" s="300"/>
      <c r="T2165" s="300"/>
      <c r="U2165" s="300"/>
      <c r="V2165" s="300"/>
      <c r="W2165" s="300"/>
      <c r="X2165" s="300"/>
      <c r="Y2165" s="300"/>
      <c r="Z2165" s="300"/>
    </row>
    <row r="2166" spans="1:26">
      <c r="A2166" s="215" t="s">
        <v>3140</v>
      </c>
      <c r="B2166" s="207">
        <v>1047</v>
      </c>
      <c r="C2166" s="215" t="s">
        <v>5277</v>
      </c>
      <c r="D2166" s="215" t="s">
        <v>11232</v>
      </c>
      <c r="E2166" s="215" t="s">
        <v>11233</v>
      </c>
      <c r="F2166" s="215" t="s">
        <v>11036</v>
      </c>
      <c r="G2166" s="215" t="s">
        <v>11037</v>
      </c>
      <c r="H2166" s="215" t="s">
        <v>6500</v>
      </c>
      <c r="I2166" s="300"/>
      <c r="J2166" s="300"/>
      <c r="K2166" s="300"/>
      <c r="L2166" s="300"/>
      <c r="M2166" s="300"/>
      <c r="N2166" s="300"/>
      <c r="O2166" s="300"/>
      <c r="P2166" s="300"/>
      <c r="Q2166" s="300"/>
      <c r="R2166" s="300"/>
      <c r="S2166" s="300"/>
      <c r="T2166" s="300"/>
      <c r="U2166" s="300"/>
      <c r="V2166" s="300"/>
      <c r="W2166" s="300"/>
      <c r="X2166" s="300"/>
      <c r="Y2166" s="300"/>
      <c r="Z2166" s="300"/>
    </row>
    <row r="2167" spans="1:26">
      <c r="A2167" s="215" t="s">
        <v>3152</v>
      </c>
      <c r="B2167" s="207">
        <v>1048</v>
      </c>
      <c r="C2167" s="215" t="s">
        <v>5286</v>
      </c>
      <c r="D2167" s="215" t="s">
        <v>11234</v>
      </c>
      <c r="E2167" s="215" t="s">
        <v>11235</v>
      </c>
      <c r="F2167" s="215" t="s">
        <v>11036</v>
      </c>
      <c r="G2167" s="215" t="s">
        <v>11037</v>
      </c>
      <c r="H2167" s="215" t="s">
        <v>6500</v>
      </c>
      <c r="I2167" s="300"/>
      <c r="J2167" s="300"/>
      <c r="K2167" s="300"/>
      <c r="L2167" s="300"/>
      <c r="M2167" s="300"/>
      <c r="N2167" s="300"/>
      <c r="O2167" s="300"/>
      <c r="P2167" s="300"/>
      <c r="Q2167" s="300"/>
      <c r="R2167" s="300"/>
      <c r="S2167" s="300"/>
      <c r="T2167" s="300"/>
      <c r="U2167" s="300"/>
      <c r="V2167" s="300"/>
      <c r="W2167" s="300"/>
      <c r="X2167" s="300"/>
      <c r="Y2167" s="300"/>
      <c r="Z2167" s="300"/>
    </row>
    <row r="2168" spans="1:26">
      <c r="A2168" s="215" t="s">
        <v>3385</v>
      </c>
      <c r="B2168" s="207">
        <v>1049</v>
      </c>
      <c r="C2168" s="215" t="s">
        <v>5507</v>
      </c>
      <c r="D2168" s="215" t="s">
        <v>11236</v>
      </c>
      <c r="E2168" s="215" t="s">
        <v>11237</v>
      </c>
      <c r="F2168" s="215" t="s">
        <v>11036</v>
      </c>
      <c r="G2168" s="215" t="s">
        <v>11037</v>
      </c>
      <c r="H2168" s="215" t="s">
        <v>6500</v>
      </c>
      <c r="I2168" s="300"/>
      <c r="J2168" s="300"/>
      <c r="K2168" s="300"/>
      <c r="L2168" s="300"/>
      <c r="M2168" s="300"/>
      <c r="N2168" s="300"/>
      <c r="O2168" s="300"/>
      <c r="P2168" s="300"/>
      <c r="Q2168" s="300"/>
      <c r="R2168" s="300"/>
      <c r="S2168" s="300"/>
      <c r="T2168" s="300"/>
      <c r="U2168" s="300"/>
      <c r="V2168" s="300"/>
      <c r="W2168" s="300"/>
      <c r="X2168" s="300"/>
      <c r="Y2168" s="300"/>
      <c r="Z2168" s="300"/>
    </row>
    <row r="2169" spans="1:26">
      <c r="A2169" s="215" t="s">
        <v>3385</v>
      </c>
      <c r="B2169" s="207">
        <v>1050</v>
      </c>
      <c r="C2169" s="215" t="s">
        <v>5508</v>
      </c>
      <c r="D2169" s="215" t="s">
        <v>11238</v>
      </c>
      <c r="E2169" s="215" t="s">
        <v>11239</v>
      </c>
      <c r="F2169" s="215" t="s">
        <v>11036</v>
      </c>
      <c r="G2169" s="215" t="s">
        <v>11037</v>
      </c>
      <c r="H2169" s="215" t="s">
        <v>6500</v>
      </c>
      <c r="I2169" s="300"/>
      <c r="J2169" s="300"/>
      <c r="K2169" s="300"/>
      <c r="L2169" s="300"/>
      <c r="M2169" s="300"/>
      <c r="N2169" s="300"/>
      <c r="O2169" s="300"/>
      <c r="P2169" s="300"/>
      <c r="Q2169" s="300"/>
      <c r="R2169" s="300"/>
      <c r="S2169" s="300"/>
      <c r="T2169" s="300"/>
      <c r="U2169" s="300"/>
      <c r="V2169" s="300"/>
      <c r="W2169" s="300"/>
      <c r="X2169" s="300"/>
      <c r="Y2169" s="300"/>
      <c r="Z2169" s="300"/>
    </row>
    <row r="2170" spans="1:26">
      <c r="A2170" s="215" t="s">
        <v>3033</v>
      </c>
      <c r="B2170" s="207">
        <v>1051</v>
      </c>
      <c r="C2170" s="215" t="s">
        <v>5168</v>
      </c>
      <c r="D2170" s="215" t="s">
        <v>11240</v>
      </c>
      <c r="E2170" s="215" t="s">
        <v>11241</v>
      </c>
      <c r="F2170" s="215" t="s">
        <v>11036</v>
      </c>
      <c r="G2170" s="215" t="s">
        <v>11037</v>
      </c>
      <c r="H2170" s="215" t="s">
        <v>6500</v>
      </c>
      <c r="I2170" s="300"/>
      <c r="J2170" s="300"/>
      <c r="K2170" s="300"/>
      <c r="L2170" s="300"/>
      <c r="M2170" s="300"/>
      <c r="N2170" s="300"/>
      <c r="O2170" s="300"/>
      <c r="P2170" s="300"/>
      <c r="Q2170" s="300"/>
      <c r="R2170" s="300"/>
      <c r="S2170" s="300"/>
      <c r="T2170" s="300"/>
      <c r="U2170" s="300"/>
      <c r="V2170" s="300"/>
      <c r="W2170" s="300"/>
      <c r="X2170" s="300"/>
      <c r="Y2170" s="300"/>
      <c r="Z2170" s="300"/>
    </row>
    <row r="2171" spans="1:26">
      <c r="A2171" s="215" t="s">
        <v>3440</v>
      </c>
      <c r="B2171" s="207">
        <v>1053</v>
      </c>
      <c r="C2171" s="215" t="s">
        <v>5562</v>
      </c>
      <c r="D2171" s="215" t="s">
        <v>11242</v>
      </c>
      <c r="E2171" s="215" t="s">
        <v>11242</v>
      </c>
      <c r="F2171" s="215" t="s">
        <v>11036</v>
      </c>
      <c r="G2171" s="215" t="s">
        <v>11037</v>
      </c>
      <c r="H2171" s="215" t="s">
        <v>6500</v>
      </c>
      <c r="I2171" s="300"/>
      <c r="J2171" s="300"/>
      <c r="K2171" s="300"/>
      <c r="L2171" s="300"/>
      <c r="M2171" s="300"/>
      <c r="N2171" s="300"/>
      <c r="O2171" s="300"/>
      <c r="P2171" s="300"/>
      <c r="Q2171" s="300"/>
      <c r="R2171" s="300"/>
      <c r="S2171" s="300"/>
      <c r="T2171" s="300"/>
      <c r="U2171" s="300"/>
      <c r="V2171" s="300"/>
      <c r="W2171" s="300"/>
      <c r="X2171" s="300"/>
      <c r="Y2171" s="300"/>
      <c r="Z2171" s="300"/>
    </row>
    <row r="2172" spans="1:26">
      <c r="A2172" s="215" t="s">
        <v>4250</v>
      </c>
      <c r="B2172" s="207">
        <v>1060</v>
      </c>
      <c r="C2172" s="215" t="s">
        <v>6224</v>
      </c>
      <c r="D2172" s="215" t="s">
        <v>11243</v>
      </c>
      <c r="E2172" s="215" t="s">
        <v>11243</v>
      </c>
      <c r="F2172" s="215" t="s">
        <v>11036</v>
      </c>
      <c r="G2172" s="215" t="s">
        <v>11037</v>
      </c>
      <c r="H2172" s="215" t="s">
        <v>6500</v>
      </c>
      <c r="I2172" s="300"/>
      <c r="J2172" s="300"/>
      <c r="K2172" s="300"/>
      <c r="L2172" s="300"/>
      <c r="M2172" s="300"/>
      <c r="N2172" s="300"/>
      <c r="O2172" s="300"/>
      <c r="P2172" s="300"/>
      <c r="Q2172" s="300"/>
      <c r="R2172" s="300"/>
      <c r="S2172" s="300"/>
      <c r="T2172" s="300"/>
      <c r="U2172" s="300"/>
      <c r="V2172" s="300"/>
      <c r="W2172" s="300"/>
      <c r="X2172" s="300"/>
      <c r="Y2172" s="300"/>
      <c r="Z2172" s="300"/>
    </row>
    <row r="2173" spans="1:26">
      <c r="A2173" s="215" t="s">
        <v>2942</v>
      </c>
      <c r="B2173" s="207">
        <v>1067</v>
      </c>
      <c r="C2173" s="215" t="s">
        <v>5101</v>
      </c>
      <c r="D2173" s="215" t="s">
        <v>11244</v>
      </c>
      <c r="E2173" s="215" t="s">
        <v>11245</v>
      </c>
      <c r="F2173" s="215" t="s">
        <v>11036</v>
      </c>
      <c r="G2173" s="215" t="s">
        <v>11037</v>
      </c>
      <c r="H2173" s="215" t="s">
        <v>6521</v>
      </c>
      <c r="I2173" s="300"/>
      <c r="J2173" s="300"/>
      <c r="K2173" s="300"/>
      <c r="L2173" s="300"/>
      <c r="M2173" s="300"/>
      <c r="N2173" s="300"/>
      <c r="O2173" s="300"/>
      <c r="P2173" s="300"/>
      <c r="Q2173" s="300"/>
      <c r="R2173" s="300"/>
      <c r="S2173" s="300"/>
      <c r="T2173" s="300"/>
      <c r="U2173" s="300"/>
      <c r="V2173" s="300"/>
      <c r="W2173" s="300"/>
      <c r="X2173" s="300"/>
      <c r="Y2173" s="300"/>
      <c r="Z2173" s="300"/>
    </row>
    <row r="2174" spans="1:26">
      <c r="A2174" s="215" t="s">
        <v>3274</v>
      </c>
      <c r="B2174" s="207">
        <v>1068</v>
      </c>
      <c r="C2174" s="215" t="s">
        <v>5401</v>
      </c>
      <c r="D2174" s="215" t="s">
        <v>11246</v>
      </c>
      <c r="E2174" s="215" t="s">
        <v>11247</v>
      </c>
      <c r="F2174" s="215" t="s">
        <v>11036</v>
      </c>
      <c r="G2174" s="215" t="s">
        <v>11037</v>
      </c>
      <c r="H2174" s="215" t="s">
        <v>6521</v>
      </c>
      <c r="I2174" s="300"/>
      <c r="J2174" s="300"/>
      <c r="K2174" s="300"/>
      <c r="L2174" s="300"/>
      <c r="M2174" s="300"/>
      <c r="N2174" s="300"/>
      <c r="O2174" s="300"/>
      <c r="P2174" s="300"/>
      <c r="Q2174" s="300"/>
      <c r="R2174" s="300"/>
      <c r="S2174" s="300"/>
      <c r="T2174" s="300"/>
      <c r="U2174" s="300"/>
      <c r="V2174" s="300"/>
      <c r="W2174" s="300"/>
      <c r="X2174" s="300"/>
      <c r="Y2174" s="300"/>
      <c r="Z2174" s="300"/>
    </row>
    <row r="2175" spans="1:26">
      <c r="A2175" s="215" t="s">
        <v>2741</v>
      </c>
      <c r="B2175" s="207">
        <v>1069</v>
      </c>
      <c r="C2175" s="215" t="s">
        <v>4898</v>
      </c>
      <c r="D2175" s="215" t="s">
        <v>11248</v>
      </c>
      <c r="E2175" s="215" t="s">
        <v>11248</v>
      </c>
      <c r="F2175" s="215" t="s">
        <v>11036</v>
      </c>
      <c r="G2175" s="215" t="s">
        <v>11037</v>
      </c>
      <c r="H2175" s="215" t="s">
        <v>6521</v>
      </c>
      <c r="I2175" s="300"/>
      <c r="J2175" s="300"/>
      <c r="K2175" s="300"/>
      <c r="L2175" s="300"/>
      <c r="M2175" s="300"/>
      <c r="N2175" s="300"/>
      <c r="O2175" s="300"/>
      <c r="P2175" s="300"/>
      <c r="Q2175" s="300"/>
      <c r="R2175" s="300"/>
      <c r="S2175" s="300"/>
      <c r="T2175" s="300"/>
      <c r="U2175" s="300"/>
      <c r="V2175" s="300"/>
      <c r="W2175" s="300"/>
      <c r="X2175" s="300"/>
      <c r="Y2175" s="300"/>
      <c r="Z2175" s="300"/>
    </row>
    <row r="2176" spans="1:26">
      <c r="A2176" s="215" t="s">
        <v>3028</v>
      </c>
      <c r="B2176" s="207">
        <v>1070</v>
      </c>
      <c r="C2176" s="215" t="s">
        <v>5161</v>
      </c>
      <c r="D2176" s="215" t="s">
        <v>11249</v>
      </c>
      <c r="E2176" s="215" t="s">
        <v>11250</v>
      </c>
      <c r="F2176" s="215" t="s">
        <v>11036</v>
      </c>
      <c r="G2176" s="215" t="s">
        <v>11037</v>
      </c>
      <c r="H2176" s="215" t="s">
        <v>6521</v>
      </c>
      <c r="I2176" s="300"/>
      <c r="J2176" s="300"/>
      <c r="K2176" s="300"/>
      <c r="L2176" s="300"/>
      <c r="M2176" s="300"/>
      <c r="N2176" s="300"/>
      <c r="O2176" s="300"/>
      <c r="P2176" s="300"/>
      <c r="Q2176" s="300"/>
      <c r="R2176" s="300"/>
      <c r="S2176" s="300"/>
      <c r="T2176" s="300"/>
      <c r="U2176" s="300"/>
      <c r="V2176" s="300"/>
      <c r="W2176" s="300"/>
      <c r="X2176" s="300"/>
      <c r="Y2176" s="300"/>
      <c r="Z2176" s="300"/>
    </row>
    <row r="2177" spans="1:26">
      <c r="A2177" s="215" t="s">
        <v>3513</v>
      </c>
      <c r="B2177" s="207">
        <v>1071</v>
      </c>
      <c r="C2177" s="215" t="s">
        <v>5620</v>
      </c>
      <c r="D2177" s="215" t="s">
        <v>3507</v>
      </c>
      <c r="E2177" s="215" t="s">
        <v>11251</v>
      </c>
      <c r="F2177" s="215" t="s">
        <v>11036</v>
      </c>
      <c r="G2177" s="215" t="s">
        <v>11037</v>
      </c>
      <c r="H2177" s="215" t="s">
        <v>6521</v>
      </c>
      <c r="I2177" s="300"/>
      <c r="J2177" s="300"/>
      <c r="K2177" s="300"/>
      <c r="L2177" s="300"/>
      <c r="M2177" s="300"/>
      <c r="N2177" s="300"/>
      <c r="O2177" s="300"/>
      <c r="P2177" s="300"/>
      <c r="Q2177" s="300"/>
      <c r="R2177" s="300"/>
      <c r="S2177" s="300"/>
      <c r="T2177" s="300"/>
      <c r="U2177" s="300"/>
      <c r="V2177" s="300"/>
      <c r="W2177" s="300"/>
      <c r="X2177" s="300"/>
      <c r="Y2177" s="300"/>
      <c r="Z2177" s="300"/>
    </row>
    <row r="2178" spans="1:26">
      <c r="A2178" s="215" t="s">
        <v>4184</v>
      </c>
      <c r="B2178" s="207">
        <v>1073</v>
      </c>
      <c r="C2178" s="215" t="s">
        <v>6171</v>
      </c>
      <c r="D2178" s="215" t="s">
        <v>11252</v>
      </c>
      <c r="E2178" s="215" t="s">
        <v>11253</v>
      </c>
      <c r="F2178" s="215" t="s">
        <v>11036</v>
      </c>
      <c r="G2178" s="215" t="s">
        <v>11037</v>
      </c>
      <c r="H2178" s="215" t="s">
        <v>6521</v>
      </c>
      <c r="I2178" s="300"/>
      <c r="J2178" s="300"/>
      <c r="K2178" s="300"/>
      <c r="L2178" s="300"/>
      <c r="M2178" s="300"/>
      <c r="N2178" s="300"/>
      <c r="O2178" s="300"/>
      <c r="P2178" s="300"/>
      <c r="Q2178" s="300"/>
      <c r="R2178" s="300"/>
      <c r="S2178" s="300"/>
      <c r="T2178" s="300"/>
      <c r="U2178" s="300"/>
      <c r="V2178" s="300"/>
      <c r="W2178" s="300"/>
      <c r="X2178" s="300"/>
      <c r="Y2178" s="300"/>
      <c r="Z2178" s="300"/>
    </row>
    <row r="2179" spans="1:26">
      <c r="A2179" s="215" t="s">
        <v>3472</v>
      </c>
      <c r="B2179" s="207">
        <v>1074</v>
      </c>
      <c r="C2179" s="215" t="s">
        <v>5584</v>
      </c>
      <c r="D2179" s="215" t="s">
        <v>11254</v>
      </c>
      <c r="E2179" s="215" t="s">
        <v>11255</v>
      </c>
      <c r="F2179" s="215" t="s">
        <v>11036</v>
      </c>
      <c r="G2179" s="215" t="s">
        <v>11037</v>
      </c>
      <c r="H2179" s="215" t="s">
        <v>6521</v>
      </c>
      <c r="I2179" s="300"/>
      <c r="J2179" s="300"/>
      <c r="K2179" s="300"/>
      <c r="L2179" s="300"/>
      <c r="M2179" s="300"/>
      <c r="N2179" s="300"/>
      <c r="O2179" s="300"/>
      <c r="P2179" s="300"/>
      <c r="Q2179" s="300"/>
      <c r="R2179" s="300"/>
      <c r="S2179" s="300"/>
      <c r="T2179" s="300"/>
      <c r="U2179" s="300"/>
      <c r="V2179" s="300"/>
      <c r="W2179" s="300"/>
      <c r="X2179" s="300"/>
      <c r="Y2179" s="300"/>
      <c r="Z2179" s="300"/>
    </row>
    <row r="2180" spans="1:26">
      <c r="A2180" s="215" t="s">
        <v>3449</v>
      </c>
      <c r="B2180" s="207">
        <v>1075</v>
      </c>
      <c r="C2180" s="215" t="s">
        <v>5569</v>
      </c>
      <c r="D2180" s="215" t="s">
        <v>11256</v>
      </c>
      <c r="E2180" s="215" t="s">
        <v>11257</v>
      </c>
      <c r="F2180" s="215" t="s">
        <v>11036</v>
      </c>
      <c r="G2180" s="215" t="s">
        <v>11037</v>
      </c>
      <c r="H2180" s="215" t="s">
        <v>6521</v>
      </c>
      <c r="I2180" s="300"/>
      <c r="J2180" s="300"/>
      <c r="K2180" s="300"/>
      <c r="L2180" s="300"/>
      <c r="M2180" s="300"/>
      <c r="N2180" s="300"/>
      <c r="O2180" s="300"/>
      <c r="P2180" s="300"/>
      <c r="Q2180" s="300"/>
      <c r="R2180" s="300"/>
      <c r="S2180" s="300"/>
      <c r="T2180" s="300"/>
      <c r="U2180" s="300"/>
      <c r="V2180" s="300"/>
      <c r="W2180" s="300"/>
      <c r="X2180" s="300"/>
      <c r="Y2180" s="300"/>
      <c r="Z2180" s="300"/>
    </row>
    <row r="2181" spans="1:26">
      <c r="A2181" s="215"/>
      <c r="B2181" s="207">
        <v>1331</v>
      </c>
      <c r="C2181" s="215" t="s">
        <v>11258</v>
      </c>
      <c r="D2181" s="215" t="s">
        <v>11259</v>
      </c>
      <c r="E2181" s="215" t="s">
        <v>11260</v>
      </c>
      <c r="F2181" s="215" t="s">
        <v>11036</v>
      </c>
      <c r="G2181" s="215" t="s">
        <v>11037</v>
      </c>
      <c r="H2181" s="215" t="s">
        <v>6500</v>
      </c>
      <c r="I2181" s="300"/>
      <c r="J2181" s="300"/>
      <c r="K2181" s="300"/>
      <c r="L2181" s="300"/>
      <c r="M2181" s="300"/>
      <c r="N2181" s="300"/>
      <c r="O2181" s="300"/>
      <c r="P2181" s="300"/>
      <c r="Q2181" s="300"/>
      <c r="R2181" s="300"/>
      <c r="S2181" s="300"/>
      <c r="T2181" s="300"/>
      <c r="U2181" s="300"/>
      <c r="V2181" s="300"/>
      <c r="W2181" s="300"/>
      <c r="X2181" s="300"/>
      <c r="Y2181" s="300"/>
      <c r="Z2181" s="300"/>
    </row>
    <row r="2182" spans="1:26">
      <c r="A2182" s="215"/>
      <c r="B2182" s="207">
        <v>1332</v>
      </c>
      <c r="C2182" s="215" t="s">
        <v>11261</v>
      </c>
      <c r="D2182" s="215" t="s">
        <v>11262</v>
      </c>
      <c r="E2182" s="215" t="s">
        <v>11165</v>
      </c>
      <c r="F2182" s="215" t="s">
        <v>11036</v>
      </c>
      <c r="G2182" s="215" t="s">
        <v>11037</v>
      </c>
      <c r="H2182" s="215" t="s">
        <v>6500</v>
      </c>
      <c r="I2182" s="300"/>
      <c r="J2182" s="300"/>
      <c r="K2182" s="300"/>
      <c r="L2182" s="300"/>
      <c r="M2182" s="300"/>
      <c r="N2182" s="300"/>
      <c r="O2182" s="300"/>
      <c r="P2182" s="300"/>
      <c r="Q2182" s="300"/>
      <c r="R2182" s="300"/>
      <c r="S2182" s="300"/>
      <c r="T2182" s="300"/>
      <c r="U2182" s="300"/>
      <c r="V2182" s="300"/>
      <c r="W2182" s="300"/>
      <c r="X2182" s="300"/>
      <c r="Y2182" s="300"/>
      <c r="Z2182" s="300"/>
    </row>
    <row r="2183" spans="1:26">
      <c r="A2183" s="215"/>
      <c r="B2183" s="207">
        <v>1333</v>
      </c>
      <c r="C2183" s="215" t="s">
        <v>5866</v>
      </c>
      <c r="D2183" s="215" t="s">
        <v>11263</v>
      </c>
      <c r="E2183" s="215" t="s">
        <v>11264</v>
      </c>
      <c r="F2183" s="215" t="s">
        <v>11036</v>
      </c>
      <c r="G2183" s="215" t="s">
        <v>11037</v>
      </c>
      <c r="H2183" s="215" t="s">
        <v>6500</v>
      </c>
      <c r="I2183" s="300"/>
      <c r="J2183" s="300"/>
      <c r="K2183" s="300"/>
      <c r="L2183" s="300"/>
      <c r="M2183" s="300"/>
      <c r="N2183" s="300"/>
      <c r="O2183" s="300"/>
      <c r="P2183" s="300"/>
      <c r="Q2183" s="300"/>
      <c r="R2183" s="300"/>
      <c r="S2183" s="300"/>
      <c r="T2183" s="300"/>
      <c r="U2183" s="300"/>
      <c r="V2183" s="300"/>
      <c r="W2183" s="300"/>
      <c r="X2183" s="300"/>
      <c r="Y2183" s="300"/>
      <c r="Z2183" s="300"/>
    </row>
    <row r="2184" spans="1:26">
      <c r="A2184" s="215"/>
      <c r="B2184" s="207">
        <v>1334</v>
      </c>
      <c r="C2184" s="215" t="s">
        <v>11265</v>
      </c>
      <c r="D2184" s="215" t="s">
        <v>11266</v>
      </c>
      <c r="E2184" s="215" t="s">
        <v>11267</v>
      </c>
      <c r="F2184" s="215" t="s">
        <v>11036</v>
      </c>
      <c r="G2184" s="215" t="s">
        <v>11037</v>
      </c>
      <c r="H2184" s="215" t="s">
        <v>6504</v>
      </c>
      <c r="I2184" s="300"/>
      <c r="J2184" s="300"/>
      <c r="K2184" s="300"/>
      <c r="L2184" s="300"/>
      <c r="M2184" s="300"/>
      <c r="N2184" s="300"/>
      <c r="O2184" s="300"/>
      <c r="P2184" s="300"/>
      <c r="Q2184" s="300"/>
      <c r="R2184" s="300"/>
      <c r="S2184" s="300"/>
      <c r="T2184" s="300"/>
      <c r="U2184" s="300"/>
      <c r="V2184" s="300"/>
      <c r="W2184" s="300"/>
      <c r="X2184" s="300"/>
      <c r="Y2184" s="300"/>
      <c r="Z2184" s="300"/>
    </row>
    <row r="2185" spans="1:26">
      <c r="A2185" s="215" t="s">
        <v>3391</v>
      </c>
      <c r="B2185" s="207">
        <v>1353</v>
      </c>
      <c r="C2185" s="215" t="s">
        <v>11268</v>
      </c>
      <c r="D2185" s="215" t="s">
        <v>11269</v>
      </c>
      <c r="E2185" s="215" t="s">
        <v>11270</v>
      </c>
      <c r="F2185" s="215" t="s">
        <v>11036</v>
      </c>
      <c r="G2185" s="215" t="s">
        <v>11037</v>
      </c>
      <c r="H2185" s="215" t="s">
        <v>6548</v>
      </c>
      <c r="I2185" s="300"/>
      <c r="J2185" s="300"/>
      <c r="K2185" s="300"/>
      <c r="L2185" s="300"/>
      <c r="M2185" s="300"/>
      <c r="N2185" s="300"/>
      <c r="O2185" s="300"/>
      <c r="P2185" s="300"/>
      <c r="Q2185" s="300"/>
      <c r="R2185" s="300"/>
      <c r="S2185" s="300"/>
      <c r="T2185" s="300"/>
      <c r="U2185" s="300"/>
      <c r="V2185" s="300"/>
      <c r="W2185" s="300"/>
      <c r="X2185" s="300"/>
      <c r="Y2185" s="300"/>
      <c r="Z2185" s="300"/>
    </row>
    <row r="2186" spans="1:26">
      <c r="A2186" s="215" t="s">
        <v>3431</v>
      </c>
      <c r="B2186" s="207">
        <v>1365</v>
      </c>
      <c r="C2186" s="215" t="s">
        <v>11271</v>
      </c>
      <c r="D2186" s="215" t="s">
        <v>11272</v>
      </c>
      <c r="E2186" s="215" t="s">
        <v>11273</v>
      </c>
      <c r="F2186" s="215" t="s">
        <v>11036</v>
      </c>
      <c r="G2186" s="215" t="s">
        <v>11037</v>
      </c>
      <c r="H2186" s="215" t="s">
        <v>6504</v>
      </c>
      <c r="I2186" s="300"/>
      <c r="J2186" s="300"/>
      <c r="K2186" s="300"/>
      <c r="L2186" s="300"/>
      <c r="M2186" s="300"/>
      <c r="N2186" s="300"/>
      <c r="O2186" s="300"/>
      <c r="P2186" s="300"/>
      <c r="Q2186" s="300"/>
      <c r="R2186" s="300"/>
      <c r="S2186" s="300"/>
      <c r="T2186" s="300"/>
      <c r="U2186" s="300"/>
      <c r="V2186" s="300"/>
      <c r="W2186" s="300"/>
      <c r="X2186" s="300"/>
      <c r="Y2186" s="300"/>
      <c r="Z2186" s="300"/>
    </row>
    <row r="2187" spans="1:26">
      <c r="A2187" s="215"/>
      <c r="B2187" s="207">
        <v>1449</v>
      </c>
      <c r="C2187" s="215" t="s">
        <v>6301</v>
      </c>
      <c r="D2187" s="215" t="s">
        <v>11274</v>
      </c>
      <c r="E2187" s="215" t="s">
        <v>8041</v>
      </c>
      <c r="F2187" s="215" t="s">
        <v>11036</v>
      </c>
      <c r="G2187" s="215" t="s">
        <v>11037</v>
      </c>
      <c r="H2187" s="215" t="s">
        <v>6548</v>
      </c>
      <c r="I2187" s="300"/>
      <c r="J2187" s="300"/>
      <c r="K2187" s="300"/>
      <c r="L2187" s="300"/>
      <c r="M2187" s="300"/>
      <c r="N2187" s="300"/>
      <c r="O2187" s="300"/>
      <c r="P2187" s="300"/>
      <c r="Q2187" s="300"/>
      <c r="R2187" s="300"/>
      <c r="S2187" s="300"/>
      <c r="T2187" s="300"/>
      <c r="U2187" s="300"/>
      <c r="V2187" s="300"/>
      <c r="W2187" s="300"/>
      <c r="X2187" s="300"/>
      <c r="Y2187" s="300"/>
      <c r="Z2187" s="300"/>
    </row>
    <row r="2188" spans="1:26">
      <c r="A2188" s="215" t="s">
        <v>3455</v>
      </c>
      <c r="B2188" s="207">
        <v>1516</v>
      </c>
      <c r="C2188" s="215" t="s">
        <v>11275</v>
      </c>
      <c r="D2188" s="215" t="s">
        <v>11276</v>
      </c>
      <c r="E2188" s="215" t="s">
        <v>11277</v>
      </c>
      <c r="F2188" s="215" t="s">
        <v>11036</v>
      </c>
      <c r="G2188" s="215" t="s">
        <v>11037</v>
      </c>
      <c r="H2188" s="215" t="s">
        <v>6500</v>
      </c>
      <c r="I2188" s="300"/>
      <c r="J2188" s="300"/>
      <c r="K2188" s="300"/>
      <c r="L2188" s="300"/>
      <c r="M2188" s="300"/>
      <c r="N2188" s="300"/>
      <c r="O2188" s="300"/>
      <c r="P2188" s="300"/>
      <c r="Q2188" s="300"/>
      <c r="R2188" s="300"/>
      <c r="S2188" s="300"/>
      <c r="T2188" s="300"/>
      <c r="U2188" s="300"/>
      <c r="V2188" s="300"/>
      <c r="W2188" s="300"/>
      <c r="X2188" s="300"/>
      <c r="Y2188" s="300"/>
      <c r="Z2188" s="300"/>
    </row>
    <row r="2189" spans="1:26">
      <c r="A2189" s="215" t="s">
        <v>3455</v>
      </c>
      <c r="B2189" s="207">
        <v>1517</v>
      </c>
      <c r="C2189" s="215" t="s">
        <v>11278</v>
      </c>
      <c r="D2189" s="215" t="s">
        <v>11279</v>
      </c>
      <c r="E2189" s="215" t="s">
        <v>11280</v>
      </c>
      <c r="F2189" s="215" t="s">
        <v>11036</v>
      </c>
      <c r="G2189" s="215" t="s">
        <v>11037</v>
      </c>
      <c r="H2189" s="215" t="s">
        <v>6548</v>
      </c>
      <c r="I2189" s="300"/>
      <c r="J2189" s="300"/>
      <c r="K2189" s="300"/>
      <c r="L2189" s="300"/>
      <c r="M2189" s="300"/>
      <c r="N2189" s="300"/>
      <c r="O2189" s="300"/>
      <c r="P2189" s="300"/>
      <c r="Q2189" s="300"/>
      <c r="R2189" s="300"/>
      <c r="S2189" s="300"/>
      <c r="T2189" s="300"/>
      <c r="U2189" s="300"/>
      <c r="V2189" s="300"/>
      <c r="W2189" s="300"/>
      <c r="X2189" s="300"/>
      <c r="Y2189" s="300"/>
      <c r="Z2189" s="300"/>
    </row>
    <row r="2190" spans="1:26">
      <c r="A2190" s="215" t="s">
        <v>3455</v>
      </c>
      <c r="B2190" s="207">
        <v>1518</v>
      </c>
      <c r="C2190" s="215" t="s">
        <v>11281</v>
      </c>
      <c r="D2190" s="215" t="s">
        <v>11282</v>
      </c>
      <c r="E2190" s="215" t="s">
        <v>11283</v>
      </c>
      <c r="F2190" s="215" t="s">
        <v>11036</v>
      </c>
      <c r="G2190" s="215" t="s">
        <v>11037</v>
      </c>
      <c r="H2190" s="215" t="s">
        <v>6504</v>
      </c>
      <c r="I2190" s="300"/>
      <c r="J2190" s="300"/>
      <c r="K2190" s="300"/>
      <c r="L2190" s="300"/>
      <c r="M2190" s="300"/>
      <c r="N2190" s="300"/>
      <c r="O2190" s="300"/>
      <c r="P2190" s="300"/>
      <c r="Q2190" s="300"/>
      <c r="R2190" s="300"/>
      <c r="S2190" s="300"/>
      <c r="T2190" s="300"/>
      <c r="U2190" s="300"/>
      <c r="V2190" s="300"/>
      <c r="W2190" s="300"/>
      <c r="X2190" s="300"/>
      <c r="Y2190" s="300"/>
      <c r="Z2190" s="300"/>
    </row>
    <row r="2191" spans="1:26">
      <c r="A2191" s="215" t="s">
        <v>3159</v>
      </c>
      <c r="B2191" s="207">
        <v>1598</v>
      </c>
      <c r="C2191" s="215" t="s">
        <v>5292</v>
      </c>
      <c r="D2191" s="215" t="s">
        <v>11284</v>
      </c>
      <c r="E2191" s="215" t="s">
        <v>11284</v>
      </c>
      <c r="F2191" s="215" t="s">
        <v>11036</v>
      </c>
      <c r="G2191" s="215" t="s">
        <v>11037</v>
      </c>
      <c r="H2191" s="215" t="s">
        <v>6504</v>
      </c>
      <c r="I2191" s="300"/>
      <c r="J2191" s="300"/>
      <c r="K2191" s="300"/>
      <c r="L2191" s="300"/>
      <c r="M2191" s="300"/>
      <c r="N2191" s="300"/>
      <c r="O2191" s="300"/>
      <c r="P2191" s="300"/>
      <c r="Q2191" s="300"/>
      <c r="R2191" s="300"/>
      <c r="S2191" s="300"/>
      <c r="T2191" s="300"/>
      <c r="U2191" s="300"/>
      <c r="V2191" s="300"/>
      <c r="W2191" s="300"/>
      <c r="X2191" s="300"/>
      <c r="Y2191" s="300"/>
      <c r="Z2191" s="300"/>
    </row>
    <row r="2192" spans="1:26">
      <c r="A2192" s="215"/>
      <c r="B2192" s="207">
        <v>1610</v>
      </c>
      <c r="C2192" s="215" t="s">
        <v>11285</v>
      </c>
      <c r="D2192" s="215"/>
      <c r="E2192" s="215"/>
      <c r="F2192" s="215" t="s">
        <v>11036</v>
      </c>
      <c r="G2192" s="215" t="s">
        <v>11037</v>
      </c>
      <c r="H2192" s="215" t="s">
        <v>6548</v>
      </c>
      <c r="I2192" s="300"/>
      <c r="J2192" s="300"/>
      <c r="K2192" s="300"/>
      <c r="L2192" s="300"/>
      <c r="M2192" s="300"/>
      <c r="N2192" s="300"/>
      <c r="O2192" s="300"/>
      <c r="P2192" s="300"/>
      <c r="Q2192" s="300"/>
      <c r="R2192" s="300"/>
      <c r="S2192" s="300"/>
      <c r="T2192" s="300"/>
      <c r="U2192" s="300"/>
      <c r="V2192" s="300"/>
      <c r="W2192" s="300"/>
      <c r="X2192" s="300"/>
      <c r="Y2192" s="300"/>
      <c r="Z2192" s="300"/>
    </row>
    <row r="2193" spans="1:26">
      <c r="A2193" s="215"/>
      <c r="B2193" s="207">
        <v>1611</v>
      </c>
      <c r="C2193" s="215" t="s">
        <v>11286</v>
      </c>
      <c r="D2193" s="215"/>
      <c r="E2193" s="215"/>
      <c r="F2193" s="215" t="s">
        <v>11036</v>
      </c>
      <c r="G2193" s="215" t="s">
        <v>11037</v>
      </c>
      <c r="H2193" s="215" t="s">
        <v>6548</v>
      </c>
      <c r="I2193" s="300"/>
      <c r="J2193" s="300"/>
      <c r="K2193" s="300"/>
      <c r="L2193" s="300"/>
      <c r="M2193" s="300"/>
      <c r="N2193" s="300"/>
      <c r="O2193" s="300"/>
      <c r="P2193" s="300"/>
      <c r="Q2193" s="300"/>
      <c r="R2193" s="300"/>
      <c r="S2193" s="300"/>
      <c r="T2193" s="300"/>
      <c r="U2193" s="300"/>
      <c r="V2193" s="300"/>
      <c r="W2193" s="300"/>
      <c r="X2193" s="300"/>
      <c r="Y2193" s="300"/>
      <c r="Z2193" s="300"/>
    </row>
    <row r="2194" spans="1:26">
      <c r="A2194" s="215"/>
      <c r="B2194" s="207">
        <v>1079</v>
      </c>
      <c r="C2194" s="215" t="s">
        <v>6284</v>
      </c>
      <c r="D2194" s="215" t="s">
        <v>11287</v>
      </c>
      <c r="E2194" s="215" t="s">
        <v>11288</v>
      </c>
      <c r="F2194" s="215" t="s">
        <v>11289</v>
      </c>
      <c r="G2194" s="215" t="s">
        <v>11290</v>
      </c>
      <c r="H2194" s="215" t="s">
        <v>6500</v>
      </c>
      <c r="I2194" s="300"/>
      <c r="J2194" s="300"/>
      <c r="K2194" s="300"/>
      <c r="L2194" s="300"/>
      <c r="M2194" s="300"/>
      <c r="N2194" s="300"/>
      <c r="O2194" s="300"/>
      <c r="P2194" s="300"/>
      <c r="Q2194" s="300"/>
      <c r="R2194" s="300"/>
      <c r="S2194" s="300"/>
      <c r="T2194" s="300"/>
      <c r="U2194" s="300"/>
      <c r="V2194" s="300"/>
      <c r="W2194" s="300"/>
      <c r="X2194" s="300"/>
      <c r="Y2194" s="300"/>
      <c r="Z2194" s="300"/>
    </row>
    <row r="2195" spans="1:26">
      <c r="A2195" s="215" t="s">
        <v>3340</v>
      </c>
      <c r="B2195" s="207">
        <v>1065</v>
      </c>
      <c r="C2195" s="215" t="s">
        <v>11291</v>
      </c>
      <c r="D2195" s="215" t="s">
        <v>11292</v>
      </c>
      <c r="E2195" s="215" t="s">
        <v>11293</v>
      </c>
      <c r="F2195" s="215" t="s">
        <v>11294</v>
      </c>
      <c r="G2195" s="215" t="s">
        <v>11295</v>
      </c>
      <c r="H2195" s="215" t="s">
        <v>6521</v>
      </c>
      <c r="I2195" s="300"/>
      <c r="J2195" s="300"/>
      <c r="K2195" s="300"/>
      <c r="L2195" s="300"/>
      <c r="M2195" s="300"/>
      <c r="N2195" s="300"/>
      <c r="O2195" s="300"/>
      <c r="P2195" s="300"/>
      <c r="Q2195" s="300"/>
      <c r="R2195" s="300"/>
      <c r="S2195" s="300"/>
      <c r="T2195" s="300"/>
      <c r="U2195" s="300"/>
      <c r="V2195" s="300"/>
      <c r="W2195" s="300"/>
      <c r="X2195" s="300"/>
      <c r="Y2195" s="300"/>
      <c r="Z2195" s="300"/>
    </row>
    <row r="2196" spans="1:26">
      <c r="A2196" s="215" t="s">
        <v>2468</v>
      </c>
      <c r="B2196" s="207">
        <v>1077</v>
      </c>
      <c r="C2196" s="215" t="s">
        <v>4777</v>
      </c>
      <c r="D2196" s="215" t="s">
        <v>11296</v>
      </c>
      <c r="E2196" s="215" t="s">
        <v>11296</v>
      </c>
      <c r="F2196" s="215" t="s">
        <v>11294</v>
      </c>
      <c r="G2196" s="215" t="s">
        <v>11295</v>
      </c>
      <c r="H2196" s="215" t="s">
        <v>6500</v>
      </c>
      <c r="I2196" s="300"/>
      <c r="J2196" s="300"/>
      <c r="K2196" s="300"/>
      <c r="L2196" s="300"/>
      <c r="M2196" s="300"/>
      <c r="N2196" s="300"/>
      <c r="O2196" s="300"/>
      <c r="P2196" s="300"/>
      <c r="Q2196" s="300"/>
      <c r="R2196" s="300"/>
      <c r="S2196" s="300"/>
      <c r="T2196" s="300"/>
      <c r="U2196" s="300"/>
      <c r="V2196" s="300"/>
      <c r="W2196" s="300"/>
      <c r="X2196" s="300"/>
      <c r="Y2196" s="300"/>
      <c r="Z2196" s="300"/>
    </row>
    <row r="2197" spans="1:26">
      <c r="A2197" s="215" t="s">
        <v>3358</v>
      </c>
      <c r="B2197" s="207">
        <v>52</v>
      </c>
      <c r="C2197" s="215" t="s">
        <v>5479</v>
      </c>
      <c r="D2197" s="215" t="s">
        <v>11297</v>
      </c>
      <c r="E2197" s="215" t="s">
        <v>11297</v>
      </c>
      <c r="F2197" s="215" t="s">
        <v>11298</v>
      </c>
      <c r="G2197" s="215" t="s">
        <v>11299</v>
      </c>
      <c r="H2197" s="215" t="s">
        <v>6500</v>
      </c>
      <c r="I2197" s="300"/>
      <c r="J2197" s="300"/>
      <c r="K2197" s="300"/>
      <c r="L2197" s="300"/>
      <c r="M2197" s="300"/>
      <c r="N2197" s="300"/>
      <c r="O2197" s="300"/>
      <c r="P2197" s="300"/>
      <c r="Q2197" s="300"/>
      <c r="R2197" s="300"/>
      <c r="S2197" s="300"/>
      <c r="T2197" s="300"/>
      <c r="U2197" s="300"/>
      <c r="V2197" s="300"/>
      <c r="W2197" s="300"/>
      <c r="X2197" s="300"/>
      <c r="Y2197" s="300"/>
      <c r="Z2197" s="300"/>
    </row>
    <row r="2198" spans="1:26">
      <c r="A2198" s="215" t="s">
        <v>2853</v>
      </c>
      <c r="B2198" s="207">
        <v>53</v>
      </c>
      <c r="C2198" s="215" t="s">
        <v>5017</v>
      </c>
      <c r="D2198" s="215" t="s">
        <v>11300</v>
      </c>
      <c r="E2198" s="215" t="s">
        <v>11301</v>
      </c>
      <c r="F2198" s="215" t="s">
        <v>11298</v>
      </c>
      <c r="G2198" s="215" t="s">
        <v>11299</v>
      </c>
      <c r="H2198" s="215" t="s">
        <v>6548</v>
      </c>
      <c r="I2198" s="300"/>
      <c r="J2198" s="300"/>
      <c r="K2198" s="300"/>
      <c r="L2198" s="300"/>
      <c r="M2198" s="300"/>
      <c r="N2198" s="300"/>
      <c r="O2198" s="300"/>
      <c r="P2198" s="300"/>
      <c r="Q2198" s="300"/>
      <c r="R2198" s="300"/>
      <c r="S2198" s="300"/>
      <c r="T2198" s="300"/>
      <c r="U2198" s="300"/>
      <c r="V2198" s="300"/>
      <c r="W2198" s="300"/>
      <c r="X2198" s="300"/>
      <c r="Y2198" s="300"/>
      <c r="Z2198" s="300"/>
    </row>
    <row r="2199" spans="1:26">
      <c r="A2199" s="215" t="s">
        <v>4230</v>
      </c>
      <c r="B2199" s="207">
        <v>54</v>
      </c>
      <c r="C2199" s="215" t="s">
        <v>6207</v>
      </c>
      <c r="D2199" s="215" t="s">
        <v>11302</v>
      </c>
      <c r="E2199" s="215" t="s">
        <v>11303</v>
      </c>
      <c r="F2199" s="215" t="s">
        <v>11298</v>
      </c>
      <c r="G2199" s="215" t="s">
        <v>11299</v>
      </c>
      <c r="H2199" s="215" t="s">
        <v>6521</v>
      </c>
      <c r="I2199" s="300"/>
      <c r="J2199" s="300"/>
      <c r="K2199" s="300"/>
      <c r="L2199" s="300"/>
      <c r="M2199" s="300"/>
      <c r="N2199" s="300"/>
      <c r="O2199" s="300"/>
      <c r="P2199" s="300"/>
      <c r="Q2199" s="300"/>
      <c r="R2199" s="300"/>
      <c r="S2199" s="300"/>
      <c r="T2199" s="300"/>
      <c r="U2199" s="300"/>
      <c r="V2199" s="300"/>
      <c r="W2199" s="300"/>
      <c r="X2199" s="300"/>
      <c r="Y2199" s="300"/>
      <c r="Z2199" s="300"/>
    </row>
    <row r="2200" spans="1:26">
      <c r="A2200" s="215" t="s">
        <v>2834</v>
      </c>
      <c r="B2200" s="207">
        <v>55</v>
      </c>
      <c r="C2200" s="215" t="s">
        <v>4908</v>
      </c>
      <c r="D2200" s="215" t="s">
        <v>11304</v>
      </c>
      <c r="E2200" s="215" t="s">
        <v>11304</v>
      </c>
      <c r="F2200" s="215" t="s">
        <v>11298</v>
      </c>
      <c r="G2200" s="215" t="s">
        <v>11299</v>
      </c>
      <c r="H2200" s="215" t="s">
        <v>6500</v>
      </c>
      <c r="I2200" s="300"/>
      <c r="J2200" s="300"/>
      <c r="K2200" s="300"/>
      <c r="L2200" s="300"/>
      <c r="M2200" s="300"/>
      <c r="N2200" s="300"/>
      <c r="O2200" s="300"/>
      <c r="P2200" s="300"/>
      <c r="Q2200" s="300"/>
      <c r="R2200" s="300"/>
      <c r="S2200" s="300"/>
      <c r="T2200" s="300"/>
      <c r="U2200" s="300"/>
      <c r="V2200" s="300"/>
      <c r="W2200" s="300"/>
      <c r="X2200" s="300"/>
      <c r="Y2200" s="300"/>
      <c r="Z2200" s="300"/>
    </row>
    <row r="2201" spans="1:26">
      <c r="A2201" s="215" t="s">
        <v>3086</v>
      </c>
      <c r="B2201" s="207">
        <v>56</v>
      </c>
      <c r="C2201" s="215" t="s">
        <v>5219</v>
      </c>
      <c r="D2201" s="215" t="s">
        <v>11305</v>
      </c>
      <c r="E2201" s="215" t="s">
        <v>11306</v>
      </c>
      <c r="F2201" s="215" t="s">
        <v>11298</v>
      </c>
      <c r="G2201" s="215" t="s">
        <v>11299</v>
      </c>
      <c r="H2201" s="215" t="s">
        <v>6504</v>
      </c>
      <c r="I2201" s="300"/>
      <c r="J2201" s="300"/>
      <c r="K2201" s="300"/>
      <c r="L2201" s="300"/>
      <c r="M2201" s="300"/>
      <c r="N2201" s="300"/>
      <c r="O2201" s="300"/>
      <c r="P2201" s="300"/>
      <c r="Q2201" s="300"/>
      <c r="R2201" s="300"/>
      <c r="S2201" s="300"/>
      <c r="T2201" s="300"/>
      <c r="U2201" s="300"/>
      <c r="V2201" s="300"/>
      <c r="W2201" s="300"/>
      <c r="X2201" s="300"/>
      <c r="Y2201" s="300"/>
      <c r="Z2201" s="300"/>
    </row>
    <row r="2202" spans="1:26">
      <c r="A2202" s="215" t="s">
        <v>4244</v>
      </c>
      <c r="B2202" s="207">
        <v>57</v>
      </c>
      <c r="C2202" s="215" t="s">
        <v>6219</v>
      </c>
      <c r="D2202" s="215" t="s">
        <v>11307</v>
      </c>
      <c r="E2202" s="215" t="s">
        <v>11307</v>
      </c>
      <c r="F2202" s="215" t="s">
        <v>11298</v>
      </c>
      <c r="G2202" s="215" t="s">
        <v>11299</v>
      </c>
      <c r="H2202" s="215" t="s">
        <v>6521</v>
      </c>
      <c r="I2202" s="300"/>
      <c r="J2202" s="300"/>
      <c r="K2202" s="300"/>
      <c r="L2202" s="300"/>
      <c r="M2202" s="300"/>
      <c r="N2202" s="300"/>
      <c r="O2202" s="300"/>
      <c r="P2202" s="300"/>
      <c r="Q2202" s="300"/>
      <c r="R2202" s="300"/>
      <c r="S2202" s="300"/>
      <c r="T2202" s="300"/>
      <c r="U2202" s="300"/>
      <c r="V2202" s="300"/>
      <c r="W2202" s="300"/>
      <c r="X2202" s="300"/>
      <c r="Y2202" s="300"/>
      <c r="Z2202" s="300"/>
    </row>
    <row r="2203" spans="1:26">
      <c r="A2203" s="215" t="s">
        <v>3214</v>
      </c>
      <c r="B2203" s="207">
        <v>58</v>
      </c>
      <c r="C2203" s="215" t="s">
        <v>5342</v>
      </c>
      <c r="D2203" s="215" t="s">
        <v>11308</v>
      </c>
      <c r="E2203" s="215" t="s">
        <v>11309</v>
      </c>
      <c r="F2203" s="215" t="s">
        <v>11298</v>
      </c>
      <c r="G2203" s="215" t="s">
        <v>11299</v>
      </c>
      <c r="H2203" s="215" t="s">
        <v>6504</v>
      </c>
      <c r="I2203" s="300"/>
      <c r="J2203" s="300"/>
      <c r="K2203" s="300"/>
      <c r="L2203" s="300"/>
      <c r="M2203" s="300"/>
      <c r="N2203" s="300"/>
      <c r="O2203" s="300"/>
      <c r="P2203" s="300"/>
      <c r="Q2203" s="300"/>
      <c r="R2203" s="300"/>
      <c r="S2203" s="300"/>
      <c r="T2203" s="300"/>
      <c r="U2203" s="300"/>
      <c r="V2203" s="300"/>
      <c r="W2203" s="300"/>
      <c r="X2203" s="300"/>
      <c r="Y2203" s="300"/>
      <c r="Z2203" s="300"/>
    </row>
    <row r="2204" spans="1:26">
      <c r="A2204" s="215" t="s">
        <v>3233</v>
      </c>
      <c r="B2204" s="207">
        <v>59</v>
      </c>
      <c r="C2204" s="215" t="s">
        <v>5365</v>
      </c>
      <c r="D2204" s="215" t="s">
        <v>11310</v>
      </c>
      <c r="E2204" s="215" t="s">
        <v>11310</v>
      </c>
      <c r="F2204" s="215" t="s">
        <v>11298</v>
      </c>
      <c r="G2204" s="215" t="s">
        <v>11299</v>
      </c>
      <c r="H2204" s="215" t="s">
        <v>6548</v>
      </c>
      <c r="I2204" s="300"/>
      <c r="J2204" s="300"/>
      <c r="K2204" s="300"/>
      <c r="L2204" s="300"/>
      <c r="M2204" s="300"/>
      <c r="N2204" s="300"/>
      <c r="O2204" s="300"/>
      <c r="P2204" s="300"/>
      <c r="Q2204" s="300"/>
      <c r="R2204" s="300"/>
      <c r="S2204" s="300"/>
      <c r="T2204" s="300"/>
      <c r="U2204" s="300"/>
      <c r="V2204" s="300"/>
      <c r="W2204" s="300"/>
      <c r="X2204" s="300"/>
      <c r="Y2204" s="300"/>
      <c r="Z2204" s="300"/>
    </row>
    <row r="2205" spans="1:26">
      <c r="A2205" s="215" t="s">
        <v>3551</v>
      </c>
      <c r="B2205" s="207">
        <v>60</v>
      </c>
      <c r="C2205" s="215" t="s">
        <v>5659</v>
      </c>
      <c r="D2205" s="215" t="s">
        <v>11311</v>
      </c>
      <c r="E2205" s="215" t="s">
        <v>11312</v>
      </c>
      <c r="F2205" s="215" t="s">
        <v>11298</v>
      </c>
      <c r="G2205" s="215" t="s">
        <v>11299</v>
      </c>
      <c r="H2205" s="215" t="s">
        <v>6500</v>
      </c>
      <c r="I2205" s="300"/>
      <c r="J2205" s="300"/>
      <c r="K2205" s="300"/>
      <c r="L2205" s="300"/>
      <c r="M2205" s="300"/>
      <c r="N2205" s="300"/>
      <c r="O2205" s="300"/>
      <c r="P2205" s="300"/>
      <c r="Q2205" s="300"/>
      <c r="R2205" s="300"/>
      <c r="S2205" s="300"/>
      <c r="T2205" s="300"/>
      <c r="U2205" s="300"/>
      <c r="V2205" s="300"/>
      <c r="W2205" s="300"/>
      <c r="X2205" s="300"/>
      <c r="Y2205" s="300"/>
      <c r="Z2205" s="300"/>
    </row>
    <row r="2206" spans="1:26">
      <c r="A2206" s="215" t="s">
        <v>3540</v>
      </c>
      <c r="B2206" s="207">
        <v>61</v>
      </c>
      <c r="C2206" s="215" t="s">
        <v>5649</v>
      </c>
      <c r="D2206" s="215" t="s">
        <v>11313</v>
      </c>
      <c r="E2206" s="215" t="s">
        <v>11314</v>
      </c>
      <c r="F2206" s="215" t="s">
        <v>11298</v>
      </c>
      <c r="G2206" s="215" t="s">
        <v>11299</v>
      </c>
      <c r="H2206" s="215" t="s">
        <v>6497</v>
      </c>
      <c r="I2206" s="300"/>
      <c r="J2206" s="300"/>
      <c r="K2206" s="300"/>
      <c r="L2206" s="300"/>
      <c r="M2206" s="300"/>
      <c r="N2206" s="300"/>
      <c r="O2206" s="300"/>
      <c r="P2206" s="300"/>
      <c r="Q2206" s="300"/>
      <c r="R2206" s="300"/>
      <c r="S2206" s="300"/>
      <c r="T2206" s="300"/>
      <c r="U2206" s="300"/>
      <c r="V2206" s="300"/>
      <c r="W2206" s="300"/>
      <c r="X2206" s="300"/>
      <c r="Y2206" s="300"/>
      <c r="Z2206" s="300"/>
    </row>
    <row r="2207" spans="1:26">
      <c r="A2207" s="215" t="s">
        <v>3350</v>
      </c>
      <c r="B2207" s="207">
        <v>62</v>
      </c>
      <c r="C2207" s="215" t="s">
        <v>5471</v>
      </c>
      <c r="D2207" s="215" t="s">
        <v>11315</v>
      </c>
      <c r="E2207" s="215" t="s">
        <v>11316</v>
      </c>
      <c r="F2207" s="215" t="s">
        <v>11298</v>
      </c>
      <c r="G2207" s="215" t="s">
        <v>11299</v>
      </c>
      <c r="H2207" s="215" t="s">
        <v>6500</v>
      </c>
      <c r="I2207" s="300"/>
      <c r="J2207" s="300"/>
      <c r="K2207" s="300"/>
      <c r="L2207" s="300"/>
      <c r="M2207" s="300"/>
      <c r="N2207" s="300"/>
      <c r="O2207" s="300"/>
      <c r="P2207" s="300"/>
      <c r="Q2207" s="300"/>
      <c r="R2207" s="300"/>
      <c r="S2207" s="300"/>
      <c r="T2207" s="300"/>
      <c r="U2207" s="300"/>
      <c r="V2207" s="300"/>
      <c r="W2207" s="300"/>
      <c r="X2207" s="300"/>
      <c r="Y2207" s="300"/>
      <c r="Z2207" s="300"/>
    </row>
    <row r="2208" spans="1:26">
      <c r="A2208" s="215" t="s">
        <v>3377</v>
      </c>
      <c r="B2208" s="207">
        <v>63</v>
      </c>
      <c r="C2208" s="215" t="s">
        <v>5500</v>
      </c>
      <c r="D2208" s="215" t="s">
        <v>11317</v>
      </c>
      <c r="E2208" s="215" t="s">
        <v>11318</v>
      </c>
      <c r="F2208" s="215" t="s">
        <v>11298</v>
      </c>
      <c r="G2208" s="215" t="s">
        <v>11299</v>
      </c>
      <c r="H2208" s="215" t="s">
        <v>6500</v>
      </c>
      <c r="I2208" s="300"/>
      <c r="J2208" s="300"/>
      <c r="K2208" s="300"/>
      <c r="L2208" s="300"/>
      <c r="M2208" s="300"/>
      <c r="N2208" s="300"/>
      <c r="O2208" s="300"/>
      <c r="P2208" s="300"/>
      <c r="Q2208" s="300"/>
      <c r="R2208" s="300"/>
      <c r="S2208" s="300"/>
      <c r="T2208" s="300"/>
      <c r="U2208" s="300"/>
      <c r="V2208" s="300"/>
      <c r="W2208" s="300"/>
      <c r="X2208" s="300"/>
      <c r="Y2208" s="300"/>
      <c r="Z2208" s="300"/>
    </row>
    <row r="2209" spans="1:26">
      <c r="A2209" s="215" t="s">
        <v>3361</v>
      </c>
      <c r="B2209" s="207">
        <v>65</v>
      </c>
      <c r="C2209" s="215" t="s">
        <v>5482</v>
      </c>
      <c r="D2209" s="215" t="s">
        <v>11319</v>
      </c>
      <c r="E2209" s="215" t="s">
        <v>11319</v>
      </c>
      <c r="F2209" s="215" t="s">
        <v>11298</v>
      </c>
      <c r="G2209" s="215" t="s">
        <v>11299</v>
      </c>
      <c r="H2209" s="215" t="s">
        <v>6504</v>
      </c>
      <c r="I2209" s="300"/>
      <c r="J2209" s="300"/>
      <c r="K2209" s="300"/>
      <c r="L2209" s="300"/>
      <c r="M2209" s="300"/>
      <c r="N2209" s="300"/>
      <c r="O2209" s="300"/>
      <c r="P2209" s="300"/>
      <c r="Q2209" s="300"/>
      <c r="R2209" s="300"/>
      <c r="S2209" s="300"/>
      <c r="T2209" s="300"/>
      <c r="U2209" s="300"/>
      <c r="V2209" s="300"/>
      <c r="W2209" s="300"/>
      <c r="X2209" s="300"/>
      <c r="Y2209" s="300"/>
      <c r="Z2209" s="300"/>
    </row>
    <row r="2210" spans="1:26">
      <c r="A2210" s="215" t="s">
        <v>3711</v>
      </c>
      <c r="B2210" s="207">
        <v>66</v>
      </c>
      <c r="C2210" s="215" t="s">
        <v>5798</v>
      </c>
      <c r="D2210" s="215" t="s">
        <v>11320</v>
      </c>
      <c r="E2210" s="215" t="s">
        <v>11321</v>
      </c>
      <c r="F2210" s="215" t="s">
        <v>11298</v>
      </c>
      <c r="G2210" s="215" t="s">
        <v>11299</v>
      </c>
      <c r="H2210" s="215" t="s">
        <v>6497</v>
      </c>
      <c r="I2210" s="300"/>
      <c r="J2210" s="300"/>
      <c r="K2210" s="300"/>
      <c r="L2210" s="300"/>
      <c r="M2210" s="300"/>
      <c r="N2210" s="300"/>
      <c r="O2210" s="300"/>
      <c r="P2210" s="300"/>
      <c r="Q2210" s="300"/>
      <c r="R2210" s="300"/>
      <c r="S2210" s="300"/>
      <c r="T2210" s="300"/>
      <c r="U2210" s="300"/>
      <c r="V2210" s="300"/>
      <c r="W2210" s="300"/>
      <c r="X2210" s="300"/>
      <c r="Y2210" s="300"/>
      <c r="Z2210" s="300"/>
    </row>
    <row r="2211" spans="1:26">
      <c r="A2211" s="215" t="s">
        <v>3349</v>
      </c>
      <c r="B2211" s="207">
        <v>67</v>
      </c>
      <c r="C2211" s="215" t="s">
        <v>5470</v>
      </c>
      <c r="D2211" s="215" t="s">
        <v>11322</v>
      </c>
      <c r="E2211" s="215" t="s">
        <v>11323</v>
      </c>
      <c r="F2211" s="215" t="s">
        <v>11298</v>
      </c>
      <c r="G2211" s="215" t="s">
        <v>11299</v>
      </c>
      <c r="H2211" s="215" t="s">
        <v>6504</v>
      </c>
      <c r="I2211" s="300"/>
      <c r="J2211" s="300"/>
      <c r="K2211" s="300"/>
      <c r="L2211" s="300"/>
      <c r="M2211" s="300"/>
      <c r="N2211" s="300"/>
      <c r="O2211" s="300"/>
      <c r="P2211" s="300"/>
      <c r="Q2211" s="300"/>
      <c r="R2211" s="300"/>
      <c r="S2211" s="300"/>
      <c r="T2211" s="300"/>
      <c r="U2211" s="300"/>
      <c r="V2211" s="300"/>
      <c r="W2211" s="300"/>
      <c r="X2211" s="300"/>
      <c r="Y2211" s="300"/>
      <c r="Z2211" s="300"/>
    </row>
    <row r="2212" spans="1:26">
      <c r="A2212" s="215" t="s">
        <v>3162</v>
      </c>
      <c r="B2212" s="207">
        <v>68</v>
      </c>
      <c r="C2212" s="215" t="s">
        <v>5296</v>
      </c>
      <c r="D2212" s="215" t="s">
        <v>11324</v>
      </c>
      <c r="E2212" s="215" t="s">
        <v>11324</v>
      </c>
      <c r="F2212" s="215" t="s">
        <v>11298</v>
      </c>
      <c r="G2212" s="215" t="s">
        <v>11299</v>
      </c>
      <c r="H2212" s="215" t="s">
        <v>6548</v>
      </c>
      <c r="I2212" s="300"/>
      <c r="J2212" s="300"/>
      <c r="K2212" s="300"/>
      <c r="L2212" s="300"/>
      <c r="M2212" s="300"/>
      <c r="N2212" s="300"/>
      <c r="O2212" s="300"/>
      <c r="P2212" s="300"/>
      <c r="Q2212" s="300"/>
      <c r="R2212" s="300"/>
      <c r="S2212" s="300"/>
      <c r="T2212" s="300"/>
      <c r="U2212" s="300"/>
      <c r="V2212" s="300"/>
      <c r="W2212" s="300"/>
      <c r="X2212" s="300"/>
      <c r="Y2212" s="300"/>
      <c r="Z2212" s="300"/>
    </row>
    <row r="2213" spans="1:26">
      <c r="A2213" s="215" t="s">
        <v>3121</v>
      </c>
      <c r="B2213" s="207">
        <v>69</v>
      </c>
      <c r="C2213" s="215" t="s">
        <v>4812</v>
      </c>
      <c r="D2213" s="215" t="s">
        <v>11325</v>
      </c>
      <c r="E2213" s="215" t="s">
        <v>11325</v>
      </c>
      <c r="F2213" s="215" t="s">
        <v>11298</v>
      </c>
      <c r="G2213" s="215" t="s">
        <v>11299</v>
      </c>
      <c r="H2213" s="215" t="s">
        <v>6497</v>
      </c>
      <c r="I2213" s="300"/>
      <c r="J2213" s="300"/>
      <c r="K2213" s="300"/>
      <c r="L2213" s="300"/>
      <c r="M2213" s="300"/>
      <c r="N2213" s="300"/>
      <c r="O2213" s="300"/>
      <c r="P2213" s="300"/>
      <c r="Q2213" s="300"/>
      <c r="R2213" s="300"/>
      <c r="S2213" s="300"/>
      <c r="T2213" s="300"/>
      <c r="U2213" s="300"/>
      <c r="V2213" s="300"/>
      <c r="W2213" s="300"/>
      <c r="X2213" s="300"/>
      <c r="Y2213" s="300"/>
      <c r="Z2213" s="300"/>
    </row>
    <row r="2214" spans="1:26">
      <c r="A2214" s="215" t="s">
        <v>3561</v>
      </c>
      <c r="B2214" s="207">
        <v>70</v>
      </c>
      <c r="C2214" s="215" t="s">
        <v>5417</v>
      </c>
      <c r="D2214" s="215" t="s">
        <v>5613</v>
      </c>
      <c r="E2214" s="215" t="s">
        <v>11326</v>
      </c>
      <c r="F2214" s="215" t="s">
        <v>11298</v>
      </c>
      <c r="G2214" s="215" t="s">
        <v>11299</v>
      </c>
      <c r="H2214" s="215" t="s">
        <v>6500</v>
      </c>
      <c r="I2214" s="300"/>
      <c r="J2214" s="300"/>
      <c r="K2214" s="300"/>
      <c r="L2214" s="300"/>
      <c r="M2214" s="300"/>
      <c r="N2214" s="300"/>
      <c r="O2214" s="300"/>
      <c r="P2214" s="300"/>
      <c r="Q2214" s="300"/>
      <c r="R2214" s="300"/>
      <c r="S2214" s="300"/>
      <c r="T2214" s="300"/>
      <c r="U2214" s="300"/>
      <c r="V2214" s="300"/>
      <c r="W2214" s="300"/>
      <c r="X2214" s="300"/>
      <c r="Y2214" s="300"/>
      <c r="Z2214" s="300"/>
    </row>
    <row r="2215" spans="1:26">
      <c r="A2215" s="215" t="s">
        <v>3402</v>
      </c>
      <c r="B2215" s="207">
        <v>71</v>
      </c>
      <c r="C2215" s="215" t="s">
        <v>4788</v>
      </c>
      <c r="D2215" s="215" t="s">
        <v>11327</v>
      </c>
      <c r="E2215" s="215" t="s">
        <v>11327</v>
      </c>
      <c r="F2215" s="215" t="s">
        <v>11298</v>
      </c>
      <c r="G2215" s="215" t="s">
        <v>11299</v>
      </c>
      <c r="H2215" s="215" t="s">
        <v>6500</v>
      </c>
      <c r="I2215" s="300"/>
      <c r="J2215" s="300"/>
      <c r="K2215" s="300"/>
      <c r="L2215" s="300"/>
      <c r="M2215" s="300"/>
      <c r="N2215" s="300"/>
      <c r="O2215" s="300"/>
      <c r="P2215" s="300"/>
      <c r="Q2215" s="300"/>
      <c r="R2215" s="300"/>
      <c r="S2215" s="300"/>
      <c r="T2215" s="300"/>
      <c r="U2215" s="300"/>
      <c r="V2215" s="300"/>
      <c r="W2215" s="300"/>
      <c r="X2215" s="300"/>
      <c r="Y2215" s="300"/>
      <c r="Z2215" s="300"/>
    </row>
    <row r="2216" spans="1:26">
      <c r="A2216" s="215" t="s">
        <v>3506</v>
      </c>
      <c r="B2216" s="207">
        <v>72</v>
      </c>
      <c r="C2216" s="215" t="s">
        <v>5612</v>
      </c>
      <c r="D2216" s="215" t="s">
        <v>11328</v>
      </c>
      <c r="E2216" s="215" t="s">
        <v>11328</v>
      </c>
      <c r="F2216" s="215" t="s">
        <v>11298</v>
      </c>
      <c r="G2216" s="215" t="s">
        <v>11299</v>
      </c>
      <c r="H2216" s="215" t="s">
        <v>6504</v>
      </c>
      <c r="I2216" s="300"/>
      <c r="J2216" s="300"/>
      <c r="K2216" s="300"/>
      <c r="L2216" s="300"/>
      <c r="M2216" s="300"/>
      <c r="N2216" s="300"/>
      <c r="O2216" s="300"/>
      <c r="P2216" s="300"/>
      <c r="Q2216" s="300"/>
      <c r="R2216" s="300"/>
      <c r="S2216" s="300"/>
      <c r="T2216" s="300"/>
      <c r="U2216" s="300"/>
      <c r="V2216" s="300"/>
      <c r="W2216" s="300"/>
      <c r="X2216" s="300"/>
      <c r="Y2216" s="300"/>
      <c r="Z2216" s="300"/>
    </row>
    <row r="2217" spans="1:26">
      <c r="A2217" s="215" t="s">
        <v>3046</v>
      </c>
      <c r="B2217" s="207">
        <v>73</v>
      </c>
      <c r="C2217" s="215" t="s">
        <v>5181</v>
      </c>
      <c r="D2217" s="215" t="s">
        <v>11329</v>
      </c>
      <c r="E2217" s="215" t="s">
        <v>11330</v>
      </c>
      <c r="F2217" s="215" t="s">
        <v>11298</v>
      </c>
      <c r="G2217" s="215" t="s">
        <v>11299</v>
      </c>
      <c r="H2217" s="215" t="s">
        <v>6500</v>
      </c>
      <c r="I2217" s="300"/>
      <c r="J2217" s="300"/>
      <c r="K2217" s="300"/>
      <c r="L2217" s="300"/>
      <c r="M2217" s="300"/>
      <c r="N2217" s="300"/>
      <c r="O2217" s="300"/>
      <c r="P2217" s="300"/>
      <c r="Q2217" s="300"/>
      <c r="R2217" s="300"/>
      <c r="S2217" s="300"/>
      <c r="T2217" s="300"/>
      <c r="U2217" s="300"/>
      <c r="V2217" s="300"/>
      <c r="W2217" s="300"/>
      <c r="X2217" s="300"/>
      <c r="Y2217" s="300"/>
      <c r="Z2217" s="300"/>
    </row>
    <row r="2218" spans="1:26">
      <c r="A2218" s="215" t="s">
        <v>3032</v>
      </c>
      <c r="B2218" s="207">
        <v>74</v>
      </c>
      <c r="C2218" s="215" t="s">
        <v>5166</v>
      </c>
      <c r="D2218" s="215" t="s">
        <v>11331</v>
      </c>
      <c r="E2218" s="215" t="s">
        <v>11331</v>
      </c>
      <c r="F2218" s="215" t="s">
        <v>11298</v>
      </c>
      <c r="G2218" s="215" t="s">
        <v>11299</v>
      </c>
      <c r="H2218" s="215" t="s">
        <v>6521</v>
      </c>
      <c r="I2218" s="300"/>
      <c r="J2218" s="300"/>
      <c r="K2218" s="300"/>
      <c r="L2218" s="300"/>
      <c r="M2218" s="300"/>
      <c r="N2218" s="300"/>
      <c r="O2218" s="300"/>
      <c r="P2218" s="300"/>
      <c r="Q2218" s="300"/>
      <c r="R2218" s="300"/>
      <c r="S2218" s="300"/>
      <c r="T2218" s="300"/>
      <c r="U2218" s="300"/>
      <c r="V2218" s="300"/>
      <c r="W2218" s="300"/>
      <c r="X2218" s="300"/>
      <c r="Y2218" s="300"/>
      <c r="Z2218" s="300"/>
    </row>
    <row r="2219" spans="1:26">
      <c r="A2219" s="215" t="s">
        <v>3085</v>
      </c>
      <c r="B2219" s="207">
        <v>75</v>
      </c>
      <c r="C2219" s="215" t="s">
        <v>5218</v>
      </c>
      <c r="D2219" s="215" t="s">
        <v>11332</v>
      </c>
      <c r="E2219" s="215" t="s">
        <v>11332</v>
      </c>
      <c r="F2219" s="215" t="s">
        <v>11298</v>
      </c>
      <c r="G2219" s="215" t="s">
        <v>11299</v>
      </c>
      <c r="H2219" s="215" t="s">
        <v>6504</v>
      </c>
      <c r="I2219" s="300"/>
      <c r="J2219" s="300"/>
      <c r="K2219" s="300"/>
      <c r="L2219" s="300"/>
      <c r="M2219" s="300"/>
      <c r="N2219" s="300"/>
      <c r="O2219" s="300"/>
      <c r="P2219" s="300"/>
      <c r="Q2219" s="300"/>
      <c r="R2219" s="300"/>
      <c r="S2219" s="300"/>
      <c r="T2219" s="300"/>
      <c r="U2219" s="300"/>
      <c r="V2219" s="300"/>
      <c r="W2219" s="300"/>
      <c r="X2219" s="300"/>
      <c r="Y2219" s="300"/>
      <c r="Z2219" s="300"/>
    </row>
    <row r="2220" spans="1:26">
      <c r="A2220" s="215" t="s">
        <v>3214</v>
      </c>
      <c r="B2220" s="207">
        <v>700</v>
      </c>
      <c r="C2220" s="215" t="s">
        <v>5343</v>
      </c>
      <c r="D2220" s="215" t="s">
        <v>11333</v>
      </c>
      <c r="E2220" s="215" t="s">
        <v>11334</v>
      </c>
      <c r="F2220" s="215" t="s">
        <v>11298</v>
      </c>
      <c r="G2220" s="215" t="s">
        <v>11299</v>
      </c>
      <c r="H2220" s="215" t="s">
        <v>6521</v>
      </c>
      <c r="I2220" s="300"/>
      <c r="J2220" s="300"/>
      <c r="K2220" s="300"/>
      <c r="L2220" s="300"/>
      <c r="M2220" s="300"/>
      <c r="N2220" s="300"/>
      <c r="O2220" s="300"/>
      <c r="P2220" s="300"/>
      <c r="Q2220" s="300"/>
      <c r="R2220" s="300"/>
      <c r="S2220" s="300"/>
      <c r="T2220" s="300"/>
      <c r="U2220" s="300"/>
      <c r="V2220" s="300"/>
      <c r="W2220" s="300"/>
      <c r="X2220" s="300"/>
      <c r="Y2220" s="300"/>
      <c r="Z2220" s="300"/>
    </row>
    <row r="2221" spans="1:26">
      <c r="A2221" s="215" t="s">
        <v>2639</v>
      </c>
      <c r="B2221" s="207">
        <v>1688</v>
      </c>
      <c r="C2221" s="215" t="s">
        <v>4819</v>
      </c>
      <c r="D2221" s="215" t="s">
        <v>2639</v>
      </c>
      <c r="E2221" s="215" t="s">
        <v>2639</v>
      </c>
      <c r="F2221" s="215" t="s">
        <v>11298</v>
      </c>
      <c r="G2221" s="215" t="s">
        <v>11299</v>
      </c>
      <c r="H2221" s="215" t="s">
        <v>6497</v>
      </c>
      <c r="I2221" s="300"/>
      <c r="J2221" s="300"/>
      <c r="K2221" s="300"/>
      <c r="L2221" s="300"/>
      <c r="M2221" s="300"/>
      <c r="N2221" s="300"/>
      <c r="O2221" s="300"/>
      <c r="P2221" s="300"/>
      <c r="Q2221" s="300"/>
      <c r="R2221" s="300"/>
      <c r="S2221" s="300"/>
      <c r="T2221" s="300"/>
      <c r="U2221" s="300"/>
      <c r="V2221" s="300"/>
      <c r="W2221" s="300"/>
      <c r="X2221" s="300"/>
      <c r="Y2221" s="300"/>
      <c r="Z2221" s="300"/>
    </row>
    <row r="2222" spans="1:26">
      <c r="A2222" s="215" t="s">
        <v>2567</v>
      </c>
      <c r="B2222" s="207">
        <v>1689</v>
      </c>
      <c r="C2222" s="215" t="s">
        <v>4803</v>
      </c>
      <c r="D2222" s="215" t="s">
        <v>11335</v>
      </c>
      <c r="E2222" s="215" t="s">
        <v>11335</v>
      </c>
      <c r="F2222" s="215" t="s">
        <v>11298</v>
      </c>
      <c r="G2222" s="215" t="s">
        <v>11299</v>
      </c>
      <c r="H2222" s="215" t="s">
        <v>6504</v>
      </c>
      <c r="I2222" s="300"/>
      <c r="J2222" s="300"/>
      <c r="K2222" s="300"/>
      <c r="L2222" s="300"/>
      <c r="M2222" s="300"/>
      <c r="N2222" s="300"/>
      <c r="O2222" s="300"/>
      <c r="P2222" s="300"/>
      <c r="Q2222" s="300"/>
      <c r="R2222" s="300"/>
      <c r="S2222" s="300"/>
      <c r="T2222" s="300"/>
      <c r="U2222" s="300"/>
      <c r="V2222" s="300"/>
      <c r="W2222" s="300"/>
      <c r="X2222" s="300"/>
      <c r="Y2222" s="300"/>
      <c r="Z2222" s="300"/>
    </row>
    <row r="2223" spans="1:26">
      <c r="A2223" s="215" t="s">
        <v>2772</v>
      </c>
      <c r="B2223" s="207">
        <v>1691</v>
      </c>
      <c r="C2223" s="215" t="s">
        <v>4931</v>
      </c>
      <c r="D2223" s="215" t="s">
        <v>11336</v>
      </c>
      <c r="E2223" s="215" t="s">
        <v>11336</v>
      </c>
      <c r="F2223" s="215" t="s">
        <v>11298</v>
      </c>
      <c r="G2223" s="215" t="s">
        <v>11299</v>
      </c>
      <c r="H2223" s="215" t="s">
        <v>6500</v>
      </c>
      <c r="I2223" s="300"/>
      <c r="J2223" s="300"/>
      <c r="K2223" s="300"/>
      <c r="L2223" s="300"/>
      <c r="M2223" s="300"/>
      <c r="N2223" s="300"/>
      <c r="O2223" s="300"/>
      <c r="P2223" s="300"/>
      <c r="Q2223" s="300"/>
      <c r="R2223" s="300"/>
      <c r="S2223" s="300"/>
      <c r="T2223" s="300"/>
      <c r="U2223" s="300"/>
      <c r="V2223" s="300"/>
      <c r="W2223" s="300"/>
      <c r="X2223" s="300"/>
      <c r="Y2223" s="300"/>
      <c r="Z2223" s="300"/>
    </row>
    <row r="2224" spans="1:26">
      <c r="A2224" s="215" t="s">
        <v>2894</v>
      </c>
      <c r="B2224" s="207">
        <v>1692</v>
      </c>
      <c r="C2224" s="215" t="s">
        <v>5055</v>
      </c>
      <c r="D2224" s="215" t="s">
        <v>11337</v>
      </c>
      <c r="E2224" s="215" t="s">
        <v>11337</v>
      </c>
      <c r="F2224" s="215" t="s">
        <v>11298</v>
      </c>
      <c r="G2224" s="215" t="s">
        <v>11299</v>
      </c>
      <c r="H2224" s="215" t="s">
        <v>6548</v>
      </c>
      <c r="I2224" s="300"/>
      <c r="J2224" s="300"/>
      <c r="K2224" s="300"/>
      <c r="L2224" s="300"/>
      <c r="M2224" s="300"/>
      <c r="N2224" s="300"/>
      <c r="O2224" s="300"/>
      <c r="P2224" s="300"/>
      <c r="Q2224" s="300"/>
      <c r="R2224" s="300"/>
      <c r="S2224" s="300"/>
      <c r="T2224" s="300"/>
      <c r="U2224" s="300"/>
      <c r="V2224" s="300"/>
      <c r="W2224" s="300"/>
      <c r="X2224" s="300"/>
      <c r="Y2224" s="300"/>
      <c r="Z2224" s="300"/>
    </row>
    <row r="2225" spans="1:26">
      <c r="A2225" s="215" t="s">
        <v>2887</v>
      </c>
      <c r="B2225" s="207">
        <v>1693</v>
      </c>
      <c r="C2225" s="215" t="s">
        <v>5050</v>
      </c>
      <c r="D2225" s="215" t="s">
        <v>11338</v>
      </c>
      <c r="E2225" s="215" t="s">
        <v>11338</v>
      </c>
      <c r="F2225" s="215" t="s">
        <v>11298</v>
      </c>
      <c r="G2225" s="215" t="s">
        <v>11299</v>
      </c>
      <c r="H2225" s="215" t="s">
        <v>6500</v>
      </c>
      <c r="I2225" s="300"/>
      <c r="J2225" s="300"/>
      <c r="K2225" s="300"/>
      <c r="L2225" s="300"/>
      <c r="M2225" s="300"/>
      <c r="N2225" s="300"/>
      <c r="O2225" s="300"/>
      <c r="P2225" s="300"/>
      <c r="Q2225" s="300"/>
      <c r="R2225" s="300"/>
      <c r="S2225" s="300"/>
      <c r="T2225" s="300"/>
      <c r="U2225" s="300"/>
      <c r="V2225" s="300"/>
      <c r="W2225" s="300"/>
      <c r="X2225" s="300"/>
      <c r="Y2225" s="300"/>
      <c r="Z2225" s="300"/>
    </row>
    <row r="2226" spans="1:26">
      <c r="A2226" s="215" t="s">
        <v>2813</v>
      </c>
      <c r="B2226" s="207">
        <v>1694</v>
      </c>
      <c r="C2226" s="215" t="s">
        <v>4941</v>
      </c>
      <c r="D2226" s="215" t="s">
        <v>11339</v>
      </c>
      <c r="E2226" s="215" t="s">
        <v>11339</v>
      </c>
      <c r="F2226" s="215" t="s">
        <v>11298</v>
      </c>
      <c r="G2226" s="215" t="s">
        <v>11299</v>
      </c>
      <c r="H2226" s="215" t="s">
        <v>6500</v>
      </c>
      <c r="I2226" s="300"/>
      <c r="J2226" s="300"/>
      <c r="K2226" s="300"/>
      <c r="L2226" s="300"/>
      <c r="M2226" s="300"/>
      <c r="N2226" s="300"/>
      <c r="O2226" s="300"/>
      <c r="P2226" s="300"/>
      <c r="Q2226" s="300"/>
      <c r="R2226" s="300"/>
      <c r="S2226" s="300"/>
      <c r="T2226" s="300"/>
      <c r="U2226" s="300"/>
      <c r="V2226" s="300"/>
      <c r="W2226" s="300"/>
      <c r="X2226" s="300"/>
      <c r="Y2226" s="300"/>
      <c r="Z2226" s="300"/>
    </row>
    <row r="2227" spans="1:26">
      <c r="A2227" s="215" t="s">
        <v>2896</v>
      </c>
      <c r="B2227" s="207">
        <v>1695</v>
      </c>
      <c r="C2227" s="215" t="s">
        <v>5058</v>
      </c>
      <c r="D2227" s="215" t="s">
        <v>11340</v>
      </c>
      <c r="E2227" s="215" t="s">
        <v>11340</v>
      </c>
      <c r="F2227" s="215" t="s">
        <v>11298</v>
      </c>
      <c r="G2227" s="215" t="s">
        <v>11299</v>
      </c>
      <c r="H2227" s="215" t="s">
        <v>6548</v>
      </c>
      <c r="I2227" s="300"/>
      <c r="J2227" s="300"/>
      <c r="K2227" s="300"/>
      <c r="L2227" s="300"/>
      <c r="M2227" s="300"/>
      <c r="N2227" s="300"/>
      <c r="O2227" s="300"/>
      <c r="P2227" s="300"/>
      <c r="Q2227" s="300"/>
      <c r="R2227" s="300"/>
      <c r="S2227" s="300"/>
      <c r="T2227" s="300"/>
      <c r="U2227" s="300"/>
      <c r="V2227" s="300"/>
      <c r="W2227" s="300"/>
      <c r="X2227" s="300"/>
      <c r="Y2227" s="300"/>
      <c r="Z2227" s="300"/>
    </row>
    <row r="2228" spans="1:26">
      <c r="A2228" s="215" t="s">
        <v>3063</v>
      </c>
      <c r="B2228" s="207">
        <v>1698</v>
      </c>
      <c r="C2228" s="215" t="s">
        <v>5199</v>
      </c>
      <c r="D2228" s="215" t="s">
        <v>11341</v>
      </c>
      <c r="E2228" s="215" t="s">
        <v>11341</v>
      </c>
      <c r="F2228" s="215" t="s">
        <v>11298</v>
      </c>
      <c r="G2228" s="215" t="s">
        <v>11299</v>
      </c>
      <c r="H2228" s="215" t="s">
        <v>6504</v>
      </c>
      <c r="I2228" s="300"/>
      <c r="J2228" s="300"/>
      <c r="K2228" s="300"/>
      <c r="L2228" s="300"/>
      <c r="M2228" s="300"/>
      <c r="N2228" s="300"/>
      <c r="O2228" s="300"/>
      <c r="P2228" s="300"/>
      <c r="Q2228" s="300"/>
      <c r="R2228" s="300"/>
      <c r="S2228" s="300"/>
      <c r="T2228" s="300"/>
      <c r="U2228" s="300"/>
      <c r="V2228" s="300"/>
      <c r="W2228" s="300"/>
      <c r="X2228" s="300"/>
      <c r="Y2228" s="300"/>
      <c r="Z2228" s="300"/>
    </row>
    <row r="2229" spans="1:26">
      <c r="A2229" s="215" t="s">
        <v>3113</v>
      </c>
      <c r="B2229" s="207">
        <v>1701</v>
      </c>
      <c r="C2229" s="215" t="s">
        <v>5245</v>
      </c>
      <c r="D2229" s="215" t="s">
        <v>11342</v>
      </c>
      <c r="E2229" s="215" t="s">
        <v>11342</v>
      </c>
      <c r="F2229" s="215" t="s">
        <v>11298</v>
      </c>
      <c r="G2229" s="215" t="s">
        <v>11299</v>
      </c>
      <c r="H2229" s="215" t="s">
        <v>6521</v>
      </c>
      <c r="I2229" s="300"/>
      <c r="J2229" s="300"/>
      <c r="K2229" s="300"/>
      <c r="L2229" s="300"/>
      <c r="M2229" s="300"/>
      <c r="N2229" s="300"/>
      <c r="O2229" s="300"/>
      <c r="P2229" s="300"/>
      <c r="Q2229" s="300"/>
      <c r="R2229" s="300"/>
      <c r="S2229" s="300"/>
      <c r="T2229" s="300"/>
      <c r="U2229" s="300"/>
      <c r="V2229" s="300"/>
      <c r="W2229" s="300"/>
      <c r="X2229" s="300"/>
      <c r="Y2229" s="300"/>
      <c r="Z2229" s="300"/>
    </row>
    <row r="2230" spans="1:26">
      <c r="A2230" s="215" t="s">
        <v>3265</v>
      </c>
      <c r="B2230" s="207">
        <v>1703</v>
      </c>
      <c r="C2230" s="215" t="s">
        <v>5389</v>
      </c>
      <c r="D2230" s="215" t="s">
        <v>11343</v>
      </c>
      <c r="E2230" s="215" t="s">
        <v>5389</v>
      </c>
      <c r="F2230" s="215" t="s">
        <v>11298</v>
      </c>
      <c r="G2230" s="215" t="s">
        <v>11299</v>
      </c>
      <c r="H2230" s="215" t="s">
        <v>6504</v>
      </c>
      <c r="I2230" s="300"/>
      <c r="J2230" s="300"/>
      <c r="K2230" s="300"/>
      <c r="L2230" s="300"/>
      <c r="M2230" s="300"/>
      <c r="N2230" s="300"/>
      <c r="O2230" s="300"/>
      <c r="P2230" s="300"/>
      <c r="Q2230" s="300"/>
      <c r="R2230" s="300"/>
      <c r="S2230" s="300"/>
      <c r="T2230" s="300"/>
      <c r="U2230" s="300"/>
      <c r="V2230" s="300"/>
      <c r="W2230" s="300"/>
      <c r="X2230" s="300"/>
      <c r="Y2230" s="300"/>
      <c r="Z2230" s="300"/>
    </row>
    <row r="2231" spans="1:26">
      <c r="A2231" s="215" t="s">
        <v>2508</v>
      </c>
      <c r="B2231" s="207">
        <v>1713</v>
      </c>
      <c r="C2231" s="215" t="s">
        <v>4783</v>
      </c>
      <c r="D2231" s="215" t="s">
        <v>11344</v>
      </c>
      <c r="E2231" s="215" t="s">
        <v>11344</v>
      </c>
      <c r="F2231" s="215" t="s">
        <v>11298</v>
      </c>
      <c r="G2231" s="215" t="s">
        <v>11299</v>
      </c>
      <c r="H2231" s="215" t="s">
        <v>6504</v>
      </c>
      <c r="I2231" s="300"/>
      <c r="J2231" s="300"/>
      <c r="K2231" s="300"/>
      <c r="L2231" s="300"/>
      <c r="M2231" s="300"/>
      <c r="N2231" s="300"/>
      <c r="O2231" s="300"/>
      <c r="P2231" s="300"/>
      <c r="Q2231" s="300"/>
      <c r="R2231" s="300"/>
      <c r="S2231" s="300"/>
      <c r="T2231" s="300"/>
      <c r="U2231" s="300"/>
      <c r="V2231" s="300"/>
      <c r="W2231" s="300"/>
      <c r="X2231" s="300"/>
      <c r="Y2231" s="300"/>
      <c r="Z2231" s="300"/>
    </row>
    <row r="2232" spans="1:26">
      <c r="A2232" s="215" t="s">
        <v>3557</v>
      </c>
      <c r="B2232" s="207">
        <v>1714</v>
      </c>
      <c r="C2232" s="215" t="s">
        <v>5665</v>
      </c>
      <c r="D2232" s="215" t="s">
        <v>11345</v>
      </c>
      <c r="E2232" s="215" t="s">
        <v>11345</v>
      </c>
      <c r="F2232" s="215" t="s">
        <v>11298</v>
      </c>
      <c r="G2232" s="215" t="s">
        <v>11299</v>
      </c>
      <c r="H2232" s="215" t="s">
        <v>6504</v>
      </c>
      <c r="I2232" s="300"/>
      <c r="J2232" s="300"/>
      <c r="K2232" s="300"/>
      <c r="L2232" s="300"/>
      <c r="M2232" s="300"/>
      <c r="N2232" s="300"/>
      <c r="O2232" s="300"/>
      <c r="P2232" s="300"/>
      <c r="Q2232" s="300"/>
      <c r="R2232" s="300"/>
      <c r="S2232" s="300"/>
      <c r="T2232" s="300"/>
      <c r="U2232" s="300"/>
      <c r="V2232" s="300"/>
      <c r="W2232" s="300"/>
      <c r="X2232" s="300"/>
      <c r="Y2232" s="300"/>
      <c r="Z2232" s="300"/>
    </row>
    <row r="2233" spans="1:26">
      <c r="A2233" s="215" t="s">
        <v>3656</v>
      </c>
      <c r="B2233" s="207">
        <v>1715</v>
      </c>
      <c r="C2233" s="215" t="s">
        <v>4904</v>
      </c>
      <c r="D2233" s="215" t="s">
        <v>11346</v>
      </c>
      <c r="E2233" s="215" t="s">
        <v>11346</v>
      </c>
      <c r="F2233" s="215" t="s">
        <v>11298</v>
      </c>
      <c r="G2233" s="215" t="s">
        <v>11299</v>
      </c>
      <c r="H2233" s="215" t="s">
        <v>6500</v>
      </c>
      <c r="I2233" s="300"/>
      <c r="J2233" s="300"/>
      <c r="K2233" s="300"/>
      <c r="L2233" s="300"/>
      <c r="M2233" s="300"/>
      <c r="N2233" s="300"/>
      <c r="O2233" s="300"/>
      <c r="P2233" s="300"/>
      <c r="Q2233" s="300"/>
      <c r="R2233" s="300"/>
      <c r="S2233" s="300"/>
      <c r="T2233" s="300"/>
      <c r="U2233" s="300"/>
      <c r="V2233" s="300"/>
      <c r="W2233" s="300"/>
      <c r="X2233" s="300"/>
      <c r="Y2233" s="300"/>
      <c r="Z2233" s="300"/>
    </row>
    <row r="2234" spans="1:26">
      <c r="A2234" s="215" t="s">
        <v>3086</v>
      </c>
      <c r="B2234" s="207">
        <v>1716</v>
      </c>
      <c r="C2234" s="215" t="s">
        <v>5220</v>
      </c>
      <c r="D2234" s="215" t="s">
        <v>11306</v>
      </c>
      <c r="E2234" s="215" t="s">
        <v>11306</v>
      </c>
      <c r="F2234" s="215" t="s">
        <v>11298</v>
      </c>
      <c r="G2234" s="215" t="s">
        <v>11299</v>
      </c>
      <c r="H2234" s="215" t="s">
        <v>6497</v>
      </c>
      <c r="I2234" s="300"/>
      <c r="J2234" s="300"/>
      <c r="K2234" s="300"/>
      <c r="L2234" s="300"/>
      <c r="M2234" s="300"/>
      <c r="N2234" s="300"/>
      <c r="O2234" s="300"/>
      <c r="P2234" s="300"/>
      <c r="Q2234" s="300"/>
      <c r="R2234" s="300"/>
      <c r="S2234" s="300"/>
      <c r="T2234" s="300"/>
      <c r="U2234" s="300"/>
      <c r="V2234" s="300"/>
      <c r="W2234" s="300"/>
      <c r="X2234" s="300"/>
      <c r="Y2234" s="300"/>
      <c r="Z2234" s="300"/>
    </row>
    <row r="2235" spans="1:26">
      <c r="A2235" s="215" t="s">
        <v>3314</v>
      </c>
      <c r="B2235" s="207">
        <v>1717</v>
      </c>
      <c r="C2235" s="215" t="s">
        <v>5441</v>
      </c>
      <c r="D2235" s="215" t="s">
        <v>11347</v>
      </c>
      <c r="E2235" s="215" t="s">
        <v>11348</v>
      </c>
      <c r="F2235" s="215" t="s">
        <v>11298</v>
      </c>
      <c r="G2235" s="215" t="s">
        <v>11299</v>
      </c>
      <c r="H2235" s="215" t="s">
        <v>6504</v>
      </c>
      <c r="I2235" s="300"/>
      <c r="J2235" s="300"/>
      <c r="K2235" s="300"/>
      <c r="L2235" s="300"/>
      <c r="M2235" s="300"/>
      <c r="N2235" s="300"/>
      <c r="O2235" s="300"/>
      <c r="P2235" s="300"/>
      <c r="Q2235" s="300"/>
      <c r="R2235" s="300"/>
      <c r="S2235" s="300"/>
      <c r="T2235" s="300"/>
      <c r="U2235" s="300"/>
      <c r="V2235" s="300"/>
      <c r="W2235" s="300"/>
      <c r="X2235" s="300"/>
      <c r="Y2235" s="300"/>
      <c r="Z2235" s="300"/>
    </row>
    <row r="2236" spans="1:26">
      <c r="A2236" s="215" t="s">
        <v>3868</v>
      </c>
      <c r="B2236" s="207">
        <v>1718</v>
      </c>
      <c r="C2236" s="215" t="s">
        <v>5935</v>
      </c>
      <c r="D2236" s="215" t="s">
        <v>11349</v>
      </c>
      <c r="E2236" s="215" t="s">
        <v>11349</v>
      </c>
      <c r="F2236" s="215" t="s">
        <v>11298</v>
      </c>
      <c r="G2236" s="215" t="s">
        <v>11299</v>
      </c>
      <c r="H2236" s="215" t="s">
        <v>6504</v>
      </c>
      <c r="I2236" s="300"/>
      <c r="J2236" s="300"/>
      <c r="K2236" s="300"/>
      <c r="L2236" s="300"/>
      <c r="M2236" s="300"/>
      <c r="N2236" s="300"/>
      <c r="O2236" s="300"/>
      <c r="P2236" s="300"/>
      <c r="Q2236" s="300"/>
      <c r="R2236" s="300"/>
      <c r="S2236" s="300"/>
      <c r="T2236" s="300"/>
      <c r="U2236" s="300"/>
      <c r="V2236" s="300"/>
      <c r="W2236" s="300"/>
      <c r="X2236" s="300"/>
      <c r="Y2236" s="300"/>
      <c r="Z2236" s="300"/>
    </row>
    <row r="2237" spans="1:26">
      <c r="A2237" s="215" t="s">
        <v>4075</v>
      </c>
      <c r="B2237" s="207">
        <v>1719</v>
      </c>
      <c r="C2237" s="215" t="s">
        <v>6096</v>
      </c>
      <c r="D2237" s="215" t="s">
        <v>11350</v>
      </c>
      <c r="E2237" s="215" t="s">
        <v>11350</v>
      </c>
      <c r="F2237" s="215" t="s">
        <v>11298</v>
      </c>
      <c r="G2237" s="215" t="s">
        <v>11299</v>
      </c>
      <c r="H2237" s="215" t="s">
        <v>6504</v>
      </c>
      <c r="I2237" s="300"/>
      <c r="J2237" s="300"/>
      <c r="K2237" s="300"/>
      <c r="L2237" s="300"/>
      <c r="M2237" s="300"/>
      <c r="N2237" s="300"/>
      <c r="O2237" s="300"/>
      <c r="P2237" s="300"/>
      <c r="Q2237" s="300"/>
      <c r="R2237" s="300"/>
      <c r="S2237" s="300"/>
      <c r="T2237" s="300"/>
      <c r="U2237" s="300"/>
      <c r="V2237" s="300"/>
      <c r="W2237" s="300"/>
      <c r="X2237" s="300"/>
      <c r="Y2237" s="300"/>
      <c r="Z2237" s="300"/>
    </row>
    <row r="2238" spans="1:26">
      <c r="A2238" s="215" t="s">
        <v>4080</v>
      </c>
      <c r="B2238" s="207">
        <v>1720</v>
      </c>
      <c r="C2238" s="215" t="s">
        <v>6099</v>
      </c>
      <c r="D2238" s="215" t="s">
        <v>11351</v>
      </c>
      <c r="E2238" s="215" t="s">
        <v>11352</v>
      </c>
      <c r="F2238" s="215" t="s">
        <v>11298</v>
      </c>
      <c r="G2238" s="215" t="s">
        <v>11299</v>
      </c>
      <c r="H2238" s="215" t="s">
        <v>6497</v>
      </c>
      <c r="I2238" s="300"/>
      <c r="J2238" s="300"/>
      <c r="K2238" s="300"/>
      <c r="L2238" s="300"/>
      <c r="M2238" s="300"/>
      <c r="N2238" s="300"/>
      <c r="O2238" s="300"/>
      <c r="P2238" s="300"/>
      <c r="Q2238" s="300"/>
      <c r="R2238" s="300"/>
      <c r="S2238" s="300"/>
      <c r="T2238" s="300"/>
      <c r="U2238" s="300"/>
      <c r="V2238" s="300"/>
      <c r="W2238" s="300"/>
      <c r="X2238" s="300"/>
      <c r="Y2238" s="300"/>
      <c r="Z2238" s="300"/>
    </row>
    <row r="2239" spans="1:26">
      <c r="A2239" s="215" t="s">
        <v>4188</v>
      </c>
      <c r="B2239" s="207">
        <v>1721</v>
      </c>
      <c r="C2239" s="215" t="s">
        <v>6174</v>
      </c>
      <c r="D2239" s="215" t="s">
        <v>11353</v>
      </c>
      <c r="E2239" s="215" t="s">
        <v>11354</v>
      </c>
      <c r="F2239" s="215" t="s">
        <v>11298</v>
      </c>
      <c r="G2239" s="215" t="s">
        <v>11299</v>
      </c>
      <c r="H2239" s="215" t="s">
        <v>6504</v>
      </c>
      <c r="I2239" s="300"/>
      <c r="J2239" s="300"/>
      <c r="K2239" s="300"/>
      <c r="L2239" s="300"/>
      <c r="M2239" s="300"/>
      <c r="N2239" s="300"/>
      <c r="O2239" s="300"/>
      <c r="P2239" s="300"/>
      <c r="Q2239" s="300"/>
      <c r="R2239" s="300"/>
      <c r="S2239" s="300"/>
      <c r="T2239" s="300"/>
      <c r="U2239" s="300"/>
      <c r="V2239" s="300"/>
      <c r="W2239" s="300"/>
      <c r="X2239" s="300"/>
      <c r="Y2239" s="300"/>
      <c r="Z2239" s="300"/>
    </row>
    <row r="2240" spans="1:26">
      <c r="A2240" s="215" t="s">
        <v>4270</v>
      </c>
      <c r="B2240" s="207">
        <v>1722</v>
      </c>
      <c r="C2240" s="215" t="s">
        <v>6236</v>
      </c>
      <c r="D2240" s="215" t="s">
        <v>11355</v>
      </c>
      <c r="E2240" s="215" t="s">
        <v>11356</v>
      </c>
      <c r="F2240" s="215" t="s">
        <v>11298</v>
      </c>
      <c r="G2240" s="215" t="s">
        <v>11299</v>
      </c>
      <c r="H2240" s="215" t="s">
        <v>6497</v>
      </c>
      <c r="I2240" s="300"/>
      <c r="J2240" s="300"/>
      <c r="K2240" s="300"/>
      <c r="L2240" s="300"/>
      <c r="M2240" s="300"/>
      <c r="N2240" s="300"/>
      <c r="O2240" s="300"/>
      <c r="P2240" s="300"/>
      <c r="Q2240" s="300"/>
      <c r="R2240" s="300"/>
      <c r="S2240" s="300"/>
      <c r="T2240" s="300"/>
      <c r="U2240" s="300"/>
      <c r="V2240" s="300"/>
      <c r="W2240" s="300"/>
      <c r="X2240" s="300"/>
      <c r="Y2240" s="300"/>
      <c r="Z2240" s="300"/>
    </row>
    <row r="2241" spans="1:26">
      <c r="A2241" s="215" t="s">
        <v>4226</v>
      </c>
      <c r="B2241" s="207">
        <v>1723</v>
      </c>
      <c r="C2241" s="215" t="s">
        <v>6205</v>
      </c>
      <c r="D2241" s="215" t="s">
        <v>11357</v>
      </c>
      <c r="E2241" s="215" t="s">
        <v>11358</v>
      </c>
      <c r="F2241" s="215" t="s">
        <v>11298</v>
      </c>
      <c r="G2241" s="215" t="s">
        <v>11299</v>
      </c>
      <c r="H2241" s="215" t="s">
        <v>6504</v>
      </c>
      <c r="I2241" s="300"/>
      <c r="J2241" s="300"/>
      <c r="K2241" s="300"/>
      <c r="L2241" s="300"/>
      <c r="M2241" s="300"/>
      <c r="N2241" s="300"/>
      <c r="O2241" s="300"/>
      <c r="P2241" s="300"/>
      <c r="Q2241" s="300"/>
      <c r="R2241" s="300"/>
      <c r="S2241" s="300"/>
      <c r="T2241" s="300"/>
      <c r="U2241" s="300"/>
      <c r="V2241" s="300"/>
      <c r="W2241" s="300"/>
      <c r="X2241" s="300"/>
      <c r="Y2241" s="300"/>
      <c r="Z2241" s="300"/>
    </row>
    <row r="2242" spans="1:26">
      <c r="A2242" s="215" t="s">
        <v>3362</v>
      </c>
      <c r="B2242" s="207">
        <v>1724</v>
      </c>
      <c r="C2242" s="215" t="s">
        <v>5484</v>
      </c>
      <c r="D2242" s="215" t="s">
        <v>11359</v>
      </c>
      <c r="E2242" s="215" t="s">
        <v>11359</v>
      </c>
      <c r="F2242" s="215" t="s">
        <v>11298</v>
      </c>
      <c r="G2242" s="215" t="s">
        <v>11299</v>
      </c>
      <c r="H2242" s="215" t="s">
        <v>6497</v>
      </c>
      <c r="I2242" s="300"/>
      <c r="J2242" s="300"/>
      <c r="K2242" s="300"/>
      <c r="L2242" s="300"/>
      <c r="M2242" s="300"/>
      <c r="N2242" s="300"/>
      <c r="O2242" s="300"/>
      <c r="P2242" s="300"/>
      <c r="Q2242" s="300"/>
      <c r="R2242" s="300"/>
      <c r="S2242" s="300"/>
      <c r="T2242" s="300"/>
      <c r="U2242" s="300"/>
      <c r="V2242" s="300"/>
      <c r="W2242" s="300"/>
      <c r="X2242" s="300"/>
      <c r="Y2242" s="300"/>
      <c r="Z2242" s="300"/>
    </row>
    <row r="2243" spans="1:26">
      <c r="A2243" s="215" t="s">
        <v>4278</v>
      </c>
      <c r="B2243" s="207">
        <v>1725</v>
      </c>
      <c r="C2243" s="215" t="s">
        <v>6243</v>
      </c>
      <c r="D2243" s="215" t="s">
        <v>11360</v>
      </c>
      <c r="E2243" s="215" t="s">
        <v>11360</v>
      </c>
      <c r="F2243" s="215" t="s">
        <v>11298</v>
      </c>
      <c r="G2243" s="215" t="s">
        <v>11299</v>
      </c>
      <c r="H2243" s="215" t="s">
        <v>6504</v>
      </c>
      <c r="I2243" s="300"/>
      <c r="J2243" s="300"/>
      <c r="K2243" s="300"/>
      <c r="L2243" s="300"/>
      <c r="M2243" s="300"/>
      <c r="N2243" s="300"/>
      <c r="O2243" s="300"/>
      <c r="P2243" s="300"/>
      <c r="Q2243" s="300"/>
      <c r="R2243" s="300"/>
      <c r="S2243" s="300"/>
      <c r="T2243" s="300"/>
      <c r="U2243" s="300"/>
      <c r="V2243" s="300"/>
      <c r="W2243" s="300"/>
      <c r="X2243" s="300"/>
      <c r="Y2243" s="300"/>
      <c r="Z2243" s="300"/>
    </row>
    <row r="2244" spans="1:26">
      <c r="A2244" s="215" t="s">
        <v>11361</v>
      </c>
      <c r="B2244" s="207">
        <v>1726</v>
      </c>
      <c r="C2244" s="215" t="s">
        <v>6029</v>
      </c>
      <c r="D2244" s="215" t="s">
        <v>11362</v>
      </c>
      <c r="E2244" s="215" t="s">
        <v>11362</v>
      </c>
      <c r="F2244" s="215" t="s">
        <v>11298</v>
      </c>
      <c r="G2244" s="215" t="s">
        <v>11299</v>
      </c>
      <c r="H2244" s="215" t="s">
        <v>6500</v>
      </c>
      <c r="I2244" s="300"/>
      <c r="J2244" s="300"/>
      <c r="K2244" s="300"/>
      <c r="L2244" s="300"/>
      <c r="M2244" s="300"/>
      <c r="N2244" s="300"/>
      <c r="O2244" s="300"/>
      <c r="P2244" s="300"/>
      <c r="Q2244" s="300"/>
      <c r="R2244" s="300"/>
      <c r="S2244" s="300"/>
      <c r="T2244" s="300"/>
      <c r="U2244" s="300"/>
      <c r="V2244" s="300"/>
      <c r="W2244" s="300"/>
      <c r="X2244" s="300"/>
      <c r="Y2244" s="300"/>
      <c r="Z2244" s="300"/>
    </row>
    <row r="2245" spans="1:26">
      <c r="A2245" s="215" t="s">
        <v>4196</v>
      </c>
      <c r="B2245" s="207">
        <v>1727</v>
      </c>
      <c r="C2245" s="215" t="s">
        <v>6181</v>
      </c>
      <c r="D2245" s="215" t="s">
        <v>11363</v>
      </c>
      <c r="E2245" s="215" t="s">
        <v>11363</v>
      </c>
      <c r="F2245" s="215" t="s">
        <v>11298</v>
      </c>
      <c r="G2245" s="215" t="s">
        <v>11299</v>
      </c>
      <c r="H2245" s="215" t="s">
        <v>6504</v>
      </c>
      <c r="I2245" s="300"/>
      <c r="J2245" s="300"/>
      <c r="K2245" s="300"/>
      <c r="L2245" s="300"/>
      <c r="M2245" s="300"/>
      <c r="N2245" s="300"/>
      <c r="O2245" s="300"/>
      <c r="P2245" s="300"/>
      <c r="Q2245" s="300"/>
      <c r="R2245" s="300"/>
      <c r="S2245" s="300"/>
      <c r="T2245" s="300"/>
      <c r="U2245" s="300"/>
      <c r="V2245" s="300"/>
      <c r="W2245" s="300"/>
      <c r="X2245" s="300"/>
      <c r="Y2245" s="300"/>
      <c r="Z2245" s="300"/>
    </row>
    <row r="2246" spans="1:26">
      <c r="A2246" s="215" t="s">
        <v>4231</v>
      </c>
      <c r="B2246" s="207">
        <v>1728</v>
      </c>
      <c r="C2246" s="215" t="s">
        <v>6208</v>
      </c>
      <c r="D2246" s="215" t="s">
        <v>11364</v>
      </c>
      <c r="E2246" s="215" t="s">
        <v>11364</v>
      </c>
      <c r="F2246" s="215" t="s">
        <v>11298</v>
      </c>
      <c r="G2246" s="215" t="s">
        <v>11299</v>
      </c>
      <c r="H2246" s="215" t="s">
        <v>6504</v>
      </c>
      <c r="I2246" s="300"/>
      <c r="J2246" s="300"/>
      <c r="K2246" s="300"/>
      <c r="L2246" s="300"/>
      <c r="M2246" s="300"/>
      <c r="N2246" s="300"/>
      <c r="O2246" s="300"/>
      <c r="P2246" s="300"/>
      <c r="Q2246" s="300"/>
      <c r="R2246" s="300"/>
      <c r="S2246" s="300"/>
      <c r="T2246" s="300"/>
      <c r="U2246" s="300"/>
      <c r="V2246" s="300"/>
      <c r="W2246" s="300"/>
      <c r="X2246" s="300"/>
      <c r="Y2246" s="300"/>
      <c r="Z2246" s="300"/>
    </row>
    <row r="2247" spans="1:26">
      <c r="A2247" s="215" t="s">
        <v>4202</v>
      </c>
      <c r="B2247" s="207">
        <v>1729</v>
      </c>
      <c r="C2247" s="215" t="s">
        <v>6186</v>
      </c>
      <c r="D2247" s="215" t="s">
        <v>11365</v>
      </c>
      <c r="E2247" s="215" t="s">
        <v>11365</v>
      </c>
      <c r="F2247" s="215" t="s">
        <v>11298</v>
      </c>
      <c r="G2247" s="215" t="s">
        <v>11299</v>
      </c>
      <c r="H2247" s="215" t="s">
        <v>6504</v>
      </c>
      <c r="I2247" s="300"/>
      <c r="J2247" s="300"/>
      <c r="K2247" s="300"/>
      <c r="L2247" s="300"/>
      <c r="M2247" s="300"/>
      <c r="N2247" s="300"/>
      <c r="O2247" s="300"/>
      <c r="P2247" s="300"/>
      <c r="Q2247" s="300"/>
      <c r="R2247" s="300"/>
      <c r="S2247" s="300"/>
      <c r="T2247" s="300"/>
      <c r="U2247" s="300"/>
      <c r="V2247" s="300"/>
      <c r="W2247" s="300"/>
      <c r="X2247" s="300"/>
      <c r="Y2247" s="300"/>
      <c r="Z2247" s="300"/>
    </row>
    <row r="2248" spans="1:26">
      <c r="A2248" s="215" t="s">
        <v>4432</v>
      </c>
      <c r="B2248" s="207">
        <v>1730</v>
      </c>
      <c r="C2248" s="215" t="s">
        <v>6364</v>
      </c>
      <c r="D2248" s="215" t="s">
        <v>11366</v>
      </c>
      <c r="E2248" s="215" t="s">
        <v>11366</v>
      </c>
      <c r="F2248" s="215" t="s">
        <v>11298</v>
      </c>
      <c r="G2248" s="215" t="s">
        <v>11299</v>
      </c>
      <c r="H2248" s="215" t="s">
        <v>6497</v>
      </c>
      <c r="I2248" s="300"/>
      <c r="J2248" s="300"/>
      <c r="K2248" s="300"/>
      <c r="L2248" s="300"/>
      <c r="M2248" s="300"/>
      <c r="N2248" s="300"/>
      <c r="O2248" s="300"/>
      <c r="P2248" s="300"/>
      <c r="Q2248" s="300"/>
      <c r="R2248" s="300"/>
      <c r="S2248" s="300"/>
      <c r="T2248" s="300"/>
      <c r="U2248" s="300"/>
      <c r="V2248" s="300"/>
      <c r="W2248" s="300"/>
      <c r="X2248" s="300"/>
      <c r="Y2248" s="300"/>
      <c r="Z2248" s="300"/>
    </row>
    <row r="2249" spans="1:26">
      <c r="A2249" s="215" t="s">
        <v>4445</v>
      </c>
      <c r="B2249" s="207">
        <v>1731</v>
      </c>
      <c r="C2249" s="215" t="s">
        <v>6378</v>
      </c>
      <c r="D2249" s="215" t="s">
        <v>11367</v>
      </c>
      <c r="E2249" s="215" t="s">
        <v>11368</v>
      </c>
      <c r="F2249" s="215" t="s">
        <v>11298</v>
      </c>
      <c r="G2249" s="215" t="s">
        <v>11299</v>
      </c>
      <c r="H2249" s="215" t="s">
        <v>6504</v>
      </c>
      <c r="I2249" s="300"/>
      <c r="J2249" s="300"/>
      <c r="K2249" s="300"/>
      <c r="L2249" s="300"/>
      <c r="M2249" s="300"/>
      <c r="N2249" s="300"/>
      <c r="O2249" s="300"/>
      <c r="P2249" s="300"/>
      <c r="Q2249" s="300"/>
      <c r="R2249" s="300"/>
      <c r="S2249" s="300"/>
      <c r="T2249" s="300"/>
      <c r="U2249" s="300"/>
      <c r="V2249" s="300"/>
      <c r="W2249" s="300"/>
      <c r="X2249" s="300"/>
      <c r="Y2249" s="300"/>
      <c r="Z2249" s="300"/>
    </row>
    <row r="2250" spans="1:26">
      <c r="A2250" s="215" t="s">
        <v>4467</v>
      </c>
      <c r="B2250" s="207">
        <v>1732</v>
      </c>
      <c r="C2250" s="215" t="s">
        <v>6395</v>
      </c>
      <c r="D2250" s="215" t="s">
        <v>11369</v>
      </c>
      <c r="E2250" s="215" t="s">
        <v>11369</v>
      </c>
      <c r="F2250" s="215" t="s">
        <v>11298</v>
      </c>
      <c r="G2250" s="215" t="s">
        <v>11299</v>
      </c>
      <c r="H2250" s="215" t="s">
        <v>6497</v>
      </c>
      <c r="I2250" s="300"/>
      <c r="J2250" s="300"/>
      <c r="K2250" s="300"/>
      <c r="L2250" s="300"/>
      <c r="M2250" s="300"/>
      <c r="N2250" s="300"/>
      <c r="O2250" s="300"/>
      <c r="P2250" s="300"/>
      <c r="Q2250" s="300"/>
      <c r="R2250" s="300"/>
      <c r="S2250" s="300"/>
      <c r="T2250" s="300"/>
      <c r="U2250" s="300"/>
      <c r="V2250" s="300"/>
      <c r="W2250" s="300"/>
      <c r="X2250" s="300"/>
      <c r="Y2250" s="300"/>
      <c r="Z2250" s="300"/>
    </row>
    <row r="2251" spans="1:26">
      <c r="A2251" s="215" t="s">
        <v>3132</v>
      </c>
      <c r="B2251" s="207">
        <v>1734</v>
      </c>
      <c r="C2251" s="215" t="s">
        <v>11370</v>
      </c>
      <c r="D2251" s="215" t="s">
        <v>11371</v>
      </c>
      <c r="E2251" s="215" t="s">
        <v>11372</v>
      </c>
      <c r="F2251" s="215" t="s">
        <v>11298</v>
      </c>
      <c r="G2251" s="215" t="s">
        <v>11299</v>
      </c>
      <c r="H2251" s="215" t="s">
        <v>6497</v>
      </c>
      <c r="I2251" s="300"/>
      <c r="J2251" s="300"/>
      <c r="K2251" s="300"/>
      <c r="L2251" s="300"/>
      <c r="M2251" s="300"/>
      <c r="N2251" s="300"/>
      <c r="O2251" s="300"/>
      <c r="P2251" s="300"/>
      <c r="Q2251" s="300"/>
      <c r="R2251" s="300"/>
      <c r="S2251" s="300"/>
      <c r="T2251" s="300"/>
      <c r="U2251" s="300"/>
      <c r="V2251" s="300"/>
      <c r="W2251" s="300"/>
      <c r="X2251" s="300"/>
      <c r="Y2251" s="300"/>
      <c r="Z2251" s="300"/>
    </row>
    <row r="2252" spans="1:26">
      <c r="A2252" s="215" t="s">
        <v>4568</v>
      </c>
      <c r="B2252" s="207">
        <v>1735</v>
      </c>
      <c r="C2252" s="215" t="s">
        <v>5256</v>
      </c>
      <c r="D2252" s="215" t="s">
        <v>11373</v>
      </c>
      <c r="E2252" s="215" t="s">
        <v>11373</v>
      </c>
      <c r="F2252" s="215" t="s">
        <v>11298</v>
      </c>
      <c r="G2252" s="215" t="s">
        <v>11299</v>
      </c>
      <c r="H2252" s="215" t="s">
        <v>6497</v>
      </c>
      <c r="I2252" s="300"/>
      <c r="J2252" s="300"/>
      <c r="K2252" s="300"/>
      <c r="L2252" s="300"/>
      <c r="M2252" s="300"/>
      <c r="N2252" s="300"/>
      <c r="O2252" s="300"/>
      <c r="P2252" s="300"/>
      <c r="Q2252" s="300"/>
      <c r="R2252" s="300"/>
      <c r="S2252" s="300"/>
      <c r="T2252" s="300"/>
      <c r="U2252" s="300"/>
      <c r="V2252" s="300"/>
      <c r="W2252" s="300"/>
      <c r="X2252" s="300"/>
      <c r="Y2252" s="300"/>
      <c r="Z2252" s="300"/>
    </row>
    <row r="2253" spans="1:26">
      <c r="A2253" s="215" t="s">
        <v>3609</v>
      </c>
      <c r="B2253" s="207">
        <v>1736</v>
      </c>
      <c r="C2253" s="215" t="s">
        <v>5709</v>
      </c>
      <c r="D2253" s="215" t="s">
        <v>11374</v>
      </c>
      <c r="E2253" s="215" t="s">
        <v>11375</v>
      </c>
      <c r="F2253" s="215" t="s">
        <v>11298</v>
      </c>
      <c r="G2253" s="215" t="s">
        <v>11299</v>
      </c>
      <c r="H2253" s="215" t="s">
        <v>6504</v>
      </c>
      <c r="I2253" s="300"/>
      <c r="J2253" s="300"/>
      <c r="K2253" s="300"/>
      <c r="L2253" s="300"/>
      <c r="M2253" s="300"/>
      <c r="N2253" s="300"/>
      <c r="O2253" s="300"/>
      <c r="P2253" s="300"/>
      <c r="Q2253" s="300"/>
      <c r="R2253" s="300"/>
      <c r="S2253" s="300"/>
      <c r="T2253" s="300"/>
      <c r="U2253" s="300"/>
      <c r="V2253" s="300"/>
      <c r="W2253" s="300"/>
      <c r="X2253" s="300"/>
      <c r="Y2253" s="300"/>
      <c r="Z2253" s="300"/>
    </row>
    <row r="2254" spans="1:26">
      <c r="A2254" s="215" t="s">
        <v>3558</v>
      </c>
      <c r="B2254" s="207">
        <v>1737</v>
      </c>
      <c r="C2254" s="215" t="s">
        <v>5666</v>
      </c>
      <c r="D2254" s="215" t="s">
        <v>11376</v>
      </c>
      <c r="E2254" s="215" t="s">
        <v>11377</v>
      </c>
      <c r="F2254" s="215" t="s">
        <v>11298</v>
      </c>
      <c r="G2254" s="215" t="s">
        <v>11299</v>
      </c>
      <c r="H2254" s="215" t="s">
        <v>6500</v>
      </c>
      <c r="I2254" s="300"/>
      <c r="J2254" s="300"/>
      <c r="K2254" s="300"/>
      <c r="L2254" s="300"/>
      <c r="M2254" s="300"/>
      <c r="N2254" s="300"/>
      <c r="O2254" s="300"/>
      <c r="P2254" s="300"/>
      <c r="Q2254" s="300"/>
      <c r="R2254" s="300"/>
      <c r="S2254" s="300"/>
      <c r="T2254" s="300"/>
      <c r="U2254" s="300"/>
      <c r="V2254" s="300"/>
      <c r="W2254" s="300"/>
      <c r="X2254" s="300"/>
      <c r="Y2254" s="300"/>
      <c r="Z2254" s="300"/>
    </row>
    <row r="2255" spans="1:26">
      <c r="A2255" s="215" t="s">
        <v>4237</v>
      </c>
      <c r="B2255" s="207">
        <v>1738</v>
      </c>
      <c r="C2255" s="215" t="s">
        <v>6213</v>
      </c>
      <c r="D2255" s="215" t="s">
        <v>11378</v>
      </c>
      <c r="E2255" s="215" t="s">
        <v>11378</v>
      </c>
      <c r="F2255" s="215" t="s">
        <v>11298</v>
      </c>
      <c r="G2255" s="215" t="s">
        <v>11299</v>
      </c>
      <c r="H2255" s="215" t="s">
        <v>6548</v>
      </c>
      <c r="I2255" s="300"/>
      <c r="J2255" s="300"/>
      <c r="K2255" s="300"/>
      <c r="L2255" s="300"/>
      <c r="M2255" s="300"/>
      <c r="N2255" s="300"/>
      <c r="O2255" s="300"/>
      <c r="P2255" s="300"/>
      <c r="Q2255" s="300"/>
      <c r="R2255" s="300"/>
      <c r="S2255" s="300"/>
      <c r="T2255" s="300"/>
      <c r="U2255" s="300"/>
      <c r="V2255" s="300"/>
      <c r="W2255" s="300"/>
      <c r="X2255" s="300"/>
      <c r="Y2255" s="300"/>
      <c r="Z2255" s="300"/>
    </row>
    <row r="2256" spans="1:26">
      <c r="A2256" s="215" t="s">
        <v>4160</v>
      </c>
      <c r="B2256" s="207">
        <v>1740</v>
      </c>
      <c r="C2256" s="215" t="s">
        <v>6148</v>
      </c>
      <c r="D2256" s="215" t="s">
        <v>11379</v>
      </c>
      <c r="E2256" s="215" t="s">
        <v>11379</v>
      </c>
      <c r="F2256" s="215" t="s">
        <v>11298</v>
      </c>
      <c r="G2256" s="215" t="s">
        <v>11299</v>
      </c>
      <c r="H2256" s="215" t="s">
        <v>6497</v>
      </c>
      <c r="I2256" s="300"/>
      <c r="J2256" s="300"/>
      <c r="K2256" s="300"/>
      <c r="L2256" s="300"/>
      <c r="M2256" s="300"/>
      <c r="N2256" s="300"/>
      <c r="O2256" s="300"/>
      <c r="P2256" s="300"/>
      <c r="Q2256" s="300"/>
      <c r="R2256" s="300"/>
      <c r="S2256" s="300"/>
      <c r="T2256" s="300"/>
      <c r="U2256" s="300"/>
      <c r="V2256" s="300"/>
      <c r="W2256" s="300"/>
      <c r="X2256" s="300"/>
      <c r="Y2256" s="300"/>
      <c r="Z2256" s="300"/>
    </row>
    <row r="2257" spans="1:26">
      <c r="A2257" s="215" t="s">
        <v>3767</v>
      </c>
      <c r="B2257" s="207">
        <v>1741</v>
      </c>
      <c r="C2257" s="215" t="s">
        <v>5844</v>
      </c>
      <c r="D2257" s="215" t="s">
        <v>11380</v>
      </c>
      <c r="E2257" s="215" t="s">
        <v>11381</v>
      </c>
      <c r="F2257" s="215" t="s">
        <v>11298</v>
      </c>
      <c r="G2257" s="215" t="s">
        <v>11299</v>
      </c>
      <c r="H2257" s="215" t="s">
        <v>6504</v>
      </c>
      <c r="I2257" s="300"/>
      <c r="J2257" s="300"/>
      <c r="K2257" s="300"/>
      <c r="L2257" s="300"/>
      <c r="M2257" s="300"/>
      <c r="N2257" s="300"/>
      <c r="O2257" s="300"/>
      <c r="P2257" s="300"/>
      <c r="Q2257" s="300"/>
      <c r="R2257" s="300"/>
      <c r="S2257" s="300"/>
      <c r="T2257" s="300"/>
      <c r="U2257" s="300"/>
      <c r="V2257" s="300"/>
      <c r="W2257" s="300"/>
      <c r="X2257" s="300"/>
      <c r="Y2257" s="300"/>
      <c r="Z2257" s="300"/>
    </row>
    <row r="2258" spans="1:26">
      <c r="A2258" s="215" t="s">
        <v>4117</v>
      </c>
      <c r="B2258" s="207">
        <v>1296</v>
      </c>
      <c r="C2258" s="215" t="s">
        <v>6116</v>
      </c>
      <c r="D2258" s="215" t="s">
        <v>11382</v>
      </c>
      <c r="E2258" s="215" t="s">
        <v>11383</v>
      </c>
      <c r="F2258" s="215" t="s">
        <v>11384</v>
      </c>
      <c r="G2258" s="215" t="s">
        <v>11385</v>
      </c>
      <c r="H2258" s="215" t="s">
        <v>6521</v>
      </c>
      <c r="I2258" s="300"/>
      <c r="J2258" s="300"/>
      <c r="K2258" s="300"/>
      <c r="L2258" s="300"/>
      <c r="M2258" s="300"/>
      <c r="N2258" s="300"/>
      <c r="O2258" s="300"/>
      <c r="P2258" s="300"/>
      <c r="Q2258" s="300"/>
      <c r="R2258" s="300"/>
      <c r="S2258" s="300"/>
      <c r="T2258" s="300"/>
      <c r="U2258" s="300"/>
      <c r="V2258" s="300"/>
      <c r="W2258" s="300"/>
      <c r="X2258" s="300"/>
      <c r="Y2258" s="300"/>
      <c r="Z2258" s="300"/>
    </row>
    <row r="2259" spans="1:26">
      <c r="A2259" s="215" t="s">
        <v>3111</v>
      </c>
      <c r="B2259" s="207">
        <v>1297</v>
      </c>
      <c r="C2259" s="215" t="s">
        <v>5243</v>
      </c>
      <c r="D2259" s="215" t="s">
        <v>11386</v>
      </c>
      <c r="E2259" s="215" t="s">
        <v>11387</v>
      </c>
      <c r="F2259" s="215" t="s">
        <v>11384</v>
      </c>
      <c r="G2259" s="215" t="s">
        <v>11385</v>
      </c>
      <c r="H2259" s="215" t="s">
        <v>6521</v>
      </c>
      <c r="I2259" s="300"/>
      <c r="J2259" s="300"/>
      <c r="K2259" s="300"/>
      <c r="L2259" s="300"/>
      <c r="M2259" s="300"/>
      <c r="N2259" s="300"/>
      <c r="O2259" s="300"/>
      <c r="P2259" s="300"/>
      <c r="Q2259" s="300"/>
      <c r="R2259" s="300"/>
      <c r="S2259" s="300"/>
      <c r="T2259" s="300"/>
      <c r="U2259" s="300"/>
      <c r="V2259" s="300"/>
      <c r="W2259" s="300"/>
      <c r="X2259" s="300"/>
      <c r="Y2259" s="300"/>
      <c r="Z2259" s="300"/>
    </row>
    <row r="2260" spans="1:26">
      <c r="A2260" s="215" t="s">
        <v>3458</v>
      </c>
      <c r="B2260" s="207">
        <v>1298</v>
      </c>
      <c r="C2260" s="215" t="s">
        <v>5574</v>
      </c>
      <c r="D2260" s="215" t="s">
        <v>11388</v>
      </c>
      <c r="E2260" s="215" t="s">
        <v>11389</v>
      </c>
      <c r="F2260" s="215" t="s">
        <v>11384</v>
      </c>
      <c r="G2260" s="215" t="s">
        <v>11385</v>
      </c>
      <c r="H2260" s="215" t="s">
        <v>6521</v>
      </c>
      <c r="I2260" s="300"/>
      <c r="J2260" s="300"/>
      <c r="K2260" s="300"/>
      <c r="L2260" s="300"/>
      <c r="M2260" s="300"/>
      <c r="N2260" s="300"/>
      <c r="O2260" s="300"/>
      <c r="P2260" s="300"/>
      <c r="Q2260" s="300"/>
      <c r="R2260" s="300"/>
      <c r="S2260" s="300"/>
      <c r="T2260" s="300"/>
      <c r="U2260" s="300"/>
      <c r="V2260" s="300"/>
      <c r="W2260" s="300"/>
      <c r="X2260" s="300"/>
      <c r="Y2260" s="300"/>
      <c r="Z2260" s="300"/>
    </row>
    <row r="2261" spans="1:26">
      <c r="A2261" s="215" t="s">
        <v>3635</v>
      </c>
      <c r="B2261" s="207">
        <v>1299</v>
      </c>
      <c r="C2261" s="215" t="s">
        <v>5731</v>
      </c>
      <c r="D2261" s="215" t="s">
        <v>11390</v>
      </c>
      <c r="E2261" s="215" t="s">
        <v>11390</v>
      </c>
      <c r="F2261" s="215" t="s">
        <v>11384</v>
      </c>
      <c r="G2261" s="215" t="s">
        <v>11385</v>
      </c>
      <c r="H2261" s="215" t="s">
        <v>6497</v>
      </c>
      <c r="I2261" s="300"/>
      <c r="J2261" s="300"/>
      <c r="K2261" s="300"/>
      <c r="L2261" s="300"/>
      <c r="M2261" s="300"/>
      <c r="N2261" s="300"/>
      <c r="O2261" s="300"/>
      <c r="P2261" s="300"/>
      <c r="Q2261" s="300"/>
      <c r="R2261" s="300"/>
      <c r="S2261" s="300"/>
      <c r="T2261" s="300"/>
      <c r="U2261" s="300"/>
      <c r="V2261" s="300"/>
      <c r="W2261" s="300"/>
      <c r="X2261" s="300"/>
      <c r="Y2261" s="300"/>
      <c r="Z2261" s="300"/>
    </row>
    <row r="2262" spans="1:26">
      <c r="A2262" s="215" t="s">
        <v>3177</v>
      </c>
      <c r="B2262" s="207">
        <v>1300</v>
      </c>
      <c r="C2262" s="215" t="s">
        <v>5311</v>
      </c>
      <c r="D2262" s="215" t="s">
        <v>11391</v>
      </c>
      <c r="E2262" s="215" t="s">
        <v>11391</v>
      </c>
      <c r="F2262" s="215" t="s">
        <v>11384</v>
      </c>
      <c r="G2262" s="215" t="s">
        <v>11385</v>
      </c>
      <c r="H2262" s="215" t="s">
        <v>6521</v>
      </c>
      <c r="I2262" s="300"/>
      <c r="J2262" s="300"/>
      <c r="K2262" s="300"/>
      <c r="L2262" s="300"/>
      <c r="M2262" s="300"/>
      <c r="N2262" s="300"/>
      <c r="O2262" s="300"/>
      <c r="P2262" s="300"/>
      <c r="Q2262" s="300"/>
      <c r="R2262" s="300"/>
      <c r="S2262" s="300"/>
      <c r="T2262" s="300"/>
      <c r="U2262" s="300"/>
      <c r="V2262" s="300"/>
      <c r="W2262" s="300"/>
      <c r="X2262" s="300"/>
      <c r="Y2262" s="300"/>
      <c r="Z2262" s="300"/>
    </row>
    <row r="2263" spans="1:26">
      <c r="A2263" s="215" t="s">
        <v>2769</v>
      </c>
      <c r="B2263" s="207">
        <v>1301</v>
      </c>
      <c r="C2263" s="215" t="s">
        <v>4928</v>
      </c>
      <c r="D2263" s="215" t="s">
        <v>11392</v>
      </c>
      <c r="E2263" s="215" t="s">
        <v>11393</v>
      </c>
      <c r="F2263" s="215" t="s">
        <v>11384</v>
      </c>
      <c r="G2263" s="215" t="s">
        <v>11385</v>
      </c>
      <c r="H2263" s="215" t="s">
        <v>6521</v>
      </c>
      <c r="I2263" s="300"/>
      <c r="J2263" s="300"/>
      <c r="K2263" s="300"/>
      <c r="L2263" s="300"/>
      <c r="M2263" s="300"/>
      <c r="N2263" s="300"/>
      <c r="O2263" s="300"/>
      <c r="P2263" s="300"/>
      <c r="Q2263" s="300"/>
      <c r="R2263" s="300"/>
      <c r="S2263" s="300"/>
      <c r="T2263" s="300"/>
      <c r="U2263" s="300"/>
      <c r="V2263" s="300"/>
      <c r="W2263" s="300"/>
      <c r="X2263" s="300"/>
      <c r="Y2263" s="300"/>
      <c r="Z2263" s="300"/>
    </row>
    <row r="2264" spans="1:26">
      <c r="A2264" s="215" t="s">
        <v>3424</v>
      </c>
      <c r="B2264" s="207">
        <v>1302</v>
      </c>
      <c r="C2264" s="215" t="s">
        <v>5545</v>
      </c>
      <c r="D2264" s="215" t="s">
        <v>11394</v>
      </c>
      <c r="E2264" s="215" t="s">
        <v>11395</v>
      </c>
      <c r="F2264" s="215" t="s">
        <v>11384</v>
      </c>
      <c r="G2264" s="215" t="s">
        <v>11385</v>
      </c>
      <c r="H2264" s="215" t="s">
        <v>6521</v>
      </c>
      <c r="I2264" s="300"/>
      <c r="J2264" s="300"/>
      <c r="K2264" s="300"/>
      <c r="L2264" s="300"/>
      <c r="M2264" s="300"/>
      <c r="N2264" s="300"/>
      <c r="O2264" s="300"/>
      <c r="P2264" s="300"/>
      <c r="Q2264" s="300"/>
      <c r="R2264" s="300"/>
      <c r="S2264" s="300"/>
      <c r="T2264" s="300"/>
      <c r="U2264" s="300"/>
      <c r="V2264" s="300"/>
      <c r="W2264" s="300"/>
      <c r="X2264" s="300"/>
      <c r="Y2264" s="300"/>
      <c r="Z2264" s="300"/>
    </row>
    <row r="2265" spans="1:26">
      <c r="A2265" s="215" t="s">
        <v>2844</v>
      </c>
      <c r="B2265" s="207">
        <v>1303</v>
      </c>
      <c r="C2265" s="215" t="s">
        <v>5007</v>
      </c>
      <c r="D2265" s="215" t="s">
        <v>11396</v>
      </c>
      <c r="E2265" s="215" t="s">
        <v>11397</v>
      </c>
      <c r="F2265" s="215" t="s">
        <v>11384</v>
      </c>
      <c r="G2265" s="215" t="s">
        <v>11385</v>
      </c>
      <c r="H2265" s="215" t="s">
        <v>6521</v>
      </c>
      <c r="I2265" s="300"/>
      <c r="J2265" s="300"/>
      <c r="K2265" s="300"/>
      <c r="L2265" s="300"/>
      <c r="M2265" s="300"/>
      <c r="N2265" s="300"/>
      <c r="O2265" s="300"/>
      <c r="P2265" s="300"/>
      <c r="Q2265" s="300"/>
      <c r="R2265" s="300"/>
      <c r="S2265" s="300"/>
      <c r="T2265" s="300"/>
      <c r="U2265" s="300"/>
      <c r="V2265" s="300"/>
      <c r="W2265" s="300"/>
      <c r="X2265" s="300"/>
      <c r="Y2265" s="300"/>
      <c r="Z2265" s="300"/>
    </row>
    <row r="2266" spans="1:26">
      <c r="A2266" s="215" t="s">
        <v>3007</v>
      </c>
      <c r="B2266" s="207">
        <v>1304</v>
      </c>
      <c r="C2266" s="215" t="s">
        <v>11398</v>
      </c>
      <c r="D2266" s="215" t="s">
        <v>11399</v>
      </c>
      <c r="E2266" s="215" t="s">
        <v>11400</v>
      </c>
      <c r="F2266" s="215" t="s">
        <v>11384</v>
      </c>
      <c r="G2266" s="215" t="s">
        <v>11385</v>
      </c>
      <c r="H2266" s="215" t="s">
        <v>6521</v>
      </c>
      <c r="I2266" s="300"/>
      <c r="J2266" s="300"/>
      <c r="K2266" s="300"/>
      <c r="L2266" s="300"/>
      <c r="M2266" s="300"/>
      <c r="N2266" s="300"/>
      <c r="O2266" s="300"/>
      <c r="P2266" s="300"/>
      <c r="Q2266" s="300"/>
      <c r="R2266" s="300"/>
      <c r="S2266" s="300"/>
      <c r="T2266" s="300"/>
      <c r="U2266" s="300"/>
      <c r="V2266" s="300"/>
      <c r="W2266" s="300"/>
      <c r="X2266" s="300"/>
      <c r="Y2266" s="300"/>
      <c r="Z2266" s="300"/>
    </row>
    <row r="2267" spans="1:26">
      <c r="A2267" s="215" t="s">
        <v>3023</v>
      </c>
      <c r="B2267" s="207">
        <v>1305</v>
      </c>
      <c r="C2267" s="215" t="s">
        <v>5154</v>
      </c>
      <c r="D2267" s="215" t="s">
        <v>11401</v>
      </c>
      <c r="E2267" s="215" t="s">
        <v>11401</v>
      </c>
      <c r="F2267" s="215" t="s">
        <v>11384</v>
      </c>
      <c r="G2267" s="215" t="s">
        <v>11385</v>
      </c>
      <c r="H2267" s="215" t="s">
        <v>6504</v>
      </c>
      <c r="I2267" s="300"/>
      <c r="J2267" s="300"/>
      <c r="K2267" s="300"/>
      <c r="L2267" s="300"/>
      <c r="M2267" s="300"/>
      <c r="N2267" s="300"/>
      <c r="O2267" s="300"/>
      <c r="P2267" s="300"/>
      <c r="Q2267" s="300"/>
      <c r="R2267" s="300"/>
      <c r="S2267" s="300"/>
      <c r="T2267" s="300"/>
      <c r="U2267" s="300"/>
      <c r="V2267" s="300"/>
      <c r="W2267" s="300"/>
      <c r="X2267" s="300"/>
      <c r="Y2267" s="300"/>
      <c r="Z2267" s="300"/>
    </row>
    <row r="2268" spans="1:26">
      <c r="A2268" s="215" t="s">
        <v>2770</v>
      </c>
      <c r="B2268" s="207">
        <v>1307</v>
      </c>
      <c r="C2268" s="215" t="s">
        <v>4929</v>
      </c>
      <c r="D2268" s="215" t="s">
        <v>11402</v>
      </c>
      <c r="E2268" s="215" t="s">
        <v>11403</v>
      </c>
      <c r="F2268" s="215" t="s">
        <v>11384</v>
      </c>
      <c r="G2268" s="215" t="s">
        <v>11385</v>
      </c>
      <c r="H2268" s="215" t="s">
        <v>6521</v>
      </c>
      <c r="I2268" s="300"/>
      <c r="J2268" s="300"/>
      <c r="K2268" s="300"/>
      <c r="L2268" s="300"/>
      <c r="M2268" s="300"/>
      <c r="N2268" s="300"/>
      <c r="O2268" s="300"/>
      <c r="P2268" s="300"/>
      <c r="Q2268" s="300"/>
      <c r="R2268" s="300"/>
      <c r="S2268" s="300"/>
      <c r="T2268" s="300"/>
      <c r="U2268" s="300"/>
      <c r="V2268" s="300"/>
      <c r="W2268" s="300"/>
      <c r="X2268" s="300"/>
      <c r="Y2268" s="300"/>
      <c r="Z2268" s="300"/>
    </row>
    <row r="2269" spans="1:26">
      <c r="A2269" s="215" t="s">
        <v>2860</v>
      </c>
      <c r="B2269" s="207">
        <v>1310</v>
      </c>
      <c r="C2269" s="215" t="s">
        <v>5027</v>
      </c>
      <c r="D2269" s="215" t="s">
        <v>11404</v>
      </c>
      <c r="E2269" s="215" t="s">
        <v>11405</v>
      </c>
      <c r="F2269" s="215" t="s">
        <v>11384</v>
      </c>
      <c r="G2269" s="215" t="s">
        <v>11385</v>
      </c>
      <c r="H2269" s="215" t="s">
        <v>6521</v>
      </c>
      <c r="I2269" s="300"/>
      <c r="J2269" s="300"/>
      <c r="K2269" s="300"/>
      <c r="L2269" s="300"/>
      <c r="M2269" s="300"/>
      <c r="N2269" s="300"/>
      <c r="O2269" s="300"/>
      <c r="P2269" s="300"/>
      <c r="Q2269" s="300"/>
      <c r="R2269" s="300"/>
      <c r="S2269" s="300"/>
      <c r="T2269" s="300"/>
      <c r="U2269" s="300"/>
      <c r="V2269" s="300"/>
      <c r="W2269" s="300"/>
      <c r="X2269" s="300"/>
      <c r="Y2269" s="300"/>
      <c r="Z2269" s="300"/>
    </row>
    <row r="2270" spans="1:26">
      <c r="A2270" s="215" t="s">
        <v>4284</v>
      </c>
      <c r="B2270" s="207">
        <v>1311</v>
      </c>
      <c r="C2270" s="215" t="s">
        <v>5549</v>
      </c>
      <c r="D2270" s="215" t="s">
        <v>11406</v>
      </c>
      <c r="E2270" s="215" t="s">
        <v>11407</v>
      </c>
      <c r="F2270" s="215" t="s">
        <v>11384</v>
      </c>
      <c r="G2270" s="215" t="s">
        <v>11385</v>
      </c>
      <c r="H2270" s="215" t="s">
        <v>6500</v>
      </c>
      <c r="I2270" s="300"/>
      <c r="J2270" s="300"/>
      <c r="K2270" s="300"/>
      <c r="L2270" s="300"/>
      <c r="M2270" s="300"/>
      <c r="N2270" s="300"/>
      <c r="O2270" s="300"/>
      <c r="P2270" s="300"/>
      <c r="Q2270" s="300"/>
      <c r="R2270" s="300"/>
      <c r="S2270" s="300"/>
      <c r="T2270" s="300"/>
      <c r="U2270" s="300"/>
      <c r="V2270" s="300"/>
      <c r="W2270" s="300"/>
      <c r="X2270" s="300"/>
      <c r="Y2270" s="300"/>
      <c r="Z2270" s="300"/>
    </row>
    <row r="2271" spans="1:26">
      <c r="A2271" s="215" t="s">
        <v>2765</v>
      </c>
      <c r="B2271" s="207">
        <v>1467</v>
      </c>
      <c r="C2271" s="215" t="s">
        <v>4921</v>
      </c>
      <c r="D2271" s="215" t="s">
        <v>11408</v>
      </c>
      <c r="E2271" s="215" t="s">
        <v>11409</v>
      </c>
      <c r="F2271" s="215" t="s">
        <v>11384</v>
      </c>
      <c r="G2271" s="215" t="s">
        <v>11385</v>
      </c>
      <c r="H2271" s="215" t="s">
        <v>6504</v>
      </c>
      <c r="I2271" s="300"/>
      <c r="J2271" s="300"/>
      <c r="K2271" s="300"/>
      <c r="L2271" s="300"/>
      <c r="M2271" s="300"/>
      <c r="N2271" s="300"/>
      <c r="O2271" s="300"/>
      <c r="P2271" s="300"/>
      <c r="Q2271" s="300"/>
      <c r="R2271" s="300"/>
      <c r="S2271" s="300"/>
      <c r="T2271" s="300"/>
      <c r="U2271" s="300"/>
      <c r="V2271" s="300"/>
      <c r="W2271" s="300"/>
      <c r="X2271" s="300"/>
      <c r="Y2271" s="300"/>
      <c r="Z2271" s="300"/>
    </row>
    <row r="2272" spans="1:26">
      <c r="A2272" s="215" t="s">
        <v>4024</v>
      </c>
      <c r="B2272" s="207">
        <v>2133</v>
      </c>
      <c r="C2272" s="215" t="s">
        <v>6050</v>
      </c>
      <c r="D2272" s="215" t="s">
        <v>11410</v>
      </c>
      <c r="E2272" s="215" t="s">
        <v>11410</v>
      </c>
      <c r="F2272" s="215" t="s">
        <v>11411</v>
      </c>
      <c r="G2272" s="215" t="s">
        <v>11412</v>
      </c>
      <c r="H2272" s="215" t="s">
        <v>6497</v>
      </c>
      <c r="I2272" s="300"/>
      <c r="J2272" s="300"/>
      <c r="K2272" s="300"/>
      <c r="L2272" s="300"/>
      <c r="M2272" s="300"/>
      <c r="N2272" s="300"/>
      <c r="O2272" s="300"/>
      <c r="P2272" s="300"/>
      <c r="Q2272" s="300"/>
      <c r="R2272" s="300"/>
      <c r="S2272" s="300"/>
      <c r="T2272" s="300"/>
      <c r="U2272" s="300"/>
      <c r="V2272" s="300"/>
      <c r="W2272" s="300"/>
      <c r="X2272" s="300"/>
      <c r="Y2272" s="300"/>
      <c r="Z2272" s="300"/>
    </row>
    <row r="2273" spans="1:26">
      <c r="A2273" s="215" t="s">
        <v>3527</v>
      </c>
      <c r="B2273" s="207">
        <v>2134</v>
      </c>
      <c r="C2273" s="215" t="s">
        <v>5639</v>
      </c>
      <c r="D2273" s="215" t="s">
        <v>11413</v>
      </c>
      <c r="E2273" s="215" t="s">
        <v>11413</v>
      </c>
      <c r="F2273" s="215" t="s">
        <v>11411</v>
      </c>
      <c r="G2273" s="215" t="s">
        <v>11412</v>
      </c>
      <c r="H2273" s="215" t="s">
        <v>6548</v>
      </c>
      <c r="I2273" s="300"/>
      <c r="J2273" s="300"/>
      <c r="K2273" s="300"/>
      <c r="L2273" s="300"/>
      <c r="M2273" s="300"/>
      <c r="N2273" s="300"/>
      <c r="O2273" s="300"/>
      <c r="P2273" s="300"/>
      <c r="Q2273" s="300"/>
      <c r="R2273" s="300"/>
      <c r="S2273" s="300"/>
      <c r="T2273" s="300"/>
      <c r="U2273" s="300"/>
      <c r="V2273" s="300"/>
      <c r="W2273" s="300"/>
      <c r="X2273" s="300"/>
      <c r="Y2273" s="300"/>
      <c r="Z2273" s="300"/>
    </row>
    <row r="2274" spans="1:26">
      <c r="A2274" s="215" t="s">
        <v>3855</v>
      </c>
      <c r="B2274" s="207">
        <v>2135</v>
      </c>
      <c r="C2274" s="215" t="s">
        <v>5927</v>
      </c>
      <c r="D2274" s="215" t="s">
        <v>11414</v>
      </c>
      <c r="E2274" s="215" t="s">
        <v>11414</v>
      </c>
      <c r="F2274" s="215" t="s">
        <v>11411</v>
      </c>
      <c r="G2274" s="215" t="s">
        <v>11412</v>
      </c>
      <c r="H2274" s="215" t="s">
        <v>6504</v>
      </c>
      <c r="I2274" s="300"/>
      <c r="J2274" s="300"/>
      <c r="K2274" s="300"/>
      <c r="L2274" s="300"/>
      <c r="M2274" s="300"/>
      <c r="N2274" s="300"/>
      <c r="O2274" s="300"/>
      <c r="P2274" s="300"/>
      <c r="Q2274" s="300"/>
      <c r="R2274" s="300"/>
      <c r="S2274" s="300"/>
      <c r="T2274" s="300"/>
      <c r="U2274" s="300"/>
      <c r="V2274" s="300"/>
      <c r="W2274" s="300"/>
      <c r="X2274" s="300"/>
      <c r="Y2274" s="300"/>
      <c r="Z2274" s="300"/>
    </row>
    <row r="2275" spans="1:26">
      <c r="A2275" s="215" t="s">
        <v>2732</v>
      </c>
      <c r="B2275" s="207">
        <v>2136</v>
      </c>
      <c r="C2275" s="215" t="s">
        <v>4889</v>
      </c>
      <c r="D2275" s="215" t="s">
        <v>11415</v>
      </c>
      <c r="E2275" s="215" t="s">
        <v>11416</v>
      </c>
      <c r="F2275" s="215" t="s">
        <v>11411</v>
      </c>
      <c r="G2275" s="215" t="s">
        <v>11412</v>
      </c>
      <c r="H2275" s="215" t="s">
        <v>6504</v>
      </c>
      <c r="I2275" s="300"/>
      <c r="J2275" s="300"/>
      <c r="K2275" s="300"/>
      <c r="L2275" s="300"/>
      <c r="M2275" s="300"/>
      <c r="N2275" s="300"/>
      <c r="O2275" s="300"/>
      <c r="P2275" s="300"/>
      <c r="Q2275" s="300"/>
      <c r="R2275" s="300"/>
      <c r="S2275" s="300"/>
      <c r="T2275" s="300"/>
      <c r="U2275" s="300"/>
      <c r="V2275" s="300"/>
      <c r="W2275" s="300"/>
      <c r="X2275" s="300"/>
      <c r="Y2275" s="300"/>
      <c r="Z2275" s="300"/>
    </row>
    <row r="2276" spans="1:26">
      <c r="A2276" s="215" t="s">
        <v>4199</v>
      </c>
      <c r="B2276" s="207">
        <v>2137</v>
      </c>
      <c r="C2276" s="215" t="s">
        <v>11417</v>
      </c>
      <c r="D2276" s="215" t="s">
        <v>11418</v>
      </c>
      <c r="E2276" s="215" t="s">
        <v>11418</v>
      </c>
      <c r="F2276" s="215" t="s">
        <v>11411</v>
      </c>
      <c r="G2276" s="215" t="s">
        <v>11412</v>
      </c>
      <c r="H2276" s="215" t="s">
        <v>6504</v>
      </c>
      <c r="I2276" s="300"/>
      <c r="J2276" s="300"/>
      <c r="K2276" s="300"/>
      <c r="L2276" s="300"/>
      <c r="M2276" s="300"/>
      <c r="N2276" s="300"/>
      <c r="O2276" s="300"/>
      <c r="P2276" s="300"/>
      <c r="Q2276" s="300"/>
      <c r="R2276" s="300"/>
      <c r="S2276" s="300"/>
      <c r="T2276" s="300"/>
      <c r="U2276" s="300"/>
      <c r="V2276" s="300"/>
      <c r="W2276" s="300"/>
      <c r="X2276" s="300"/>
      <c r="Y2276" s="300"/>
      <c r="Z2276" s="300"/>
    </row>
    <row r="2277" spans="1:26">
      <c r="A2277" s="215" t="s">
        <v>4405</v>
      </c>
      <c r="B2277" s="207">
        <v>2138</v>
      </c>
      <c r="C2277" s="215" t="s">
        <v>6344</v>
      </c>
      <c r="D2277" s="215" t="s">
        <v>11419</v>
      </c>
      <c r="E2277" s="215" t="s">
        <v>11419</v>
      </c>
      <c r="F2277" s="215" t="s">
        <v>11411</v>
      </c>
      <c r="G2277" s="215" t="s">
        <v>11412</v>
      </c>
      <c r="H2277" s="215" t="s">
        <v>6497</v>
      </c>
      <c r="I2277" s="300"/>
      <c r="J2277" s="300"/>
      <c r="K2277" s="300"/>
      <c r="L2277" s="300"/>
      <c r="M2277" s="300"/>
      <c r="N2277" s="300"/>
      <c r="O2277" s="300"/>
      <c r="P2277" s="300"/>
      <c r="Q2277" s="300"/>
      <c r="R2277" s="300"/>
      <c r="S2277" s="300"/>
      <c r="T2277" s="300"/>
      <c r="U2277" s="300"/>
      <c r="V2277" s="300"/>
      <c r="W2277" s="300"/>
      <c r="X2277" s="300"/>
      <c r="Y2277" s="300"/>
      <c r="Z2277" s="300"/>
    </row>
    <row r="2278" spans="1:26">
      <c r="A2278" s="215" t="s">
        <v>4286</v>
      </c>
      <c r="B2278" s="207">
        <v>2139</v>
      </c>
      <c r="C2278" s="215" t="s">
        <v>6249</v>
      </c>
      <c r="D2278" s="215" t="s">
        <v>11420</v>
      </c>
      <c r="E2278" s="215" t="s">
        <v>11420</v>
      </c>
      <c r="F2278" s="215" t="s">
        <v>11411</v>
      </c>
      <c r="G2278" s="215" t="s">
        <v>11412</v>
      </c>
      <c r="H2278" s="215" t="s">
        <v>6497</v>
      </c>
      <c r="I2278" s="300"/>
      <c r="J2278" s="300"/>
      <c r="K2278" s="300"/>
      <c r="L2278" s="300"/>
      <c r="M2278" s="300"/>
      <c r="N2278" s="300"/>
      <c r="O2278" s="300"/>
      <c r="P2278" s="300"/>
      <c r="Q2278" s="300"/>
      <c r="R2278" s="300"/>
      <c r="S2278" s="300"/>
      <c r="T2278" s="300"/>
      <c r="U2278" s="300"/>
      <c r="V2278" s="300"/>
      <c r="W2278" s="300"/>
      <c r="X2278" s="300"/>
      <c r="Y2278" s="300"/>
      <c r="Z2278" s="300"/>
    </row>
    <row r="2279" spans="1:26">
      <c r="A2279" s="215" t="s">
        <v>4261</v>
      </c>
      <c r="B2279" s="207">
        <v>2627</v>
      </c>
      <c r="C2279" s="215" t="s">
        <v>6231</v>
      </c>
      <c r="D2279" s="215" t="s">
        <v>11421</v>
      </c>
      <c r="E2279" s="215" t="s">
        <v>11421</v>
      </c>
      <c r="F2279" s="215" t="s">
        <v>11411</v>
      </c>
      <c r="G2279" s="215" t="s">
        <v>11412</v>
      </c>
      <c r="H2279" s="215" t="s">
        <v>6500</v>
      </c>
      <c r="I2279" s="300"/>
      <c r="J2279" s="300"/>
      <c r="K2279" s="300"/>
      <c r="L2279" s="300"/>
      <c r="M2279" s="300"/>
      <c r="N2279" s="300"/>
      <c r="O2279" s="300"/>
      <c r="P2279" s="300"/>
      <c r="Q2279" s="300"/>
      <c r="R2279" s="300"/>
      <c r="S2279" s="300"/>
      <c r="T2279" s="300"/>
      <c r="U2279" s="300"/>
      <c r="V2279" s="300"/>
      <c r="W2279" s="300"/>
      <c r="X2279" s="300"/>
      <c r="Y2279" s="300"/>
      <c r="Z2279" s="300"/>
    </row>
    <row r="2280" spans="1:26">
      <c r="A2280" s="215" t="s">
        <v>2814</v>
      </c>
      <c r="B2280" s="207">
        <v>2628</v>
      </c>
      <c r="C2280" s="215" t="s">
        <v>4976</v>
      </c>
      <c r="D2280" s="215" t="s">
        <v>11422</v>
      </c>
      <c r="E2280" s="215" t="s">
        <v>11422</v>
      </c>
      <c r="F2280" s="215" t="s">
        <v>11411</v>
      </c>
      <c r="G2280" s="215" t="s">
        <v>11412</v>
      </c>
      <c r="H2280" s="215" t="s">
        <v>6500</v>
      </c>
      <c r="I2280" s="300"/>
      <c r="J2280" s="300"/>
      <c r="K2280" s="300"/>
      <c r="L2280" s="300"/>
      <c r="M2280" s="300"/>
      <c r="N2280" s="300"/>
      <c r="O2280" s="300"/>
      <c r="P2280" s="300"/>
      <c r="Q2280" s="300"/>
      <c r="R2280" s="300"/>
      <c r="S2280" s="300"/>
      <c r="T2280" s="300"/>
      <c r="U2280" s="300"/>
      <c r="V2280" s="300"/>
      <c r="W2280" s="300"/>
      <c r="X2280" s="300"/>
      <c r="Y2280" s="300"/>
      <c r="Z2280" s="300"/>
    </row>
    <row r="2281" spans="1:26">
      <c r="A2281" s="215" t="s">
        <v>11423</v>
      </c>
      <c r="B2281" s="207">
        <v>2629</v>
      </c>
      <c r="C2281" s="215" t="s">
        <v>11424</v>
      </c>
      <c r="D2281" s="215" t="s">
        <v>11425</v>
      </c>
      <c r="E2281" s="215" t="s">
        <v>11425</v>
      </c>
      <c r="F2281" s="215" t="s">
        <v>11411</v>
      </c>
      <c r="G2281" s="215" t="s">
        <v>11412</v>
      </c>
      <c r="H2281" s="215" t="s">
        <v>6548</v>
      </c>
      <c r="I2281" s="300"/>
      <c r="J2281" s="300"/>
      <c r="K2281" s="300"/>
      <c r="L2281" s="300"/>
      <c r="M2281" s="300"/>
      <c r="N2281" s="300"/>
      <c r="O2281" s="300"/>
      <c r="P2281" s="300"/>
      <c r="Q2281" s="300"/>
      <c r="R2281" s="300"/>
      <c r="S2281" s="300"/>
      <c r="T2281" s="300"/>
      <c r="U2281" s="300"/>
      <c r="V2281" s="300"/>
      <c r="W2281" s="300"/>
      <c r="X2281" s="300"/>
      <c r="Y2281" s="300"/>
      <c r="Z2281" s="300"/>
    </row>
    <row r="2282" spans="1:26">
      <c r="A2282" s="215" t="s">
        <v>3108</v>
      </c>
      <c r="B2282" s="207">
        <v>2630</v>
      </c>
      <c r="C2282" s="215" t="s">
        <v>5240</v>
      </c>
      <c r="D2282" s="215" t="s">
        <v>11426</v>
      </c>
      <c r="E2282" s="215" t="s">
        <v>11427</v>
      </c>
      <c r="F2282" s="215" t="s">
        <v>11411</v>
      </c>
      <c r="G2282" s="215" t="s">
        <v>11412</v>
      </c>
      <c r="H2282" s="215" t="s">
        <v>6521</v>
      </c>
      <c r="I2282" s="300"/>
      <c r="J2282" s="300"/>
      <c r="K2282" s="300"/>
      <c r="L2282" s="300"/>
      <c r="M2282" s="300"/>
      <c r="N2282" s="300"/>
      <c r="O2282" s="300"/>
      <c r="P2282" s="300"/>
      <c r="Q2282" s="300"/>
      <c r="R2282" s="300"/>
      <c r="S2282" s="300"/>
      <c r="T2282" s="300"/>
      <c r="U2282" s="300"/>
      <c r="V2282" s="300"/>
      <c r="W2282" s="300"/>
      <c r="X2282" s="300"/>
      <c r="Y2282" s="300"/>
      <c r="Z2282" s="300"/>
    </row>
    <row r="2283" spans="1:26">
      <c r="A2283" s="215" t="s">
        <v>3147</v>
      </c>
      <c r="B2283" s="207">
        <v>2631</v>
      </c>
      <c r="C2283" s="215" t="s">
        <v>5282</v>
      </c>
      <c r="D2283" s="215" t="s">
        <v>3126</v>
      </c>
      <c r="E2283" s="215" t="s">
        <v>3126</v>
      </c>
      <c r="F2283" s="215" t="s">
        <v>11411</v>
      </c>
      <c r="G2283" s="215" t="s">
        <v>11412</v>
      </c>
      <c r="H2283" s="215" t="s">
        <v>6521</v>
      </c>
      <c r="I2283" s="300"/>
      <c r="J2283" s="300"/>
      <c r="K2283" s="300"/>
      <c r="L2283" s="300"/>
      <c r="M2283" s="300"/>
      <c r="N2283" s="300"/>
      <c r="O2283" s="300"/>
      <c r="P2283" s="300"/>
      <c r="Q2283" s="300"/>
      <c r="R2283" s="300"/>
      <c r="S2283" s="300"/>
      <c r="T2283" s="300"/>
      <c r="U2283" s="300"/>
      <c r="V2283" s="300"/>
      <c r="W2283" s="300"/>
      <c r="X2283" s="300"/>
      <c r="Y2283" s="300"/>
      <c r="Z2283" s="300"/>
    </row>
    <row r="2284" spans="1:26">
      <c r="A2284" s="215" t="s">
        <v>11428</v>
      </c>
      <c r="B2284" s="207">
        <v>2632</v>
      </c>
      <c r="C2284" s="215" t="s">
        <v>11429</v>
      </c>
      <c r="D2284" s="215"/>
      <c r="E2284" s="215"/>
      <c r="F2284" s="215" t="s">
        <v>11411</v>
      </c>
      <c r="G2284" s="215" t="s">
        <v>11412</v>
      </c>
      <c r="H2284" s="215" t="s">
        <v>6548</v>
      </c>
      <c r="I2284" s="300"/>
      <c r="J2284" s="300"/>
      <c r="K2284" s="300"/>
      <c r="L2284" s="300"/>
      <c r="M2284" s="300"/>
      <c r="N2284" s="300"/>
      <c r="O2284" s="300"/>
      <c r="P2284" s="300"/>
      <c r="Q2284" s="300"/>
      <c r="R2284" s="300"/>
      <c r="S2284" s="300"/>
      <c r="T2284" s="300"/>
      <c r="U2284" s="300"/>
      <c r="V2284" s="300"/>
      <c r="W2284" s="300"/>
      <c r="X2284" s="300"/>
      <c r="Y2284" s="300"/>
      <c r="Z2284" s="300"/>
    </row>
    <row r="2285" spans="1:26">
      <c r="A2285" s="215" t="s">
        <v>3229</v>
      </c>
      <c r="B2285" s="207">
        <v>2633</v>
      </c>
      <c r="C2285" s="215" t="s">
        <v>5362</v>
      </c>
      <c r="D2285" s="215" t="s">
        <v>11430</v>
      </c>
      <c r="E2285" s="215" t="s">
        <v>11430</v>
      </c>
      <c r="F2285" s="215" t="s">
        <v>11411</v>
      </c>
      <c r="G2285" s="215" t="s">
        <v>11412</v>
      </c>
      <c r="H2285" s="215" t="s">
        <v>6521</v>
      </c>
      <c r="I2285" s="300"/>
      <c r="J2285" s="300"/>
      <c r="K2285" s="300"/>
      <c r="L2285" s="300"/>
      <c r="M2285" s="300"/>
      <c r="N2285" s="300"/>
      <c r="O2285" s="300"/>
      <c r="P2285" s="300"/>
      <c r="Q2285" s="300"/>
      <c r="R2285" s="300"/>
      <c r="S2285" s="300"/>
      <c r="T2285" s="300"/>
      <c r="U2285" s="300"/>
      <c r="V2285" s="300"/>
      <c r="W2285" s="300"/>
      <c r="X2285" s="300"/>
      <c r="Y2285" s="300"/>
      <c r="Z2285" s="300"/>
    </row>
    <row r="2286" spans="1:26">
      <c r="A2286" s="215" t="s">
        <v>3498</v>
      </c>
      <c r="B2286" s="207">
        <v>2634</v>
      </c>
      <c r="C2286" s="215" t="s">
        <v>5604</v>
      </c>
      <c r="D2286" s="215" t="s">
        <v>11431</v>
      </c>
      <c r="E2286" s="215" t="s">
        <v>11431</v>
      </c>
      <c r="F2286" s="215" t="s">
        <v>11411</v>
      </c>
      <c r="G2286" s="215" t="s">
        <v>11412</v>
      </c>
      <c r="H2286" s="215" t="s">
        <v>6548</v>
      </c>
      <c r="I2286" s="300"/>
      <c r="J2286" s="300"/>
      <c r="K2286" s="300"/>
      <c r="L2286" s="300"/>
      <c r="M2286" s="300"/>
      <c r="N2286" s="300"/>
      <c r="O2286" s="300"/>
      <c r="P2286" s="300"/>
      <c r="Q2286" s="300"/>
      <c r="R2286" s="300"/>
      <c r="S2286" s="300"/>
      <c r="T2286" s="300"/>
      <c r="U2286" s="300"/>
      <c r="V2286" s="300"/>
      <c r="W2286" s="300"/>
      <c r="X2286" s="300"/>
      <c r="Y2286" s="300"/>
      <c r="Z2286" s="300"/>
    </row>
    <row r="2287" spans="1:26">
      <c r="A2287" s="215" t="s">
        <v>3400</v>
      </c>
      <c r="B2287" s="207">
        <v>2635</v>
      </c>
      <c r="C2287" s="215" t="s">
        <v>5526</v>
      </c>
      <c r="D2287" s="215" t="s">
        <v>11432</v>
      </c>
      <c r="E2287" s="215" t="s">
        <v>11432</v>
      </c>
      <c r="F2287" s="215" t="s">
        <v>11411</v>
      </c>
      <c r="G2287" s="215" t="s">
        <v>11412</v>
      </c>
      <c r="H2287" s="215" t="s">
        <v>6521</v>
      </c>
      <c r="I2287" s="300"/>
      <c r="J2287" s="300"/>
      <c r="K2287" s="300"/>
      <c r="L2287" s="300"/>
      <c r="M2287" s="300"/>
      <c r="N2287" s="300"/>
      <c r="O2287" s="300"/>
      <c r="P2287" s="300"/>
      <c r="Q2287" s="300"/>
      <c r="R2287" s="300"/>
      <c r="S2287" s="300"/>
      <c r="T2287" s="300"/>
      <c r="U2287" s="300"/>
      <c r="V2287" s="300"/>
      <c r="W2287" s="300"/>
      <c r="X2287" s="300"/>
      <c r="Y2287" s="300"/>
      <c r="Z2287" s="300"/>
    </row>
    <row r="2288" spans="1:26">
      <c r="A2288" s="215" t="s">
        <v>4167</v>
      </c>
      <c r="B2288" s="207">
        <v>2636</v>
      </c>
      <c r="C2288" s="215" t="s">
        <v>5248</v>
      </c>
      <c r="D2288" s="215" t="s">
        <v>11433</v>
      </c>
      <c r="E2288" s="215" t="s">
        <v>11433</v>
      </c>
      <c r="F2288" s="215" t="s">
        <v>11411</v>
      </c>
      <c r="G2288" s="215" t="s">
        <v>11412</v>
      </c>
      <c r="H2288" s="215" t="s">
        <v>6500</v>
      </c>
      <c r="I2288" s="300"/>
      <c r="J2288" s="300"/>
      <c r="K2288" s="300"/>
      <c r="L2288" s="300"/>
      <c r="M2288" s="300"/>
      <c r="N2288" s="300"/>
      <c r="O2288" s="300"/>
      <c r="P2288" s="300"/>
      <c r="Q2288" s="300"/>
      <c r="R2288" s="300"/>
      <c r="S2288" s="300"/>
      <c r="T2288" s="300"/>
      <c r="U2288" s="300"/>
      <c r="V2288" s="300"/>
      <c r="W2288" s="300"/>
      <c r="X2288" s="300"/>
      <c r="Y2288" s="300"/>
      <c r="Z2288" s="300"/>
    </row>
    <row r="2289" spans="1:26">
      <c r="A2289" s="215" t="s">
        <v>3294</v>
      </c>
      <c r="B2289" s="207">
        <v>2637</v>
      </c>
      <c r="C2289" s="215" t="s">
        <v>5423</v>
      </c>
      <c r="D2289" s="215" t="s">
        <v>11434</v>
      </c>
      <c r="E2289" s="215" t="s">
        <v>11434</v>
      </c>
      <c r="F2289" s="215" t="s">
        <v>11411</v>
      </c>
      <c r="G2289" s="215" t="s">
        <v>11412</v>
      </c>
      <c r="H2289" s="215" t="s">
        <v>6497</v>
      </c>
      <c r="I2289" s="300"/>
      <c r="J2289" s="300"/>
      <c r="K2289" s="300"/>
      <c r="L2289" s="300"/>
      <c r="M2289" s="300"/>
      <c r="N2289" s="300"/>
      <c r="O2289" s="300"/>
      <c r="P2289" s="300"/>
      <c r="Q2289" s="300"/>
      <c r="R2289" s="300"/>
      <c r="S2289" s="300"/>
      <c r="T2289" s="300"/>
      <c r="U2289" s="300"/>
      <c r="V2289" s="300"/>
      <c r="W2289" s="300"/>
      <c r="X2289" s="300"/>
      <c r="Y2289" s="300"/>
      <c r="Z2289" s="300"/>
    </row>
    <row r="2290" spans="1:26">
      <c r="A2290" s="215"/>
      <c r="B2290" s="207">
        <v>1295</v>
      </c>
      <c r="C2290" s="215" t="s">
        <v>11435</v>
      </c>
      <c r="D2290" s="215" t="s">
        <v>11436</v>
      </c>
      <c r="E2290" s="215" t="s">
        <v>11436</v>
      </c>
      <c r="F2290" s="215" t="s">
        <v>11437</v>
      </c>
      <c r="G2290" s="215" t="s">
        <v>11438</v>
      </c>
      <c r="H2290" s="215" t="s">
        <v>6548</v>
      </c>
      <c r="I2290" s="300"/>
      <c r="J2290" s="300"/>
      <c r="K2290" s="300"/>
      <c r="L2290" s="300"/>
      <c r="M2290" s="300"/>
      <c r="N2290" s="300"/>
      <c r="O2290" s="300"/>
      <c r="P2290" s="300"/>
      <c r="Q2290" s="300"/>
      <c r="R2290" s="300"/>
      <c r="S2290" s="300"/>
      <c r="T2290" s="300"/>
      <c r="U2290" s="300"/>
      <c r="V2290" s="300"/>
      <c r="W2290" s="300"/>
      <c r="X2290" s="300"/>
      <c r="Y2290" s="300"/>
      <c r="Z2290" s="300"/>
    </row>
    <row r="2291" spans="1:26">
      <c r="A2291" s="215"/>
      <c r="B2291" s="207">
        <v>1314</v>
      </c>
      <c r="C2291" s="215" t="s">
        <v>6175</v>
      </c>
      <c r="D2291" s="215" t="s">
        <v>4059</v>
      </c>
      <c r="E2291" s="215" t="s">
        <v>4059</v>
      </c>
      <c r="F2291" s="215" t="s">
        <v>11437</v>
      </c>
      <c r="G2291" s="215" t="s">
        <v>11438</v>
      </c>
      <c r="H2291" s="215" t="s">
        <v>6548</v>
      </c>
      <c r="I2291" s="300"/>
      <c r="J2291" s="300"/>
      <c r="K2291" s="300"/>
      <c r="L2291" s="300"/>
      <c r="M2291" s="300"/>
      <c r="N2291" s="300"/>
      <c r="O2291" s="300"/>
      <c r="P2291" s="300"/>
      <c r="Q2291" s="300"/>
      <c r="R2291" s="300"/>
      <c r="S2291" s="300"/>
      <c r="T2291" s="300"/>
      <c r="U2291" s="300"/>
      <c r="V2291" s="300"/>
      <c r="W2291" s="300"/>
      <c r="X2291" s="300"/>
      <c r="Y2291" s="300"/>
      <c r="Z2291" s="300"/>
    </row>
    <row r="2292" spans="1:26">
      <c r="A2292" s="215" t="s">
        <v>2818</v>
      </c>
      <c r="B2292" s="207">
        <v>1315</v>
      </c>
      <c r="C2292" s="215" t="s">
        <v>4955</v>
      </c>
      <c r="D2292" s="215" t="s">
        <v>2832</v>
      </c>
      <c r="E2292" s="215" t="s">
        <v>2832</v>
      </c>
      <c r="F2292" s="215" t="s">
        <v>11437</v>
      </c>
      <c r="G2292" s="215" t="s">
        <v>11438</v>
      </c>
      <c r="H2292" s="215" t="s">
        <v>6504</v>
      </c>
      <c r="I2292" s="300"/>
      <c r="J2292" s="300"/>
      <c r="K2292" s="300"/>
      <c r="L2292" s="300"/>
      <c r="M2292" s="300"/>
      <c r="N2292" s="300"/>
      <c r="O2292" s="300"/>
      <c r="P2292" s="300"/>
      <c r="Q2292" s="300"/>
      <c r="R2292" s="300"/>
      <c r="S2292" s="300"/>
      <c r="T2292" s="300"/>
      <c r="U2292" s="300"/>
      <c r="V2292" s="300"/>
      <c r="W2292" s="300"/>
      <c r="X2292" s="300"/>
      <c r="Y2292" s="300"/>
      <c r="Z2292" s="300"/>
    </row>
    <row r="2293" spans="1:26">
      <c r="A2293" s="215" t="s">
        <v>11439</v>
      </c>
      <c r="B2293" s="207">
        <v>1316</v>
      </c>
      <c r="C2293" s="215" t="s">
        <v>4981</v>
      </c>
      <c r="D2293" s="215" t="s">
        <v>3388</v>
      </c>
      <c r="E2293" s="215" t="s">
        <v>11440</v>
      </c>
      <c r="F2293" s="215" t="s">
        <v>11437</v>
      </c>
      <c r="G2293" s="215" t="s">
        <v>11438</v>
      </c>
      <c r="H2293" s="215" t="s">
        <v>6497</v>
      </c>
      <c r="I2293" s="300"/>
      <c r="J2293" s="300"/>
      <c r="K2293" s="300"/>
      <c r="L2293" s="300"/>
      <c r="M2293" s="300"/>
      <c r="N2293" s="300"/>
      <c r="O2293" s="300"/>
      <c r="P2293" s="300"/>
      <c r="Q2293" s="300"/>
      <c r="R2293" s="300"/>
      <c r="S2293" s="300"/>
      <c r="T2293" s="300"/>
      <c r="U2293" s="300"/>
      <c r="V2293" s="300"/>
      <c r="W2293" s="300"/>
      <c r="X2293" s="300"/>
      <c r="Y2293" s="300"/>
      <c r="Z2293" s="300"/>
    </row>
    <row r="2294" spans="1:26">
      <c r="A2294" s="215" t="s">
        <v>3959</v>
      </c>
      <c r="B2294" s="207">
        <v>1860</v>
      </c>
      <c r="C2294" s="215" t="s">
        <v>5991</v>
      </c>
      <c r="D2294" s="215" t="s">
        <v>11441</v>
      </c>
      <c r="E2294" s="215" t="s">
        <v>11441</v>
      </c>
      <c r="F2294" s="215" t="s">
        <v>11442</v>
      </c>
      <c r="G2294" s="215" t="s">
        <v>11443</v>
      </c>
      <c r="H2294" s="215" t="s">
        <v>6497</v>
      </c>
      <c r="I2294" s="300"/>
      <c r="J2294" s="300"/>
      <c r="K2294" s="300"/>
      <c r="L2294" s="300"/>
      <c r="M2294" s="300"/>
      <c r="N2294" s="300"/>
      <c r="O2294" s="300"/>
      <c r="P2294" s="300"/>
      <c r="Q2294" s="300"/>
      <c r="R2294" s="300"/>
      <c r="S2294" s="300"/>
      <c r="T2294" s="300"/>
      <c r="U2294" s="300"/>
      <c r="V2294" s="300"/>
      <c r="W2294" s="300"/>
      <c r="X2294" s="300"/>
      <c r="Y2294" s="300"/>
      <c r="Z2294" s="300"/>
    </row>
    <row r="2295" spans="1:26">
      <c r="A2295" s="215" t="s">
        <v>3523</v>
      </c>
      <c r="B2295" s="207">
        <v>301</v>
      </c>
      <c r="C2295" s="215" t="s">
        <v>5635</v>
      </c>
      <c r="D2295" s="215" t="s">
        <v>11444</v>
      </c>
      <c r="E2295" s="215" t="s">
        <v>11444</v>
      </c>
      <c r="F2295" s="215" t="s">
        <v>11445</v>
      </c>
      <c r="G2295" s="215" t="s">
        <v>11446</v>
      </c>
      <c r="H2295" s="215" t="s">
        <v>6548</v>
      </c>
      <c r="I2295" s="300"/>
      <c r="J2295" s="300"/>
      <c r="K2295" s="300"/>
      <c r="L2295" s="300"/>
      <c r="M2295" s="300"/>
      <c r="N2295" s="300"/>
      <c r="O2295" s="300"/>
      <c r="P2295" s="300"/>
      <c r="Q2295" s="300"/>
      <c r="R2295" s="300"/>
      <c r="S2295" s="300"/>
      <c r="T2295" s="300"/>
      <c r="U2295" s="300"/>
      <c r="V2295" s="300"/>
      <c r="W2295" s="300"/>
      <c r="X2295" s="300"/>
      <c r="Y2295" s="300"/>
      <c r="Z2295" s="300"/>
    </row>
    <row r="2296" spans="1:26">
      <c r="A2296" s="215" t="s">
        <v>4415</v>
      </c>
      <c r="B2296" s="207">
        <v>304</v>
      </c>
      <c r="C2296" s="215" t="s">
        <v>11447</v>
      </c>
      <c r="D2296" s="215" t="s">
        <v>11448</v>
      </c>
      <c r="E2296" s="215" t="s">
        <v>11449</v>
      </c>
      <c r="F2296" s="215" t="s">
        <v>11450</v>
      </c>
      <c r="G2296" s="215" t="s">
        <v>11451</v>
      </c>
      <c r="H2296" s="215" t="s">
        <v>6521</v>
      </c>
      <c r="I2296" s="300"/>
      <c r="J2296" s="300"/>
      <c r="K2296" s="300"/>
      <c r="L2296" s="300"/>
      <c r="M2296" s="300"/>
      <c r="N2296" s="300"/>
      <c r="O2296" s="300"/>
      <c r="P2296" s="300"/>
      <c r="Q2296" s="300"/>
      <c r="R2296" s="300"/>
      <c r="S2296" s="300"/>
      <c r="T2296" s="300"/>
      <c r="U2296" s="300"/>
      <c r="V2296" s="300"/>
      <c r="W2296" s="300"/>
      <c r="X2296" s="300"/>
      <c r="Y2296" s="300"/>
      <c r="Z2296" s="300"/>
    </row>
    <row r="2297" spans="1:26">
      <c r="A2297" s="215" t="s">
        <v>4305</v>
      </c>
      <c r="B2297" s="207">
        <v>315</v>
      </c>
      <c r="C2297" s="215" t="s">
        <v>11452</v>
      </c>
      <c r="D2297" s="215" t="s">
        <v>11453</v>
      </c>
      <c r="E2297" s="215" t="s">
        <v>11454</v>
      </c>
      <c r="F2297" s="215" t="s">
        <v>11450</v>
      </c>
      <c r="G2297" s="215" t="s">
        <v>11451</v>
      </c>
      <c r="H2297" s="215" t="s">
        <v>6521</v>
      </c>
      <c r="I2297" s="300"/>
      <c r="J2297" s="300"/>
      <c r="K2297" s="300"/>
      <c r="L2297" s="300"/>
      <c r="M2297" s="300"/>
      <c r="N2297" s="300"/>
      <c r="O2297" s="300"/>
      <c r="P2297" s="300"/>
      <c r="Q2297" s="300"/>
      <c r="R2297" s="300"/>
      <c r="S2297" s="300"/>
      <c r="T2297" s="300"/>
      <c r="U2297" s="300"/>
      <c r="V2297" s="300"/>
      <c r="W2297" s="300"/>
      <c r="X2297" s="300"/>
      <c r="Y2297" s="300"/>
      <c r="Z2297" s="300"/>
    </row>
    <row r="2298" spans="1:26">
      <c r="A2298" s="215" t="s">
        <v>4414</v>
      </c>
      <c r="B2298" s="207">
        <v>1989</v>
      </c>
      <c r="C2298" s="215" t="s">
        <v>11455</v>
      </c>
      <c r="D2298" s="215" t="s">
        <v>11456</v>
      </c>
      <c r="E2298" s="215" t="s">
        <v>11457</v>
      </c>
      <c r="F2298" s="215" t="s">
        <v>11450</v>
      </c>
      <c r="G2298" s="215" t="s">
        <v>11451</v>
      </c>
      <c r="H2298" s="215" t="s">
        <v>6497</v>
      </c>
      <c r="I2298" s="300"/>
      <c r="J2298" s="300"/>
      <c r="K2298" s="300"/>
      <c r="L2298" s="300"/>
      <c r="M2298" s="300"/>
      <c r="N2298" s="300"/>
      <c r="O2298" s="300"/>
      <c r="P2298" s="300"/>
      <c r="Q2298" s="300"/>
      <c r="R2298" s="300"/>
      <c r="S2298" s="300"/>
      <c r="T2298" s="300"/>
      <c r="U2298" s="300"/>
      <c r="V2298" s="300"/>
      <c r="W2298" s="300"/>
      <c r="X2298" s="300"/>
      <c r="Y2298" s="300"/>
      <c r="Z2298" s="300"/>
    </row>
    <row r="2299" spans="1:26">
      <c r="A2299" s="215" t="s">
        <v>2647</v>
      </c>
      <c r="B2299" s="207">
        <v>1993</v>
      </c>
      <c r="C2299" s="215" t="s">
        <v>4821</v>
      </c>
      <c r="D2299" s="215" t="s">
        <v>11458</v>
      </c>
      <c r="E2299" s="215" t="s">
        <v>11459</v>
      </c>
      <c r="F2299" s="215" t="s">
        <v>11450</v>
      </c>
      <c r="G2299" s="215" t="s">
        <v>11451</v>
      </c>
      <c r="H2299" s="215" t="s">
        <v>6497</v>
      </c>
      <c r="I2299" s="300"/>
      <c r="J2299" s="300"/>
      <c r="K2299" s="300"/>
      <c r="L2299" s="300"/>
      <c r="M2299" s="300"/>
      <c r="N2299" s="300"/>
      <c r="O2299" s="300"/>
      <c r="P2299" s="300"/>
      <c r="Q2299" s="300"/>
      <c r="R2299" s="300"/>
      <c r="S2299" s="300"/>
      <c r="T2299" s="300"/>
      <c r="U2299" s="300"/>
      <c r="V2299" s="300"/>
      <c r="W2299" s="300"/>
      <c r="X2299" s="300"/>
      <c r="Y2299" s="300"/>
      <c r="Z2299" s="300"/>
    </row>
    <row r="2300" spans="1:26">
      <c r="A2300" s="215" t="s">
        <v>4085</v>
      </c>
      <c r="B2300" s="207">
        <v>1994</v>
      </c>
      <c r="C2300" s="215" t="s">
        <v>6101</v>
      </c>
      <c r="D2300" s="215" t="s">
        <v>11460</v>
      </c>
      <c r="E2300" s="215" t="s">
        <v>11461</v>
      </c>
      <c r="F2300" s="215" t="s">
        <v>11450</v>
      </c>
      <c r="G2300" s="215" t="s">
        <v>11451</v>
      </c>
      <c r="H2300" s="215" t="s">
        <v>6497</v>
      </c>
      <c r="I2300" s="300"/>
      <c r="J2300" s="300"/>
      <c r="K2300" s="300"/>
      <c r="L2300" s="300"/>
      <c r="M2300" s="300"/>
      <c r="N2300" s="300"/>
      <c r="O2300" s="300"/>
      <c r="P2300" s="300"/>
      <c r="Q2300" s="300"/>
      <c r="R2300" s="300"/>
      <c r="S2300" s="300"/>
      <c r="T2300" s="300"/>
      <c r="U2300" s="300"/>
      <c r="V2300" s="300"/>
      <c r="W2300" s="300"/>
      <c r="X2300" s="300"/>
      <c r="Y2300" s="300"/>
      <c r="Z2300" s="300"/>
    </row>
    <row r="2301" spans="1:26">
      <c r="A2301" s="215" t="s">
        <v>4104</v>
      </c>
      <c r="B2301" s="207">
        <v>1024</v>
      </c>
      <c r="C2301" s="215" t="s">
        <v>11462</v>
      </c>
      <c r="D2301" s="215" t="s">
        <v>11463</v>
      </c>
      <c r="E2301" s="215" t="s">
        <v>11464</v>
      </c>
      <c r="F2301" s="215" t="s">
        <v>11465</v>
      </c>
      <c r="G2301" s="215" t="s">
        <v>11466</v>
      </c>
      <c r="H2301" s="215" t="s">
        <v>6521</v>
      </c>
      <c r="I2301" s="300"/>
      <c r="J2301" s="300"/>
      <c r="K2301" s="300"/>
      <c r="L2301" s="300"/>
      <c r="M2301" s="300"/>
      <c r="N2301" s="300"/>
      <c r="O2301" s="300"/>
      <c r="P2301" s="300"/>
      <c r="Q2301" s="300"/>
      <c r="R2301" s="300"/>
      <c r="S2301" s="300"/>
      <c r="T2301" s="300"/>
      <c r="U2301" s="300"/>
      <c r="V2301" s="300"/>
      <c r="W2301" s="300"/>
      <c r="X2301" s="300"/>
      <c r="Y2301" s="300"/>
      <c r="Z2301" s="300"/>
    </row>
    <row r="2302" spans="1:26">
      <c r="A2302" s="215"/>
      <c r="B2302" s="207">
        <v>1346</v>
      </c>
      <c r="C2302" s="215" t="s">
        <v>11467</v>
      </c>
      <c r="D2302" s="215" t="s">
        <v>11468</v>
      </c>
      <c r="E2302" s="215" t="s">
        <v>11468</v>
      </c>
      <c r="F2302" s="215" t="s">
        <v>11469</v>
      </c>
      <c r="G2302" s="215" t="s">
        <v>11470</v>
      </c>
      <c r="H2302" s="215" t="s">
        <v>6497</v>
      </c>
      <c r="I2302" s="300"/>
      <c r="J2302" s="300"/>
      <c r="K2302" s="300"/>
      <c r="L2302" s="300"/>
      <c r="M2302" s="300"/>
      <c r="N2302" s="300"/>
      <c r="O2302" s="300"/>
      <c r="P2302" s="300"/>
      <c r="Q2302" s="300"/>
      <c r="R2302" s="300"/>
      <c r="S2302" s="300"/>
      <c r="T2302" s="300"/>
      <c r="U2302" s="300"/>
      <c r="V2302" s="300"/>
      <c r="W2302" s="300"/>
      <c r="X2302" s="300"/>
      <c r="Y2302" s="300"/>
      <c r="Z2302" s="300"/>
    </row>
    <row r="2303" spans="1:26">
      <c r="A2303" s="215" t="s">
        <v>4168</v>
      </c>
      <c r="B2303" s="207">
        <v>344</v>
      </c>
      <c r="C2303" s="215" t="s">
        <v>6157</v>
      </c>
      <c r="D2303" s="215" t="s">
        <v>11471</v>
      </c>
      <c r="E2303" s="215" t="s">
        <v>11472</v>
      </c>
      <c r="F2303" s="215" t="s">
        <v>11473</v>
      </c>
      <c r="G2303" s="215" t="s">
        <v>11474</v>
      </c>
      <c r="H2303" s="215" t="s">
        <v>6500</v>
      </c>
      <c r="I2303" s="300"/>
      <c r="J2303" s="300"/>
      <c r="K2303" s="300"/>
      <c r="L2303" s="300"/>
      <c r="M2303" s="300"/>
      <c r="N2303" s="300"/>
      <c r="O2303" s="300"/>
      <c r="P2303" s="300"/>
      <c r="Q2303" s="300"/>
      <c r="R2303" s="300"/>
      <c r="S2303" s="300"/>
      <c r="T2303" s="300"/>
      <c r="U2303" s="300"/>
      <c r="V2303" s="300"/>
      <c r="W2303" s="300"/>
      <c r="X2303" s="300"/>
      <c r="Y2303" s="300"/>
      <c r="Z2303" s="300"/>
    </row>
    <row r="2304" spans="1:26">
      <c r="A2304" s="215" t="s">
        <v>4096</v>
      </c>
      <c r="B2304" s="207">
        <v>419</v>
      </c>
      <c r="C2304" s="215" t="s">
        <v>11475</v>
      </c>
      <c r="D2304" s="215" t="s">
        <v>11476</v>
      </c>
      <c r="E2304" s="215" t="s">
        <v>11477</v>
      </c>
      <c r="F2304" s="215" t="s">
        <v>11473</v>
      </c>
      <c r="G2304" s="215" t="s">
        <v>11474</v>
      </c>
      <c r="H2304" s="215" t="s">
        <v>6497</v>
      </c>
      <c r="I2304" s="300"/>
      <c r="J2304" s="300"/>
      <c r="K2304" s="300"/>
      <c r="L2304" s="300"/>
      <c r="M2304" s="300"/>
      <c r="N2304" s="300"/>
      <c r="O2304" s="300"/>
      <c r="P2304" s="300"/>
      <c r="Q2304" s="300"/>
      <c r="R2304" s="300"/>
      <c r="S2304" s="300"/>
      <c r="T2304" s="300"/>
      <c r="U2304" s="300"/>
      <c r="V2304" s="300"/>
      <c r="W2304" s="300"/>
      <c r="X2304" s="300"/>
      <c r="Y2304" s="300"/>
      <c r="Z2304" s="300"/>
    </row>
    <row r="2305" spans="1:26">
      <c r="A2305" s="215" t="s">
        <v>4168</v>
      </c>
      <c r="B2305" s="207">
        <v>1597</v>
      </c>
      <c r="C2305" s="215" t="s">
        <v>11478</v>
      </c>
      <c r="D2305" s="215" t="s">
        <v>11479</v>
      </c>
      <c r="E2305" s="215" t="s">
        <v>11480</v>
      </c>
      <c r="F2305" s="215" t="s">
        <v>11473</v>
      </c>
      <c r="G2305" s="215" t="s">
        <v>11474</v>
      </c>
      <c r="H2305" s="215" t="s">
        <v>6500</v>
      </c>
      <c r="I2305" s="300"/>
      <c r="J2305" s="300"/>
      <c r="K2305" s="300"/>
      <c r="L2305" s="300"/>
      <c r="M2305" s="300"/>
      <c r="N2305" s="300"/>
      <c r="O2305" s="300"/>
      <c r="P2305" s="300"/>
      <c r="Q2305" s="300"/>
      <c r="R2305" s="300"/>
      <c r="S2305" s="300"/>
      <c r="T2305" s="300"/>
      <c r="U2305" s="300"/>
      <c r="V2305" s="300"/>
      <c r="W2305" s="300"/>
      <c r="X2305" s="300"/>
      <c r="Y2305" s="300"/>
      <c r="Z2305" s="300"/>
    </row>
    <row r="2306" spans="1:26">
      <c r="A2306" s="215" t="s">
        <v>2668</v>
      </c>
      <c r="B2306" s="207">
        <v>2090</v>
      </c>
      <c r="C2306" s="215" t="s">
        <v>4842</v>
      </c>
      <c r="D2306" s="215" t="s">
        <v>11481</v>
      </c>
      <c r="E2306" s="215" t="s">
        <v>11482</v>
      </c>
      <c r="F2306" s="215" t="s">
        <v>11483</v>
      </c>
      <c r="G2306" s="215" t="s">
        <v>11484</v>
      </c>
      <c r="H2306" s="215" t="s">
        <v>6500</v>
      </c>
      <c r="I2306" s="300"/>
      <c r="J2306" s="300"/>
      <c r="K2306" s="300"/>
      <c r="L2306" s="300"/>
      <c r="M2306" s="300"/>
      <c r="N2306" s="300"/>
      <c r="O2306" s="300"/>
      <c r="P2306" s="300"/>
      <c r="Q2306" s="300"/>
      <c r="R2306" s="300"/>
      <c r="S2306" s="300"/>
      <c r="T2306" s="300"/>
      <c r="U2306" s="300"/>
      <c r="V2306" s="300"/>
      <c r="W2306" s="300"/>
      <c r="X2306" s="300"/>
      <c r="Y2306" s="300"/>
      <c r="Z2306" s="300"/>
    </row>
    <row r="2307" spans="1:26">
      <c r="A2307" s="215" t="s">
        <v>3534</v>
      </c>
      <c r="B2307" s="207">
        <v>2351</v>
      </c>
      <c r="C2307" s="215" t="s">
        <v>11485</v>
      </c>
      <c r="D2307" s="215" t="s">
        <v>11486</v>
      </c>
      <c r="E2307" s="215" t="s">
        <v>11487</v>
      </c>
      <c r="F2307" s="215" t="s">
        <v>11483</v>
      </c>
      <c r="G2307" s="215" t="s">
        <v>11484</v>
      </c>
      <c r="H2307" s="215" t="s">
        <v>6548</v>
      </c>
      <c r="I2307" s="300"/>
      <c r="J2307" s="300"/>
      <c r="K2307" s="300"/>
      <c r="L2307" s="300"/>
      <c r="M2307" s="300"/>
      <c r="N2307" s="300"/>
      <c r="O2307" s="300"/>
      <c r="P2307" s="300"/>
      <c r="Q2307" s="300"/>
      <c r="R2307" s="300"/>
      <c r="S2307" s="300"/>
      <c r="T2307" s="300"/>
      <c r="U2307" s="300"/>
      <c r="V2307" s="300"/>
      <c r="W2307" s="300"/>
      <c r="X2307" s="300"/>
      <c r="Y2307" s="300"/>
      <c r="Z2307" s="300"/>
    </row>
    <row r="2308" spans="1:26">
      <c r="A2308" s="215" t="s">
        <v>4311</v>
      </c>
      <c r="B2308" s="207">
        <v>1986</v>
      </c>
      <c r="C2308" s="215" t="s">
        <v>6268</v>
      </c>
      <c r="D2308" s="215" t="s">
        <v>11488</v>
      </c>
      <c r="E2308" s="215" t="s">
        <v>11489</v>
      </c>
      <c r="F2308" s="215" t="s">
        <v>11490</v>
      </c>
      <c r="G2308" s="215" t="s">
        <v>11491</v>
      </c>
      <c r="H2308" s="215" t="s">
        <v>6504</v>
      </c>
      <c r="I2308" s="300"/>
      <c r="J2308" s="300"/>
      <c r="K2308" s="300"/>
      <c r="L2308" s="300"/>
      <c r="M2308" s="300"/>
      <c r="N2308" s="300"/>
      <c r="O2308" s="300"/>
      <c r="P2308" s="300"/>
      <c r="Q2308" s="300"/>
      <c r="R2308" s="300"/>
      <c r="S2308" s="300"/>
      <c r="T2308" s="300"/>
      <c r="U2308" s="300"/>
      <c r="V2308" s="300"/>
      <c r="W2308" s="300"/>
      <c r="X2308" s="300"/>
      <c r="Y2308" s="300"/>
      <c r="Z2308" s="300"/>
    </row>
    <row r="2309" spans="1:26">
      <c r="A2309" s="215" t="s">
        <v>4172</v>
      </c>
      <c r="B2309" s="207">
        <v>47</v>
      </c>
      <c r="C2309" s="215" t="s">
        <v>5351</v>
      </c>
      <c r="D2309" s="215" t="s">
        <v>11492</v>
      </c>
      <c r="E2309" s="215" t="s">
        <v>11492</v>
      </c>
      <c r="F2309" s="215" t="s">
        <v>11493</v>
      </c>
      <c r="G2309" s="215" t="s">
        <v>11494</v>
      </c>
      <c r="H2309" s="215" t="s">
        <v>6500</v>
      </c>
      <c r="I2309" s="300"/>
      <c r="J2309" s="300"/>
      <c r="K2309" s="300"/>
      <c r="L2309" s="300"/>
      <c r="M2309" s="300"/>
      <c r="N2309" s="300"/>
      <c r="O2309" s="300"/>
      <c r="P2309" s="300"/>
      <c r="Q2309" s="300"/>
      <c r="R2309" s="300"/>
      <c r="S2309" s="300"/>
      <c r="T2309" s="300"/>
      <c r="U2309" s="300"/>
      <c r="V2309" s="300"/>
      <c r="W2309" s="300"/>
      <c r="X2309" s="300"/>
      <c r="Y2309" s="300"/>
      <c r="Z2309" s="300"/>
    </row>
    <row r="2310" spans="1:26">
      <c r="A2310" s="215" t="s">
        <v>3665</v>
      </c>
      <c r="B2310" s="207">
        <v>48</v>
      </c>
      <c r="C2310" s="215" t="s">
        <v>5755</v>
      </c>
      <c r="D2310" s="215" t="s">
        <v>11495</v>
      </c>
      <c r="E2310" s="215" t="s">
        <v>11495</v>
      </c>
      <c r="F2310" s="215" t="s">
        <v>11493</v>
      </c>
      <c r="G2310" s="215" t="s">
        <v>11494</v>
      </c>
      <c r="H2310" s="215" t="s">
        <v>6504</v>
      </c>
      <c r="I2310" s="300"/>
      <c r="J2310" s="300"/>
      <c r="K2310" s="300"/>
      <c r="L2310" s="300"/>
      <c r="M2310" s="300"/>
      <c r="N2310" s="300"/>
      <c r="O2310" s="300"/>
      <c r="P2310" s="300"/>
      <c r="Q2310" s="300"/>
      <c r="R2310" s="300"/>
      <c r="S2310" s="300"/>
      <c r="T2310" s="300"/>
      <c r="U2310" s="300"/>
      <c r="V2310" s="300"/>
      <c r="W2310" s="300"/>
      <c r="X2310" s="300"/>
      <c r="Y2310" s="300"/>
      <c r="Z2310" s="300"/>
    </row>
    <row r="2311" spans="1:26">
      <c r="A2311" s="215" t="s">
        <v>3462</v>
      </c>
      <c r="B2311" s="207">
        <v>139</v>
      </c>
      <c r="C2311" s="215" t="s">
        <v>4843</v>
      </c>
      <c r="D2311" s="215" t="s">
        <v>11496</v>
      </c>
      <c r="E2311" s="215" t="s">
        <v>11497</v>
      </c>
      <c r="F2311" s="215" t="s">
        <v>11493</v>
      </c>
      <c r="G2311" s="215" t="s">
        <v>11494</v>
      </c>
      <c r="H2311" s="215" t="s">
        <v>6521</v>
      </c>
      <c r="I2311" s="300"/>
      <c r="J2311" s="300"/>
      <c r="K2311" s="300"/>
      <c r="L2311" s="300"/>
      <c r="M2311" s="300"/>
      <c r="N2311" s="300"/>
      <c r="O2311" s="300"/>
      <c r="P2311" s="300"/>
      <c r="Q2311" s="300"/>
      <c r="R2311" s="300"/>
      <c r="S2311" s="300"/>
      <c r="T2311" s="300"/>
      <c r="U2311" s="300"/>
      <c r="V2311" s="300"/>
      <c r="W2311" s="300"/>
      <c r="X2311" s="300"/>
      <c r="Y2311" s="300"/>
      <c r="Z2311" s="300"/>
    </row>
    <row r="2312" spans="1:26">
      <c r="A2312" s="215" t="s">
        <v>3600</v>
      </c>
      <c r="B2312" s="207">
        <v>1633</v>
      </c>
      <c r="C2312" s="215" t="s">
        <v>5699</v>
      </c>
      <c r="D2312" s="215" t="s">
        <v>11498</v>
      </c>
      <c r="E2312" s="215" t="s">
        <v>11499</v>
      </c>
      <c r="F2312" s="215" t="s">
        <v>11493</v>
      </c>
      <c r="G2312" s="215" t="s">
        <v>11494</v>
      </c>
      <c r="H2312" s="215" t="s">
        <v>6504</v>
      </c>
      <c r="I2312" s="300"/>
      <c r="J2312" s="300"/>
      <c r="K2312" s="300"/>
      <c r="L2312" s="300"/>
      <c r="M2312" s="300"/>
      <c r="N2312" s="300"/>
      <c r="O2312" s="300"/>
      <c r="P2312" s="300"/>
      <c r="Q2312" s="300"/>
      <c r="R2312" s="300"/>
      <c r="S2312" s="300"/>
      <c r="T2312" s="300"/>
      <c r="U2312" s="300"/>
      <c r="V2312" s="300"/>
      <c r="W2312" s="300"/>
      <c r="X2312" s="300"/>
      <c r="Y2312" s="300"/>
      <c r="Z2312" s="300"/>
    </row>
    <row r="2313" spans="1:26">
      <c r="A2313" s="215" t="s">
        <v>2783</v>
      </c>
      <c r="B2313" s="207">
        <v>1634</v>
      </c>
      <c r="C2313" s="215" t="s">
        <v>4945</v>
      </c>
      <c r="D2313" s="215" t="s">
        <v>11500</v>
      </c>
      <c r="E2313" s="215" t="s">
        <v>11500</v>
      </c>
      <c r="F2313" s="215" t="s">
        <v>11493</v>
      </c>
      <c r="G2313" s="215" t="s">
        <v>11494</v>
      </c>
      <c r="H2313" s="215" t="s">
        <v>6504</v>
      </c>
      <c r="I2313" s="300"/>
      <c r="J2313" s="300"/>
      <c r="K2313" s="300"/>
      <c r="L2313" s="300"/>
      <c r="M2313" s="300"/>
      <c r="N2313" s="300"/>
      <c r="O2313" s="300"/>
      <c r="P2313" s="300"/>
      <c r="Q2313" s="300"/>
      <c r="R2313" s="300"/>
      <c r="S2313" s="300"/>
      <c r="T2313" s="300"/>
      <c r="U2313" s="300"/>
      <c r="V2313" s="300"/>
      <c r="W2313" s="300"/>
      <c r="X2313" s="300"/>
      <c r="Y2313" s="300"/>
      <c r="Z2313" s="300"/>
    </row>
    <row r="2314" spans="1:26">
      <c r="A2314" s="215" t="s">
        <v>3168</v>
      </c>
      <c r="B2314" s="207">
        <v>1635</v>
      </c>
      <c r="C2314" s="215" t="s">
        <v>5303</v>
      </c>
      <c r="D2314" s="215" t="s">
        <v>11501</v>
      </c>
      <c r="E2314" s="215" t="s">
        <v>11502</v>
      </c>
      <c r="F2314" s="215" t="s">
        <v>11493</v>
      </c>
      <c r="G2314" s="215" t="s">
        <v>11494</v>
      </c>
      <c r="H2314" s="215" t="s">
        <v>6497</v>
      </c>
      <c r="I2314" s="300"/>
      <c r="J2314" s="300"/>
      <c r="K2314" s="300"/>
      <c r="L2314" s="300"/>
      <c r="M2314" s="300"/>
      <c r="N2314" s="300"/>
      <c r="O2314" s="300"/>
      <c r="P2314" s="300"/>
      <c r="Q2314" s="300"/>
      <c r="R2314" s="300"/>
      <c r="S2314" s="300"/>
      <c r="T2314" s="300"/>
      <c r="U2314" s="300"/>
      <c r="V2314" s="300"/>
      <c r="W2314" s="300"/>
      <c r="X2314" s="300"/>
      <c r="Y2314" s="300"/>
      <c r="Z2314" s="300"/>
    </row>
    <row r="2315" spans="1:26">
      <c r="A2315" s="215" t="s">
        <v>3138</v>
      </c>
      <c r="B2315" s="207">
        <v>1636</v>
      </c>
      <c r="C2315" s="215" t="s">
        <v>5275</v>
      </c>
      <c r="D2315" s="215" t="s">
        <v>11503</v>
      </c>
      <c r="E2315" s="215" t="s">
        <v>11504</v>
      </c>
      <c r="F2315" s="215" t="s">
        <v>11493</v>
      </c>
      <c r="G2315" s="215" t="s">
        <v>11494</v>
      </c>
      <c r="H2315" s="215" t="s">
        <v>6500</v>
      </c>
      <c r="I2315" s="300"/>
      <c r="J2315" s="300"/>
      <c r="K2315" s="300"/>
      <c r="L2315" s="300"/>
      <c r="M2315" s="300"/>
      <c r="N2315" s="300"/>
      <c r="O2315" s="300"/>
      <c r="P2315" s="300"/>
      <c r="Q2315" s="300"/>
      <c r="R2315" s="300"/>
      <c r="S2315" s="300"/>
      <c r="T2315" s="300"/>
      <c r="U2315" s="300"/>
      <c r="V2315" s="300"/>
      <c r="W2315" s="300"/>
      <c r="X2315" s="300"/>
      <c r="Y2315" s="300"/>
      <c r="Z2315" s="300"/>
    </row>
    <row r="2316" spans="1:26">
      <c r="A2316" s="215" t="s">
        <v>3633</v>
      </c>
      <c r="B2316" s="207">
        <v>1637</v>
      </c>
      <c r="C2316" s="215" t="s">
        <v>5729</v>
      </c>
      <c r="D2316" s="215" t="s">
        <v>11505</v>
      </c>
      <c r="E2316" s="215" t="s">
        <v>11506</v>
      </c>
      <c r="F2316" s="215" t="s">
        <v>11493</v>
      </c>
      <c r="G2316" s="215" t="s">
        <v>11494</v>
      </c>
      <c r="H2316" s="215" t="s">
        <v>6497</v>
      </c>
      <c r="I2316" s="300"/>
      <c r="J2316" s="300"/>
      <c r="K2316" s="300"/>
      <c r="L2316" s="300"/>
      <c r="M2316" s="300"/>
      <c r="N2316" s="300"/>
      <c r="O2316" s="300"/>
      <c r="P2316" s="300"/>
      <c r="Q2316" s="300"/>
      <c r="R2316" s="300"/>
      <c r="S2316" s="300"/>
      <c r="T2316" s="300"/>
      <c r="U2316" s="300"/>
      <c r="V2316" s="300"/>
      <c r="W2316" s="300"/>
      <c r="X2316" s="300"/>
      <c r="Y2316" s="300"/>
      <c r="Z2316" s="300"/>
    </row>
    <row r="2317" spans="1:26">
      <c r="A2317" s="215" t="s">
        <v>2877</v>
      </c>
      <c r="B2317" s="207">
        <v>1638</v>
      </c>
      <c r="C2317" s="215" t="s">
        <v>5044</v>
      </c>
      <c r="D2317" s="215" t="s">
        <v>11507</v>
      </c>
      <c r="E2317" s="215" t="s">
        <v>11507</v>
      </c>
      <c r="F2317" s="215" t="s">
        <v>11493</v>
      </c>
      <c r="G2317" s="215" t="s">
        <v>11494</v>
      </c>
      <c r="H2317" s="215" t="s">
        <v>6497</v>
      </c>
      <c r="I2317" s="300"/>
      <c r="J2317" s="300"/>
      <c r="K2317" s="300"/>
      <c r="L2317" s="300"/>
      <c r="M2317" s="300"/>
      <c r="N2317" s="300"/>
      <c r="O2317" s="300"/>
      <c r="P2317" s="300"/>
      <c r="Q2317" s="300"/>
      <c r="R2317" s="300"/>
      <c r="S2317" s="300"/>
      <c r="T2317" s="300"/>
      <c r="U2317" s="300"/>
      <c r="V2317" s="300"/>
      <c r="W2317" s="300"/>
      <c r="X2317" s="300"/>
      <c r="Y2317" s="300"/>
      <c r="Z2317" s="300"/>
    </row>
    <row r="2318" spans="1:26">
      <c r="A2318" s="215" t="s">
        <v>3139</v>
      </c>
      <c r="B2318" s="207">
        <v>1639</v>
      </c>
      <c r="C2318" s="215" t="s">
        <v>5276</v>
      </c>
      <c r="D2318" s="215" t="s">
        <v>11508</v>
      </c>
      <c r="E2318" s="215" t="s">
        <v>11508</v>
      </c>
      <c r="F2318" s="215" t="s">
        <v>11493</v>
      </c>
      <c r="G2318" s="215" t="s">
        <v>11494</v>
      </c>
      <c r="H2318" s="215" t="s">
        <v>6497</v>
      </c>
      <c r="I2318" s="300"/>
      <c r="J2318" s="300"/>
      <c r="K2318" s="300"/>
      <c r="L2318" s="300"/>
      <c r="M2318" s="300"/>
      <c r="N2318" s="300"/>
      <c r="O2318" s="300"/>
      <c r="P2318" s="300"/>
      <c r="Q2318" s="300"/>
      <c r="R2318" s="300"/>
      <c r="S2318" s="300"/>
      <c r="T2318" s="300"/>
      <c r="U2318" s="300"/>
      <c r="V2318" s="300"/>
      <c r="W2318" s="300"/>
      <c r="X2318" s="300"/>
      <c r="Y2318" s="300"/>
      <c r="Z2318" s="300"/>
    </row>
    <row r="2319" spans="1:26">
      <c r="A2319" s="215" t="s">
        <v>3329</v>
      </c>
      <c r="B2319" s="207">
        <v>1640</v>
      </c>
      <c r="C2319" s="215" t="s">
        <v>5454</v>
      </c>
      <c r="D2319" s="215" t="s">
        <v>11509</v>
      </c>
      <c r="E2319" s="215" t="s">
        <v>11510</v>
      </c>
      <c r="F2319" s="215" t="s">
        <v>11493</v>
      </c>
      <c r="G2319" s="215" t="s">
        <v>11494</v>
      </c>
      <c r="H2319" s="215" t="s">
        <v>6504</v>
      </c>
      <c r="I2319" s="300"/>
      <c r="J2319" s="300"/>
      <c r="K2319" s="300"/>
      <c r="L2319" s="300"/>
      <c r="M2319" s="300"/>
      <c r="N2319" s="300"/>
      <c r="O2319" s="300"/>
      <c r="P2319" s="300"/>
      <c r="Q2319" s="300"/>
      <c r="R2319" s="300"/>
      <c r="S2319" s="300"/>
      <c r="T2319" s="300"/>
      <c r="U2319" s="300"/>
      <c r="V2319" s="300"/>
      <c r="W2319" s="300"/>
      <c r="X2319" s="300"/>
      <c r="Y2319" s="300"/>
      <c r="Z2319" s="300"/>
    </row>
    <row r="2320" spans="1:26">
      <c r="A2320" s="215" t="s">
        <v>4575</v>
      </c>
      <c r="B2320" s="207">
        <v>1641</v>
      </c>
      <c r="C2320" s="215" t="s">
        <v>6477</v>
      </c>
      <c r="D2320" s="215" t="s">
        <v>11511</v>
      </c>
      <c r="E2320" s="215" t="s">
        <v>11511</v>
      </c>
      <c r="F2320" s="215" t="s">
        <v>11493</v>
      </c>
      <c r="G2320" s="215" t="s">
        <v>11494</v>
      </c>
      <c r="H2320" s="215" t="s">
        <v>6500</v>
      </c>
      <c r="I2320" s="300"/>
      <c r="J2320" s="300"/>
      <c r="K2320" s="300"/>
      <c r="L2320" s="300"/>
      <c r="M2320" s="300"/>
      <c r="N2320" s="300"/>
      <c r="O2320" s="300"/>
      <c r="P2320" s="300"/>
      <c r="Q2320" s="300"/>
      <c r="R2320" s="300"/>
      <c r="S2320" s="300"/>
      <c r="T2320" s="300"/>
      <c r="U2320" s="300"/>
      <c r="V2320" s="300"/>
      <c r="W2320" s="300"/>
      <c r="X2320" s="300"/>
      <c r="Y2320" s="300"/>
      <c r="Z2320" s="300"/>
    </row>
    <row r="2321" spans="1:26">
      <c r="A2321" s="215" t="s">
        <v>4351</v>
      </c>
      <c r="B2321" s="207">
        <v>1642</v>
      </c>
      <c r="C2321" s="215" t="s">
        <v>5937</v>
      </c>
      <c r="D2321" s="215" t="s">
        <v>11512</v>
      </c>
      <c r="E2321" s="215" t="s">
        <v>4351</v>
      </c>
      <c r="F2321" s="215" t="s">
        <v>11493</v>
      </c>
      <c r="G2321" s="215" t="s">
        <v>11494</v>
      </c>
      <c r="H2321" s="215" t="s">
        <v>6504</v>
      </c>
      <c r="I2321" s="300"/>
      <c r="J2321" s="300"/>
      <c r="K2321" s="300"/>
      <c r="L2321" s="300"/>
      <c r="M2321" s="300"/>
      <c r="N2321" s="300"/>
      <c r="O2321" s="300"/>
      <c r="P2321" s="300"/>
      <c r="Q2321" s="300"/>
      <c r="R2321" s="300"/>
      <c r="S2321" s="300"/>
      <c r="T2321" s="300"/>
      <c r="U2321" s="300"/>
      <c r="V2321" s="300"/>
      <c r="W2321" s="300"/>
      <c r="X2321" s="300"/>
      <c r="Y2321" s="300"/>
      <c r="Z2321" s="300"/>
    </row>
    <row r="2322" spans="1:26">
      <c r="A2322" s="215" t="s">
        <v>3694</v>
      </c>
      <c r="B2322" s="207">
        <v>1643</v>
      </c>
      <c r="C2322" s="215" t="s">
        <v>11513</v>
      </c>
      <c r="D2322" s="215" t="s">
        <v>11514</v>
      </c>
      <c r="E2322" s="215" t="s">
        <v>11515</v>
      </c>
      <c r="F2322" s="215" t="s">
        <v>11493</v>
      </c>
      <c r="G2322" s="215" t="s">
        <v>11494</v>
      </c>
      <c r="H2322" s="215" t="s">
        <v>6497</v>
      </c>
      <c r="I2322" s="300"/>
      <c r="J2322" s="300"/>
      <c r="K2322" s="300"/>
      <c r="L2322" s="300"/>
      <c r="M2322" s="300"/>
      <c r="N2322" s="300"/>
      <c r="O2322" s="300"/>
      <c r="P2322" s="300"/>
      <c r="Q2322" s="300"/>
      <c r="R2322" s="300"/>
      <c r="S2322" s="300"/>
      <c r="T2322" s="300"/>
      <c r="U2322" s="300"/>
      <c r="V2322" s="300"/>
      <c r="W2322" s="300"/>
      <c r="X2322" s="300"/>
      <c r="Y2322" s="300"/>
      <c r="Z2322" s="300"/>
    </row>
    <row r="2323" spans="1:26">
      <c r="A2323" s="215" t="s">
        <v>4194</v>
      </c>
      <c r="B2323" s="207">
        <v>1644</v>
      </c>
      <c r="C2323" s="215" t="s">
        <v>6179</v>
      </c>
      <c r="D2323" s="215" t="s">
        <v>11516</v>
      </c>
      <c r="E2323" s="215" t="s">
        <v>11517</v>
      </c>
      <c r="F2323" s="215" t="s">
        <v>11493</v>
      </c>
      <c r="G2323" s="215" t="s">
        <v>11494</v>
      </c>
      <c r="H2323" s="215" t="s">
        <v>6497</v>
      </c>
      <c r="I2323" s="300"/>
      <c r="J2323" s="300"/>
      <c r="K2323" s="300"/>
      <c r="L2323" s="300"/>
      <c r="M2323" s="300"/>
      <c r="N2323" s="300"/>
      <c r="O2323" s="300"/>
      <c r="P2323" s="300"/>
      <c r="Q2323" s="300"/>
      <c r="R2323" s="300"/>
      <c r="S2323" s="300"/>
      <c r="T2323" s="300"/>
      <c r="U2323" s="300"/>
      <c r="V2323" s="300"/>
      <c r="W2323" s="300"/>
      <c r="X2323" s="300"/>
      <c r="Y2323" s="300"/>
      <c r="Z2323" s="300"/>
    </row>
    <row r="2324" spans="1:26">
      <c r="A2324" s="215" t="s">
        <v>3307</v>
      </c>
      <c r="B2324" s="207">
        <v>1645</v>
      </c>
      <c r="C2324" s="215" t="s">
        <v>5433</v>
      </c>
      <c r="D2324" s="215" t="s">
        <v>11518</v>
      </c>
      <c r="E2324" s="215" t="s">
        <v>11519</v>
      </c>
      <c r="F2324" s="215" t="s">
        <v>11493</v>
      </c>
      <c r="G2324" s="215" t="s">
        <v>11494</v>
      </c>
      <c r="H2324" s="215" t="s">
        <v>6504</v>
      </c>
      <c r="I2324" s="300"/>
      <c r="J2324" s="300"/>
      <c r="K2324" s="300"/>
      <c r="L2324" s="300"/>
      <c r="M2324" s="300"/>
      <c r="N2324" s="300"/>
      <c r="O2324" s="300"/>
      <c r="P2324" s="300"/>
      <c r="Q2324" s="300"/>
      <c r="R2324" s="300"/>
      <c r="S2324" s="300"/>
      <c r="T2324" s="300"/>
      <c r="U2324" s="300"/>
      <c r="V2324" s="300"/>
      <c r="W2324" s="300"/>
      <c r="X2324" s="300"/>
      <c r="Y2324" s="300"/>
      <c r="Z2324" s="300"/>
    </row>
    <row r="2325" spans="1:26">
      <c r="A2325" s="215" t="s">
        <v>4037</v>
      </c>
      <c r="B2325" s="207">
        <v>1646</v>
      </c>
      <c r="C2325" s="215" t="s">
        <v>6062</v>
      </c>
      <c r="D2325" s="215" t="s">
        <v>11520</v>
      </c>
      <c r="E2325" s="215" t="s">
        <v>11520</v>
      </c>
      <c r="F2325" s="215" t="s">
        <v>11493</v>
      </c>
      <c r="G2325" s="215" t="s">
        <v>11494</v>
      </c>
      <c r="H2325" s="215" t="s">
        <v>6500</v>
      </c>
      <c r="I2325" s="300"/>
      <c r="J2325" s="300"/>
      <c r="K2325" s="300"/>
      <c r="L2325" s="300"/>
      <c r="M2325" s="300"/>
      <c r="N2325" s="300"/>
      <c r="O2325" s="300"/>
      <c r="P2325" s="300"/>
      <c r="Q2325" s="300"/>
      <c r="R2325" s="300"/>
      <c r="S2325" s="300"/>
      <c r="T2325" s="300"/>
      <c r="U2325" s="300"/>
      <c r="V2325" s="300"/>
      <c r="W2325" s="300"/>
      <c r="X2325" s="300"/>
      <c r="Y2325" s="300"/>
      <c r="Z2325" s="300"/>
    </row>
    <row r="2326" spans="1:26">
      <c r="A2326" s="215" t="s">
        <v>4306</v>
      </c>
      <c r="B2326" s="207">
        <v>1647</v>
      </c>
      <c r="C2326" s="215" t="s">
        <v>6264</v>
      </c>
      <c r="D2326" s="215" t="s">
        <v>11521</v>
      </c>
      <c r="E2326" s="215" t="s">
        <v>11521</v>
      </c>
      <c r="F2326" s="215" t="s">
        <v>11493</v>
      </c>
      <c r="G2326" s="215" t="s">
        <v>11494</v>
      </c>
      <c r="H2326" s="215" t="s">
        <v>6504</v>
      </c>
      <c r="I2326" s="300"/>
      <c r="J2326" s="300"/>
      <c r="K2326" s="300"/>
      <c r="L2326" s="300"/>
      <c r="M2326" s="300"/>
      <c r="N2326" s="300"/>
      <c r="O2326" s="300"/>
      <c r="P2326" s="300"/>
      <c r="Q2326" s="300"/>
      <c r="R2326" s="300"/>
      <c r="S2326" s="300"/>
      <c r="T2326" s="300"/>
      <c r="U2326" s="300"/>
      <c r="V2326" s="300"/>
      <c r="W2326" s="300"/>
      <c r="X2326" s="300"/>
      <c r="Y2326" s="300"/>
      <c r="Z2326" s="300"/>
    </row>
    <row r="2327" spans="1:26">
      <c r="A2327" s="215" t="s">
        <v>3433</v>
      </c>
      <c r="B2327" s="207">
        <v>1648</v>
      </c>
      <c r="C2327" s="215" t="s">
        <v>5554</v>
      </c>
      <c r="D2327" s="215" t="s">
        <v>11522</v>
      </c>
      <c r="E2327" s="215" t="s">
        <v>11523</v>
      </c>
      <c r="F2327" s="215" t="s">
        <v>11493</v>
      </c>
      <c r="G2327" s="215" t="s">
        <v>11494</v>
      </c>
      <c r="H2327" s="215" t="s">
        <v>6504</v>
      </c>
      <c r="I2327" s="300"/>
      <c r="J2327" s="300"/>
      <c r="K2327" s="300"/>
      <c r="L2327" s="300"/>
      <c r="M2327" s="300"/>
      <c r="N2327" s="300"/>
      <c r="O2327" s="300"/>
      <c r="P2327" s="300"/>
      <c r="Q2327" s="300"/>
      <c r="R2327" s="300"/>
      <c r="S2327" s="300"/>
      <c r="T2327" s="300"/>
      <c r="U2327" s="300"/>
      <c r="V2327" s="300"/>
      <c r="W2327" s="300"/>
      <c r="X2327" s="300"/>
      <c r="Y2327" s="300"/>
      <c r="Z2327" s="300"/>
    </row>
    <row r="2328" spans="1:26">
      <c r="A2328" s="215" t="s">
        <v>3116</v>
      </c>
      <c r="B2328" s="207">
        <v>1649</v>
      </c>
      <c r="C2328" s="215" t="s">
        <v>5251</v>
      </c>
      <c r="D2328" s="215" t="s">
        <v>11524</v>
      </c>
      <c r="E2328" s="215" t="s">
        <v>11525</v>
      </c>
      <c r="F2328" s="215" t="s">
        <v>11493</v>
      </c>
      <c r="G2328" s="215" t="s">
        <v>11494</v>
      </c>
      <c r="H2328" s="215" t="s">
        <v>6504</v>
      </c>
      <c r="I2328" s="300"/>
      <c r="J2328" s="300"/>
      <c r="K2328" s="300"/>
      <c r="L2328" s="300"/>
      <c r="M2328" s="300"/>
      <c r="N2328" s="300"/>
      <c r="O2328" s="300"/>
      <c r="P2328" s="300"/>
      <c r="Q2328" s="300"/>
      <c r="R2328" s="300"/>
      <c r="S2328" s="300"/>
      <c r="T2328" s="300"/>
      <c r="U2328" s="300"/>
      <c r="V2328" s="300"/>
      <c r="W2328" s="300"/>
      <c r="X2328" s="300"/>
      <c r="Y2328" s="300"/>
      <c r="Z2328" s="300"/>
    </row>
    <row r="2329" spans="1:26">
      <c r="A2329" s="215" t="s">
        <v>3487</v>
      </c>
      <c r="B2329" s="207">
        <v>1650</v>
      </c>
      <c r="C2329" s="215" t="s">
        <v>5596</v>
      </c>
      <c r="D2329" s="215" t="s">
        <v>11526</v>
      </c>
      <c r="E2329" s="215" t="s">
        <v>11527</v>
      </c>
      <c r="F2329" s="215" t="s">
        <v>11493</v>
      </c>
      <c r="G2329" s="215" t="s">
        <v>11494</v>
      </c>
      <c r="H2329" s="215" t="s">
        <v>6500</v>
      </c>
      <c r="I2329" s="300"/>
      <c r="J2329" s="300"/>
      <c r="K2329" s="300"/>
      <c r="L2329" s="300"/>
      <c r="M2329" s="300"/>
      <c r="N2329" s="300"/>
      <c r="O2329" s="300"/>
      <c r="P2329" s="300"/>
      <c r="Q2329" s="300"/>
      <c r="R2329" s="300"/>
      <c r="S2329" s="300"/>
      <c r="T2329" s="300"/>
      <c r="U2329" s="300"/>
      <c r="V2329" s="300"/>
      <c r="W2329" s="300"/>
      <c r="X2329" s="300"/>
      <c r="Y2329" s="300"/>
      <c r="Z2329" s="300"/>
    </row>
    <row r="2330" spans="1:26">
      <c r="A2330" s="215" t="s">
        <v>3235</v>
      </c>
      <c r="B2330" s="207">
        <v>1651</v>
      </c>
      <c r="C2330" s="215" t="s">
        <v>5367</v>
      </c>
      <c r="D2330" s="215" t="s">
        <v>11528</v>
      </c>
      <c r="E2330" s="215" t="s">
        <v>11528</v>
      </c>
      <c r="F2330" s="215" t="s">
        <v>11493</v>
      </c>
      <c r="G2330" s="215" t="s">
        <v>11494</v>
      </c>
      <c r="H2330" s="215" t="s">
        <v>6548</v>
      </c>
      <c r="I2330" s="300"/>
      <c r="J2330" s="300"/>
      <c r="K2330" s="300"/>
      <c r="L2330" s="300"/>
      <c r="M2330" s="300"/>
      <c r="N2330" s="300"/>
      <c r="O2330" s="300"/>
      <c r="P2330" s="300"/>
      <c r="Q2330" s="300"/>
      <c r="R2330" s="300"/>
      <c r="S2330" s="300"/>
      <c r="T2330" s="300"/>
      <c r="U2330" s="300"/>
      <c r="V2330" s="300"/>
      <c r="W2330" s="300"/>
      <c r="X2330" s="300"/>
      <c r="Y2330" s="300"/>
      <c r="Z2330" s="300"/>
    </row>
    <row r="2331" spans="1:26">
      <c r="A2331" s="215" t="s">
        <v>3796</v>
      </c>
      <c r="B2331" s="207">
        <v>1652</v>
      </c>
      <c r="C2331" s="215" t="s">
        <v>5870</v>
      </c>
      <c r="D2331" s="215" t="s">
        <v>3796</v>
      </c>
      <c r="E2331" s="215" t="s">
        <v>3796</v>
      </c>
      <c r="F2331" s="215" t="s">
        <v>11493</v>
      </c>
      <c r="G2331" s="215" t="s">
        <v>11494</v>
      </c>
      <c r="H2331" s="215" t="s">
        <v>6497</v>
      </c>
      <c r="I2331" s="300"/>
      <c r="J2331" s="300"/>
      <c r="K2331" s="300"/>
      <c r="L2331" s="300"/>
      <c r="M2331" s="300"/>
      <c r="N2331" s="300"/>
      <c r="O2331" s="300"/>
      <c r="P2331" s="300"/>
      <c r="Q2331" s="300"/>
      <c r="R2331" s="300"/>
      <c r="S2331" s="300"/>
      <c r="T2331" s="300"/>
      <c r="U2331" s="300"/>
      <c r="V2331" s="300"/>
      <c r="W2331" s="300"/>
      <c r="X2331" s="300"/>
      <c r="Y2331" s="300"/>
      <c r="Z2331" s="300"/>
    </row>
    <row r="2332" spans="1:26">
      <c r="A2332" s="215" t="s">
        <v>2890</v>
      </c>
      <c r="B2332" s="207">
        <v>1653</v>
      </c>
      <c r="C2332" s="215" t="s">
        <v>5052</v>
      </c>
      <c r="D2332" s="215" t="s">
        <v>11529</v>
      </c>
      <c r="E2332" s="215" t="s">
        <v>11530</v>
      </c>
      <c r="F2332" s="215" t="s">
        <v>11493</v>
      </c>
      <c r="G2332" s="215" t="s">
        <v>11494</v>
      </c>
      <c r="H2332" s="215" t="s">
        <v>6548</v>
      </c>
      <c r="I2332" s="300"/>
      <c r="J2332" s="300"/>
      <c r="K2332" s="300"/>
      <c r="L2332" s="300"/>
      <c r="M2332" s="300"/>
      <c r="N2332" s="300"/>
      <c r="O2332" s="300"/>
      <c r="P2332" s="300"/>
      <c r="Q2332" s="300"/>
      <c r="R2332" s="300"/>
      <c r="S2332" s="300"/>
      <c r="T2332" s="300"/>
      <c r="U2332" s="300"/>
      <c r="V2332" s="300"/>
      <c r="W2332" s="300"/>
      <c r="X2332" s="300"/>
      <c r="Y2332" s="300"/>
      <c r="Z2332" s="300"/>
    </row>
    <row r="2333" spans="1:26">
      <c r="A2333" s="215" t="s">
        <v>3411</v>
      </c>
      <c r="B2333" s="207">
        <v>1654</v>
      </c>
      <c r="C2333" s="215" t="s">
        <v>5534</v>
      </c>
      <c r="D2333" s="215" t="s">
        <v>11531</v>
      </c>
      <c r="E2333" s="215" t="s">
        <v>11532</v>
      </c>
      <c r="F2333" s="215" t="s">
        <v>11493</v>
      </c>
      <c r="G2333" s="215" t="s">
        <v>11494</v>
      </c>
      <c r="H2333" s="215" t="s">
        <v>6500</v>
      </c>
      <c r="I2333" s="300"/>
      <c r="J2333" s="300"/>
      <c r="K2333" s="300"/>
      <c r="L2333" s="300"/>
      <c r="M2333" s="300"/>
      <c r="N2333" s="300"/>
      <c r="O2333" s="300"/>
      <c r="P2333" s="300"/>
      <c r="Q2333" s="300"/>
      <c r="R2333" s="300"/>
      <c r="S2333" s="300"/>
      <c r="T2333" s="300"/>
      <c r="U2333" s="300"/>
      <c r="V2333" s="300"/>
      <c r="W2333" s="300"/>
      <c r="X2333" s="300"/>
      <c r="Y2333" s="300"/>
      <c r="Z2333" s="300"/>
    </row>
    <row r="2334" spans="1:26">
      <c r="A2334" s="215" t="s">
        <v>3602</v>
      </c>
      <c r="B2334" s="207">
        <v>1655</v>
      </c>
      <c r="C2334" s="215" t="s">
        <v>5701</v>
      </c>
      <c r="D2334" s="215" t="s">
        <v>11533</v>
      </c>
      <c r="E2334" s="215" t="s">
        <v>11533</v>
      </c>
      <c r="F2334" s="215" t="s">
        <v>11493</v>
      </c>
      <c r="G2334" s="215" t="s">
        <v>11494</v>
      </c>
      <c r="H2334" s="215" t="s">
        <v>6497</v>
      </c>
      <c r="I2334" s="300"/>
      <c r="J2334" s="300"/>
      <c r="K2334" s="300"/>
      <c r="L2334" s="300"/>
      <c r="M2334" s="300"/>
      <c r="N2334" s="300"/>
      <c r="O2334" s="300"/>
      <c r="P2334" s="300"/>
      <c r="Q2334" s="300"/>
      <c r="R2334" s="300"/>
      <c r="S2334" s="300"/>
      <c r="T2334" s="300"/>
      <c r="U2334" s="300"/>
      <c r="V2334" s="300"/>
      <c r="W2334" s="300"/>
      <c r="X2334" s="300"/>
      <c r="Y2334" s="300"/>
      <c r="Z2334" s="300"/>
    </row>
    <row r="2335" spans="1:26">
      <c r="A2335" s="215" t="s">
        <v>4397</v>
      </c>
      <c r="B2335" s="207">
        <v>1656</v>
      </c>
      <c r="C2335" s="215" t="s">
        <v>6338</v>
      </c>
      <c r="D2335" s="215" t="s">
        <v>11534</v>
      </c>
      <c r="E2335" s="215" t="s">
        <v>11535</v>
      </c>
      <c r="F2335" s="215" t="s">
        <v>11493</v>
      </c>
      <c r="G2335" s="215" t="s">
        <v>11494</v>
      </c>
      <c r="H2335" s="215" t="s">
        <v>6500</v>
      </c>
      <c r="I2335" s="300"/>
      <c r="J2335" s="300"/>
      <c r="K2335" s="300"/>
      <c r="L2335" s="300"/>
      <c r="M2335" s="300"/>
      <c r="N2335" s="300"/>
      <c r="O2335" s="300"/>
      <c r="P2335" s="300"/>
      <c r="Q2335" s="300"/>
      <c r="R2335" s="300"/>
      <c r="S2335" s="300"/>
      <c r="T2335" s="300"/>
      <c r="U2335" s="300"/>
      <c r="V2335" s="300"/>
      <c r="W2335" s="300"/>
      <c r="X2335" s="300"/>
      <c r="Y2335" s="300"/>
      <c r="Z2335" s="300"/>
    </row>
    <row r="2336" spans="1:26">
      <c r="A2336" s="215" t="s">
        <v>3114</v>
      </c>
      <c r="B2336" s="207">
        <v>1657</v>
      </c>
      <c r="C2336" s="215" t="s">
        <v>5246</v>
      </c>
      <c r="D2336" s="215" t="s">
        <v>11536</v>
      </c>
      <c r="E2336" s="215" t="s">
        <v>11536</v>
      </c>
      <c r="F2336" s="215" t="s">
        <v>11493</v>
      </c>
      <c r="G2336" s="215" t="s">
        <v>11494</v>
      </c>
      <c r="H2336" s="215" t="s">
        <v>6504</v>
      </c>
      <c r="I2336" s="300"/>
      <c r="J2336" s="300"/>
      <c r="K2336" s="300"/>
      <c r="L2336" s="300"/>
      <c r="M2336" s="300"/>
      <c r="N2336" s="300"/>
      <c r="O2336" s="300"/>
      <c r="P2336" s="300"/>
      <c r="Q2336" s="300"/>
      <c r="R2336" s="300"/>
      <c r="S2336" s="300"/>
      <c r="T2336" s="300"/>
      <c r="U2336" s="300"/>
      <c r="V2336" s="300"/>
      <c r="W2336" s="300"/>
      <c r="X2336" s="300"/>
      <c r="Y2336" s="300"/>
      <c r="Z2336" s="300"/>
    </row>
    <row r="2337" spans="1:26">
      <c r="A2337" s="215"/>
      <c r="B2337" s="207">
        <v>149</v>
      </c>
      <c r="C2337" s="215" t="s">
        <v>11537</v>
      </c>
      <c r="D2337" s="215" t="s">
        <v>11538</v>
      </c>
      <c r="E2337" s="215" t="s">
        <v>11539</v>
      </c>
      <c r="F2337" s="215" t="s">
        <v>11540</v>
      </c>
      <c r="G2337" s="215" t="s">
        <v>11541</v>
      </c>
      <c r="H2337" s="215" t="s">
        <v>6521</v>
      </c>
      <c r="I2337" s="300"/>
      <c r="J2337" s="300"/>
      <c r="K2337" s="300"/>
      <c r="L2337" s="300"/>
      <c r="M2337" s="300"/>
      <c r="N2337" s="300"/>
      <c r="O2337" s="300"/>
      <c r="P2337" s="300"/>
      <c r="Q2337" s="300"/>
      <c r="R2337" s="300"/>
      <c r="S2337" s="300"/>
      <c r="T2337" s="300"/>
      <c r="U2337" s="300"/>
      <c r="V2337" s="300"/>
      <c r="W2337" s="300"/>
      <c r="X2337" s="300"/>
      <c r="Y2337" s="300"/>
      <c r="Z2337" s="300"/>
    </row>
    <row r="2338" spans="1:26">
      <c r="A2338" s="215" t="s">
        <v>3520</v>
      </c>
      <c r="B2338" s="207">
        <v>539</v>
      </c>
      <c r="C2338" s="215" t="s">
        <v>5630</v>
      </c>
      <c r="D2338" s="215" t="s">
        <v>11542</v>
      </c>
      <c r="E2338" s="215" t="s">
        <v>11543</v>
      </c>
      <c r="F2338" s="215" t="s">
        <v>11540</v>
      </c>
      <c r="G2338" s="215" t="s">
        <v>11541</v>
      </c>
      <c r="H2338" s="215" t="s">
        <v>6500</v>
      </c>
      <c r="I2338" s="300"/>
      <c r="J2338" s="300"/>
      <c r="K2338" s="300"/>
      <c r="L2338" s="300"/>
      <c r="M2338" s="300"/>
      <c r="N2338" s="300"/>
      <c r="O2338" s="300"/>
      <c r="P2338" s="300"/>
      <c r="Q2338" s="300"/>
      <c r="R2338" s="300"/>
      <c r="S2338" s="300"/>
      <c r="T2338" s="300"/>
      <c r="U2338" s="300"/>
      <c r="V2338" s="300"/>
      <c r="W2338" s="300"/>
      <c r="X2338" s="300"/>
      <c r="Y2338" s="300"/>
      <c r="Z2338" s="300"/>
    </row>
    <row r="2339" spans="1:26">
      <c r="A2339" s="215" t="s">
        <v>3670</v>
      </c>
      <c r="B2339" s="207">
        <v>545</v>
      </c>
      <c r="C2339" s="215" t="s">
        <v>5758</v>
      </c>
      <c r="D2339" s="215" t="s">
        <v>3663</v>
      </c>
      <c r="E2339" s="215" t="s">
        <v>3663</v>
      </c>
      <c r="F2339" s="215" t="s">
        <v>11540</v>
      </c>
      <c r="G2339" s="215" t="s">
        <v>11541</v>
      </c>
      <c r="H2339" s="215" t="s">
        <v>6500</v>
      </c>
      <c r="I2339" s="300"/>
      <c r="J2339" s="300"/>
      <c r="K2339" s="300"/>
      <c r="L2339" s="300"/>
      <c r="M2339" s="300"/>
      <c r="N2339" s="300"/>
      <c r="O2339" s="300"/>
      <c r="P2339" s="300"/>
      <c r="Q2339" s="300"/>
      <c r="R2339" s="300"/>
      <c r="S2339" s="300"/>
      <c r="T2339" s="300"/>
      <c r="U2339" s="300"/>
      <c r="V2339" s="300"/>
      <c r="W2339" s="300"/>
      <c r="X2339" s="300"/>
      <c r="Y2339" s="300"/>
      <c r="Z2339" s="300"/>
    </row>
    <row r="2340" spans="1:26">
      <c r="A2340" s="215"/>
      <c r="B2340" s="207">
        <v>547</v>
      </c>
      <c r="C2340" s="215" t="s">
        <v>5999</v>
      </c>
      <c r="D2340" s="215" t="s">
        <v>11544</v>
      </c>
      <c r="E2340" s="215" t="s">
        <v>11545</v>
      </c>
      <c r="F2340" s="215" t="s">
        <v>11540</v>
      </c>
      <c r="G2340" s="215" t="s">
        <v>11541</v>
      </c>
      <c r="H2340" s="215" t="s">
        <v>6548</v>
      </c>
      <c r="I2340" s="300"/>
      <c r="J2340" s="300"/>
      <c r="K2340" s="300"/>
      <c r="L2340" s="300"/>
      <c r="M2340" s="300"/>
      <c r="N2340" s="300"/>
      <c r="O2340" s="300"/>
      <c r="P2340" s="300"/>
      <c r="Q2340" s="300"/>
      <c r="R2340" s="300"/>
      <c r="S2340" s="300"/>
      <c r="T2340" s="300"/>
      <c r="U2340" s="300"/>
      <c r="V2340" s="300"/>
      <c r="W2340" s="300"/>
      <c r="X2340" s="300"/>
      <c r="Y2340" s="300"/>
      <c r="Z2340" s="300"/>
    </row>
    <row r="2341" spans="1:26">
      <c r="A2341" s="215" t="s">
        <v>4049</v>
      </c>
      <c r="B2341" s="207">
        <v>1002</v>
      </c>
      <c r="C2341" s="215" t="s">
        <v>11546</v>
      </c>
      <c r="D2341" s="215" t="s">
        <v>11547</v>
      </c>
      <c r="E2341" s="215" t="s">
        <v>11548</v>
      </c>
      <c r="F2341" s="215" t="s">
        <v>11540</v>
      </c>
      <c r="G2341" s="215" t="s">
        <v>11541</v>
      </c>
      <c r="H2341" s="215" t="s">
        <v>6497</v>
      </c>
      <c r="I2341" s="300"/>
      <c r="J2341" s="300"/>
      <c r="K2341" s="300"/>
      <c r="L2341" s="300"/>
      <c r="M2341" s="300"/>
      <c r="N2341" s="300"/>
      <c r="O2341" s="300"/>
      <c r="P2341" s="300"/>
      <c r="Q2341" s="300"/>
      <c r="R2341" s="300"/>
      <c r="S2341" s="300"/>
      <c r="T2341" s="300"/>
      <c r="U2341" s="300"/>
      <c r="V2341" s="300"/>
      <c r="W2341" s="300"/>
      <c r="X2341" s="300"/>
      <c r="Y2341" s="300"/>
      <c r="Z2341" s="300"/>
    </row>
    <row r="2342" spans="1:26">
      <c r="A2342" s="215" t="s">
        <v>4240</v>
      </c>
      <c r="B2342" s="207">
        <v>1003</v>
      </c>
      <c r="C2342" s="215" t="s">
        <v>11549</v>
      </c>
      <c r="D2342" s="215" t="s">
        <v>11550</v>
      </c>
      <c r="E2342" s="215" t="s">
        <v>11551</v>
      </c>
      <c r="F2342" s="215" t="s">
        <v>11540</v>
      </c>
      <c r="G2342" s="215" t="s">
        <v>11541</v>
      </c>
      <c r="H2342" s="215" t="s">
        <v>6504</v>
      </c>
      <c r="I2342" s="300"/>
      <c r="J2342" s="300"/>
      <c r="K2342" s="300"/>
      <c r="L2342" s="300"/>
      <c r="M2342" s="300"/>
      <c r="N2342" s="300"/>
      <c r="O2342" s="300"/>
      <c r="P2342" s="300"/>
      <c r="Q2342" s="300"/>
      <c r="R2342" s="300"/>
      <c r="S2342" s="300"/>
      <c r="T2342" s="300"/>
      <c r="U2342" s="300"/>
      <c r="V2342" s="300"/>
      <c r="W2342" s="300"/>
      <c r="X2342" s="300"/>
      <c r="Y2342" s="300"/>
      <c r="Z2342" s="300"/>
    </row>
    <row r="2343" spans="1:26">
      <c r="A2343" s="215" t="s">
        <v>4357</v>
      </c>
      <c r="B2343" s="207">
        <v>1005</v>
      </c>
      <c r="C2343" s="215" t="s">
        <v>5475</v>
      </c>
      <c r="D2343" s="215" t="s">
        <v>11552</v>
      </c>
      <c r="E2343" s="215" t="s">
        <v>11553</v>
      </c>
      <c r="F2343" s="215" t="s">
        <v>11540</v>
      </c>
      <c r="G2343" s="215" t="s">
        <v>11541</v>
      </c>
      <c r="H2343" s="215" t="s">
        <v>6504</v>
      </c>
      <c r="I2343" s="300"/>
      <c r="J2343" s="300"/>
      <c r="K2343" s="300"/>
      <c r="L2343" s="300"/>
      <c r="M2343" s="300"/>
      <c r="N2343" s="300"/>
      <c r="O2343" s="300"/>
      <c r="P2343" s="300"/>
      <c r="Q2343" s="300"/>
      <c r="R2343" s="300"/>
      <c r="S2343" s="300"/>
      <c r="T2343" s="300"/>
      <c r="U2343" s="300"/>
      <c r="V2343" s="300"/>
      <c r="W2343" s="300"/>
      <c r="X2343" s="300"/>
      <c r="Y2343" s="300"/>
      <c r="Z2343" s="300"/>
    </row>
    <row r="2344" spans="1:26">
      <c r="A2344" s="215" t="s">
        <v>3428</v>
      </c>
      <c r="B2344" s="207">
        <v>1007</v>
      </c>
      <c r="C2344" s="215" t="s">
        <v>11554</v>
      </c>
      <c r="D2344" s="215" t="s">
        <v>11555</v>
      </c>
      <c r="E2344" s="215" t="s">
        <v>11556</v>
      </c>
      <c r="F2344" s="215" t="s">
        <v>11540</v>
      </c>
      <c r="G2344" s="215" t="s">
        <v>11541</v>
      </c>
      <c r="H2344" s="215" t="s">
        <v>6504</v>
      </c>
      <c r="I2344" s="300"/>
      <c r="J2344" s="300"/>
      <c r="K2344" s="300"/>
      <c r="L2344" s="300"/>
      <c r="M2344" s="300"/>
      <c r="N2344" s="300"/>
      <c r="O2344" s="300"/>
      <c r="P2344" s="300"/>
      <c r="Q2344" s="300"/>
      <c r="R2344" s="300"/>
      <c r="S2344" s="300"/>
      <c r="T2344" s="300"/>
      <c r="U2344" s="300"/>
      <c r="V2344" s="300"/>
      <c r="W2344" s="300"/>
      <c r="X2344" s="300"/>
      <c r="Y2344" s="300"/>
      <c r="Z2344" s="300"/>
    </row>
    <row r="2345" spans="1:26">
      <c r="A2345" s="215" t="s">
        <v>2922</v>
      </c>
      <c r="B2345" s="207">
        <v>1008</v>
      </c>
      <c r="C2345" s="215" t="s">
        <v>5080</v>
      </c>
      <c r="D2345" s="215" t="s">
        <v>11557</v>
      </c>
      <c r="E2345" s="215" t="s">
        <v>11558</v>
      </c>
      <c r="F2345" s="215" t="s">
        <v>11540</v>
      </c>
      <c r="G2345" s="215" t="s">
        <v>11541</v>
      </c>
      <c r="H2345" s="215" t="s">
        <v>6500</v>
      </c>
      <c r="I2345" s="300"/>
      <c r="J2345" s="300"/>
      <c r="K2345" s="300"/>
      <c r="L2345" s="300"/>
      <c r="M2345" s="300"/>
      <c r="N2345" s="300"/>
      <c r="O2345" s="300"/>
      <c r="P2345" s="300"/>
      <c r="Q2345" s="300"/>
      <c r="R2345" s="300"/>
      <c r="S2345" s="300"/>
      <c r="T2345" s="300"/>
      <c r="U2345" s="300"/>
      <c r="V2345" s="300"/>
      <c r="W2345" s="300"/>
      <c r="X2345" s="300"/>
      <c r="Y2345" s="300"/>
      <c r="Z2345" s="300"/>
    </row>
    <row r="2346" spans="1:26">
      <c r="A2346" s="215" t="s">
        <v>4375</v>
      </c>
      <c r="B2346" s="207">
        <v>1009</v>
      </c>
      <c r="C2346" s="215" t="s">
        <v>11559</v>
      </c>
      <c r="D2346" s="215" t="s">
        <v>11560</v>
      </c>
      <c r="E2346" s="215" t="s">
        <v>11561</v>
      </c>
      <c r="F2346" s="215" t="s">
        <v>11540</v>
      </c>
      <c r="G2346" s="215" t="s">
        <v>11541</v>
      </c>
      <c r="H2346" s="215" t="s">
        <v>6500</v>
      </c>
      <c r="I2346" s="300"/>
      <c r="J2346" s="300"/>
      <c r="K2346" s="300"/>
      <c r="L2346" s="300"/>
      <c r="M2346" s="300"/>
      <c r="N2346" s="300"/>
      <c r="O2346" s="300"/>
      <c r="P2346" s="300"/>
      <c r="Q2346" s="300"/>
      <c r="R2346" s="300"/>
      <c r="S2346" s="300"/>
      <c r="T2346" s="300"/>
      <c r="U2346" s="300"/>
      <c r="V2346" s="300"/>
      <c r="W2346" s="300"/>
      <c r="X2346" s="300"/>
      <c r="Y2346" s="300"/>
      <c r="Z2346" s="300"/>
    </row>
    <row r="2347" spans="1:26">
      <c r="A2347" s="215" t="s">
        <v>11562</v>
      </c>
      <c r="B2347" s="207">
        <v>1497</v>
      </c>
      <c r="C2347" s="215" t="s">
        <v>5064</v>
      </c>
      <c r="D2347" s="215" t="s">
        <v>3564</v>
      </c>
      <c r="E2347" s="215" t="s">
        <v>11563</v>
      </c>
      <c r="F2347" s="215" t="s">
        <v>11540</v>
      </c>
      <c r="G2347" s="215" t="s">
        <v>11541</v>
      </c>
      <c r="H2347" s="215" t="s">
        <v>6500</v>
      </c>
      <c r="I2347" s="300"/>
      <c r="J2347" s="300"/>
      <c r="K2347" s="300"/>
      <c r="L2347" s="300"/>
      <c r="M2347" s="300"/>
      <c r="N2347" s="300"/>
      <c r="O2347" s="300"/>
      <c r="P2347" s="300"/>
      <c r="Q2347" s="300"/>
      <c r="R2347" s="300"/>
      <c r="S2347" s="300"/>
      <c r="T2347" s="300"/>
      <c r="U2347" s="300"/>
      <c r="V2347" s="300"/>
      <c r="W2347" s="300"/>
      <c r="X2347" s="300"/>
      <c r="Y2347" s="300"/>
      <c r="Z2347" s="300"/>
    </row>
    <row r="2348" spans="1:26">
      <c r="A2348" s="215" t="s">
        <v>2857</v>
      </c>
      <c r="B2348" s="207">
        <v>1990</v>
      </c>
      <c r="C2348" s="215" t="s">
        <v>5022</v>
      </c>
      <c r="D2348" s="215" t="s">
        <v>2856</v>
      </c>
      <c r="E2348" s="215" t="s">
        <v>2856</v>
      </c>
      <c r="F2348" s="215" t="s">
        <v>11540</v>
      </c>
      <c r="G2348" s="215" t="s">
        <v>11541</v>
      </c>
      <c r="H2348" s="215" t="s">
        <v>6500</v>
      </c>
      <c r="I2348" s="300"/>
      <c r="J2348" s="300"/>
      <c r="K2348" s="300"/>
      <c r="L2348" s="300"/>
      <c r="M2348" s="300"/>
      <c r="N2348" s="300"/>
      <c r="O2348" s="300"/>
      <c r="P2348" s="300"/>
      <c r="Q2348" s="300"/>
      <c r="R2348" s="300"/>
      <c r="S2348" s="300"/>
      <c r="T2348" s="300"/>
      <c r="U2348" s="300"/>
      <c r="V2348" s="300"/>
      <c r="W2348" s="300"/>
      <c r="X2348" s="300"/>
      <c r="Y2348" s="300"/>
      <c r="Z2348" s="300"/>
    </row>
    <row r="2349" spans="1:26">
      <c r="A2349" s="215" t="s">
        <v>4287</v>
      </c>
      <c r="B2349" s="207">
        <v>2193</v>
      </c>
      <c r="C2349" s="215" t="s">
        <v>5547</v>
      </c>
      <c r="D2349" s="215" t="s">
        <v>11564</v>
      </c>
      <c r="E2349" s="215" t="s">
        <v>11564</v>
      </c>
      <c r="F2349" s="215" t="s">
        <v>11540</v>
      </c>
      <c r="G2349" s="215" t="s">
        <v>11541</v>
      </c>
      <c r="H2349" s="215" t="s">
        <v>6500</v>
      </c>
      <c r="I2349" s="300"/>
      <c r="J2349" s="300"/>
      <c r="K2349" s="300"/>
      <c r="L2349" s="300"/>
      <c r="M2349" s="300"/>
      <c r="N2349" s="300"/>
      <c r="O2349" s="300"/>
      <c r="P2349" s="300"/>
      <c r="Q2349" s="300"/>
      <c r="R2349" s="300"/>
      <c r="S2349" s="300"/>
      <c r="T2349" s="300"/>
      <c r="U2349" s="300"/>
      <c r="V2349" s="300"/>
      <c r="W2349" s="300"/>
      <c r="X2349" s="300"/>
      <c r="Y2349" s="300"/>
      <c r="Z2349" s="300"/>
    </row>
    <row r="2350" spans="1:26">
      <c r="A2350" s="215"/>
      <c r="B2350" s="207">
        <v>2401</v>
      </c>
      <c r="C2350" s="215" t="s">
        <v>11565</v>
      </c>
      <c r="D2350" s="215" t="s">
        <v>11566</v>
      </c>
      <c r="E2350" s="215" t="s">
        <v>11566</v>
      </c>
      <c r="F2350" s="215" t="s">
        <v>11540</v>
      </c>
      <c r="G2350" s="215" t="s">
        <v>11541</v>
      </c>
      <c r="H2350" s="215" t="s">
        <v>6500</v>
      </c>
      <c r="I2350" s="300"/>
      <c r="J2350" s="300"/>
      <c r="K2350" s="300"/>
      <c r="L2350" s="300"/>
      <c r="M2350" s="300"/>
      <c r="N2350" s="300"/>
      <c r="O2350" s="300"/>
      <c r="P2350" s="300"/>
      <c r="Q2350" s="300"/>
      <c r="R2350" s="300"/>
      <c r="S2350" s="300"/>
      <c r="T2350" s="300"/>
      <c r="U2350" s="300"/>
      <c r="V2350" s="300"/>
      <c r="W2350" s="300"/>
      <c r="X2350" s="300"/>
      <c r="Y2350" s="300"/>
      <c r="Z2350" s="300"/>
    </row>
    <row r="2351" spans="1:26">
      <c r="A2351" s="215" t="s">
        <v>4065</v>
      </c>
      <c r="B2351" s="207">
        <v>1435</v>
      </c>
      <c r="C2351" s="215" t="s">
        <v>6084</v>
      </c>
      <c r="D2351" s="215" t="s">
        <v>11567</v>
      </c>
      <c r="E2351" s="215" t="s">
        <v>11568</v>
      </c>
      <c r="F2351" s="215" t="s">
        <v>11569</v>
      </c>
      <c r="G2351" s="215" t="s">
        <v>11570</v>
      </c>
      <c r="H2351" s="215" t="s">
        <v>6504</v>
      </c>
      <c r="I2351" s="300"/>
      <c r="J2351" s="300"/>
      <c r="K2351" s="300"/>
      <c r="L2351" s="300"/>
      <c r="M2351" s="300"/>
      <c r="N2351" s="300"/>
      <c r="O2351" s="300"/>
      <c r="P2351" s="300"/>
      <c r="Q2351" s="300"/>
      <c r="R2351" s="300"/>
      <c r="S2351" s="300"/>
      <c r="T2351" s="300"/>
      <c r="U2351" s="300"/>
      <c r="V2351" s="300"/>
      <c r="W2351" s="300"/>
      <c r="X2351" s="300"/>
      <c r="Y2351" s="300"/>
      <c r="Z2351" s="300"/>
    </row>
    <row r="2352" spans="1:26">
      <c r="A2352" s="215" t="s">
        <v>4065</v>
      </c>
      <c r="B2352" s="207">
        <v>1436</v>
      </c>
      <c r="C2352" s="215" t="s">
        <v>6085</v>
      </c>
      <c r="D2352" s="215" t="s">
        <v>11571</v>
      </c>
      <c r="E2352" s="215" t="s">
        <v>11572</v>
      </c>
      <c r="F2352" s="215" t="s">
        <v>11569</v>
      </c>
      <c r="G2352" s="215" t="s">
        <v>11570</v>
      </c>
      <c r="H2352" s="215" t="s">
        <v>6504</v>
      </c>
      <c r="I2352" s="300"/>
      <c r="J2352" s="300"/>
      <c r="K2352" s="300"/>
      <c r="L2352" s="300"/>
      <c r="M2352" s="300"/>
      <c r="N2352" s="300"/>
      <c r="O2352" s="300"/>
      <c r="P2352" s="300"/>
      <c r="Q2352" s="300"/>
      <c r="R2352" s="300"/>
      <c r="S2352" s="300"/>
      <c r="T2352" s="300"/>
      <c r="U2352" s="300"/>
      <c r="V2352" s="300"/>
      <c r="W2352" s="300"/>
      <c r="X2352" s="300"/>
      <c r="Y2352" s="300"/>
      <c r="Z2352" s="300"/>
    </row>
    <row r="2353" spans="1:26">
      <c r="A2353" s="215" t="s">
        <v>11573</v>
      </c>
      <c r="B2353" s="207">
        <v>1437</v>
      </c>
      <c r="C2353" s="215" t="s">
        <v>5410</v>
      </c>
      <c r="D2353" s="215" t="s">
        <v>11574</v>
      </c>
      <c r="E2353" s="215" t="s">
        <v>11575</v>
      </c>
      <c r="F2353" s="215" t="s">
        <v>11569</v>
      </c>
      <c r="G2353" s="215" t="s">
        <v>11570</v>
      </c>
      <c r="H2353" s="215" t="s">
        <v>6504</v>
      </c>
      <c r="I2353" s="300"/>
      <c r="J2353" s="300"/>
      <c r="K2353" s="300"/>
      <c r="L2353" s="300"/>
      <c r="M2353" s="300"/>
      <c r="N2353" s="300"/>
      <c r="O2353" s="300"/>
      <c r="P2353" s="300"/>
      <c r="Q2353" s="300"/>
      <c r="R2353" s="300"/>
      <c r="S2353" s="300"/>
      <c r="T2353" s="300"/>
      <c r="U2353" s="300"/>
      <c r="V2353" s="300"/>
      <c r="W2353" s="300"/>
      <c r="X2353" s="300"/>
      <c r="Y2353" s="300"/>
      <c r="Z2353" s="300"/>
    </row>
    <row r="2354" spans="1:26">
      <c r="A2354" s="215" t="s">
        <v>4505</v>
      </c>
      <c r="B2354" s="207">
        <v>1438</v>
      </c>
      <c r="C2354" s="215" t="s">
        <v>6421</v>
      </c>
      <c r="D2354" s="215" t="s">
        <v>11576</v>
      </c>
      <c r="E2354" s="215" t="s">
        <v>11577</v>
      </c>
      <c r="F2354" s="215" t="s">
        <v>11569</v>
      </c>
      <c r="G2354" s="215" t="s">
        <v>11570</v>
      </c>
      <c r="H2354" s="215" t="s">
        <v>6500</v>
      </c>
      <c r="I2354" s="300"/>
      <c r="J2354" s="300"/>
      <c r="K2354" s="300"/>
      <c r="L2354" s="300"/>
      <c r="M2354" s="300"/>
      <c r="N2354" s="300"/>
      <c r="O2354" s="300"/>
      <c r="P2354" s="300"/>
      <c r="Q2354" s="300"/>
      <c r="R2354" s="300"/>
      <c r="S2354" s="300"/>
      <c r="T2354" s="300"/>
      <c r="U2354" s="300"/>
      <c r="V2354" s="300"/>
      <c r="W2354" s="300"/>
      <c r="X2354" s="300"/>
      <c r="Y2354" s="300"/>
      <c r="Z2354" s="300"/>
    </row>
    <row r="2355" spans="1:26">
      <c r="A2355" s="215" t="s">
        <v>4504</v>
      </c>
      <c r="B2355" s="207">
        <v>1460</v>
      </c>
      <c r="C2355" s="215" t="s">
        <v>6420</v>
      </c>
      <c r="D2355" s="215" t="s">
        <v>11578</v>
      </c>
      <c r="E2355" s="215" t="s">
        <v>11579</v>
      </c>
      <c r="F2355" s="215" t="s">
        <v>11569</v>
      </c>
      <c r="G2355" s="215" t="s">
        <v>11570</v>
      </c>
      <c r="H2355" s="215" t="s">
        <v>6504</v>
      </c>
      <c r="I2355" s="300"/>
      <c r="J2355" s="300"/>
      <c r="K2355" s="300"/>
      <c r="L2355" s="300"/>
      <c r="M2355" s="300"/>
      <c r="N2355" s="300"/>
      <c r="O2355" s="300"/>
      <c r="P2355" s="300"/>
      <c r="Q2355" s="300"/>
      <c r="R2355" s="300"/>
      <c r="S2355" s="300"/>
      <c r="T2355" s="300"/>
      <c r="U2355" s="300"/>
      <c r="V2355" s="300"/>
      <c r="W2355" s="300"/>
      <c r="X2355" s="300"/>
      <c r="Y2355" s="300"/>
      <c r="Z2355" s="300"/>
    </row>
    <row r="2356" spans="1:26">
      <c r="A2356" s="215" t="s">
        <v>4065</v>
      </c>
      <c r="B2356" s="207">
        <v>760</v>
      </c>
      <c r="C2356" s="215" t="s">
        <v>6087</v>
      </c>
      <c r="D2356" s="215" t="s">
        <v>11580</v>
      </c>
      <c r="E2356" s="215" t="s">
        <v>11581</v>
      </c>
      <c r="F2356" s="215" t="s">
        <v>11582</v>
      </c>
      <c r="G2356" s="215" t="s">
        <v>11583</v>
      </c>
      <c r="H2356" s="215" t="s">
        <v>6521</v>
      </c>
      <c r="I2356" s="300"/>
      <c r="J2356" s="300"/>
      <c r="K2356" s="300"/>
      <c r="L2356" s="300"/>
      <c r="M2356" s="300"/>
      <c r="N2356" s="300"/>
      <c r="O2356" s="300"/>
      <c r="P2356" s="300"/>
      <c r="Q2356" s="300"/>
      <c r="R2356" s="300"/>
      <c r="S2356" s="300"/>
      <c r="T2356" s="300"/>
      <c r="U2356" s="300"/>
      <c r="V2356" s="300"/>
      <c r="W2356" s="300"/>
      <c r="X2356" s="300"/>
      <c r="Y2356" s="300"/>
      <c r="Z2356" s="300"/>
    </row>
    <row r="2357" spans="1:26">
      <c r="A2357" s="215" t="s">
        <v>4065</v>
      </c>
      <c r="B2357" s="207">
        <v>1378</v>
      </c>
      <c r="C2357" s="215" t="s">
        <v>6086</v>
      </c>
      <c r="D2357" s="215" t="s">
        <v>11584</v>
      </c>
      <c r="E2357" s="215" t="s">
        <v>11585</v>
      </c>
      <c r="F2357" s="215" t="s">
        <v>11582</v>
      </c>
      <c r="G2357" s="215" t="s">
        <v>11583</v>
      </c>
      <c r="H2357" s="215" t="s">
        <v>6500</v>
      </c>
      <c r="I2357" s="300"/>
      <c r="J2357" s="300"/>
      <c r="K2357" s="300"/>
      <c r="L2357" s="300"/>
      <c r="M2357" s="300"/>
      <c r="N2357" s="300"/>
      <c r="O2357" s="300"/>
      <c r="P2357" s="300"/>
      <c r="Q2357" s="300"/>
      <c r="R2357" s="300"/>
      <c r="S2357" s="300"/>
      <c r="T2357" s="300"/>
      <c r="U2357" s="300"/>
      <c r="V2357" s="300"/>
      <c r="W2357" s="300"/>
      <c r="X2357" s="300"/>
      <c r="Y2357" s="300"/>
      <c r="Z2357" s="300"/>
    </row>
    <row r="2358" spans="1:26">
      <c r="A2358" s="215" t="s">
        <v>11573</v>
      </c>
      <c r="B2358" s="207">
        <v>1440</v>
      </c>
      <c r="C2358" s="215" t="s">
        <v>6092</v>
      </c>
      <c r="D2358" s="215" t="s">
        <v>11586</v>
      </c>
      <c r="E2358" s="215" t="s">
        <v>11587</v>
      </c>
      <c r="F2358" s="215" t="s">
        <v>11582</v>
      </c>
      <c r="G2358" s="215" t="s">
        <v>11583</v>
      </c>
      <c r="H2358" s="215" t="s">
        <v>6504</v>
      </c>
      <c r="I2358" s="300"/>
      <c r="J2358" s="300"/>
      <c r="K2358" s="300"/>
      <c r="L2358" s="300"/>
      <c r="M2358" s="300"/>
      <c r="N2358" s="300"/>
      <c r="O2358" s="300"/>
      <c r="P2358" s="300"/>
      <c r="Q2358" s="300"/>
      <c r="R2358" s="300"/>
      <c r="S2358" s="300"/>
      <c r="T2358" s="300"/>
      <c r="U2358" s="300"/>
      <c r="V2358" s="300"/>
      <c r="W2358" s="300"/>
      <c r="X2358" s="300"/>
      <c r="Y2358" s="300"/>
      <c r="Z2358" s="300"/>
    </row>
    <row r="2359" spans="1:26">
      <c r="A2359" s="215" t="s">
        <v>4258</v>
      </c>
      <c r="B2359" s="207">
        <v>713</v>
      </c>
      <c r="C2359" s="215" t="s">
        <v>6229</v>
      </c>
      <c r="D2359" s="215" t="s">
        <v>11588</v>
      </c>
      <c r="E2359" s="215" t="s">
        <v>11589</v>
      </c>
      <c r="F2359" s="215" t="s">
        <v>6228</v>
      </c>
      <c r="G2359" s="215" t="s">
        <v>11590</v>
      </c>
      <c r="H2359" s="215" t="s">
        <v>6504</v>
      </c>
      <c r="I2359" s="300"/>
      <c r="J2359" s="300"/>
      <c r="K2359" s="300"/>
      <c r="L2359" s="300"/>
      <c r="M2359" s="300"/>
      <c r="N2359" s="300"/>
      <c r="O2359" s="300"/>
      <c r="P2359" s="300"/>
      <c r="Q2359" s="300"/>
      <c r="R2359" s="300"/>
      <c r="S2359" s="300"/>
      <c r="T2359" s="300"/>
      <c r="U2359" s="300"/>
      <c r="V2359" s="300"/>
      <c r="W2359" s="300"/>
      <c r="X2359" s="300"/>
      <c r="Y2359" s="300"/>
      <c r="Z2359" s="300"/>
    </row>
    <row r="2360" spans="1:26">
      <c r="A2360" s="215" t="s">
        <v>2511</v>
      </c>
      <c r="B2360" s="207">
        <v>2580</v>
      </c>
      <c r="C2360" s="215" t="s">
        <v>4784</v>
      </c>
      <c r="D2360" s="215" t="s">
        <v>11591</v>
      </c>
      <c r="E2360" s="215" t="s">
        <v>11591</v>
      </c>
      <c r="F2360" s="215" t="s">
        <v>11592</v>
      </c>
      <c r="G2360" s="215" t="s">
        <v>11593</v>
      </c>
      <c r="H2360" s="215" t="s">
        <v>6521</v>
      </c>
      <c r="I2360" s="300"/>
      <c r="J2360" s="300"/>
      <c r="K2360" s="300"/>
      <c r="L2360" s="300"/>
      <c r="M2360" s="300"/>
      <c r="N2360" s="300"/>
      <c r="O2360" s="300"/>
      <c r="P2360" s="300"/>
      <c r="Q2360" s="300"/>
      <c r="R2360" s="300"/>
      <c r="S2360" s="300"/>
      <c r="T2360" s="300"/>
      <c r="U2360" s="300"/>
      <c r="V2360" s="300"/>
      <c r="W2360" s="300"/>
      <c r="X2360" s="300"/>
      <c r="Y2360" s="300"/>
      <c r="Z2360" s="300"/>
    </row>
    <row r="2361" spans="1:26">
      <c r="A2361" s="215" t="s">
        <v>3571</v>
      </c>
      <c r="B2361" s="207">
        <v>2583</v>
      </c>
      <c r="C2361" s="215" t="s">
        <v>11594</v>
      </c>
      <c r="D2361" s="215" t="s">
        <v>11595</v>
      </c>
      <c r="E2361" s="215" t="s">
        <v>11595</v>
      </c>
      <c r="F2361" s="215" t="s">
        <v>11592</v>
      </c>
      <c r="G2361" s="215" t="s">
        <v>11593</v>
      </c>
      <c r="H2361" s="215" t="s">
        <v>6497</v>
      </c>
      <c r="I2361" s="300"/>
      <c r="J2361" s="300"/>
      <c r="K2361" s="300"/>
      <c r="L2361" s="300"/>
      <c r="M2361" s="300"/>
      <c r="N2361" s="300"/>
      <c r="O2361" s="300"/>
      <c r="P2361" s="300"/>
      <c r="Q2361" s="300"/>
      <c r="R2361" s="300"/>
      <c r="S2361" s="300"/>
      <c r="T2361" s="300"/>
      <c r="U2361" s="300"/>
      <c r="V2361" s="300"/>
      <c r="W2361" s="300"/>
      <c r="X2361" s="300"/>
      <c r="Y2361" s="300"/>
      <c r="Z2361" s="300"/>
    </row>
    <row r="2362" spans="1:26">
      <c r="A2362" s="215" t="s">
        <v>3215</v>
      </c>
      <c r="B2362" s="207">
        <v>2584</v>
      </c>
      <c r="C2362" s="215" t="s">
        <v>5344</v>
      </c>
      <c r="D2362" s="215" t="s">
        <v>11596</v>
      </c>
      <c r="E2362" s="215" t="s">
        <v>11596</v>
      </c>
      <c r="F2362" s="215" t="s">
        <v>11592</v>
      </c>
      <c r="G2362" s="215" t="s">
        <v>11593</v>
      </c>
      <c r="H2362" s="215" t="s">
        <v>6521</v>
      </c>
      <c r="I2362" s="300"/>
      <c r="J2362" s="300"/>
      <c r="K2362" s="300"/>
      <c r="L2362" s="300"/>
      <c r="M2362" s="300"/>
      <c r="N2362" s="300"/>
      <c r="O2362" s="300"/>
      <c r="P2362" s="300"/>
      <c r="Q2362" s="300"/>
      <c r="R2362" s="300"/>
      <c r="S2362" s="300"/>
      <c r="T2362" s="300"/>
      <c r="U2362" s="300"/>
      <c r="V2362" s="300"/>
      <c r="W2362" s="300"/>
      <c r="X2362" s="300"/>
      <c r="Y2362" s="300"/>
      <c r="Z2362" s="300"/>
    </row>
    <row r="2363" spans="1:26">
      <c r="A2363" s="215" t="s">
        <v>3450</v>
      </c>
      <c r="B2363" s="207">
        <v>2585</v>
      </c>
      <c r="C2363" s="215" t="s">
        <v>5570</v>
      </c>
      <c r="D2363" s="215" t="s">
        <v>11597</v>
      </c>
      <c r="E2363" s="215" t="s">
        <v>11597</v>
      </c>
      <c r="F2363" s="215" t="s">
        <v>11592</v>
      </c>
      <c r="G2363" s="215" t="s">
        <v>11593</v>
      </c>
      <c r="H2363" s="215" t="s">
        <v>6521</v>
      </c>
      <c r="I2363" s="300"/>
      <c r="J2363" s="300"/>
      <c r="K2363" s="300"/>
      <c r="L2363" s="300"/>
      <c r="M2363" s="300"/>
      <c r="N2363" s="300"/>
      <c r="O2363" s="300"/>
      <c r="P2363" s="300"/>
      <c r="Q2363" s="300"/>
      <c r="R2363" s="300"/>
      <c r="S2363" s="300"/>
      <c r="T2363" s="300"/>
      <c r="U2363" s="300"/>
      <c r="V2363" s="300"/>
      <c r="W2363" s="300"/>
      <c r="X2363" s="300"/>
      <c r="Y2363" s="300"/>
      <c r="Z2363" s="300"/>
    </row>
    <row r="2364" spans="1:26">
      <c r="A2364" s="215" t="s">
        <v>3821</v>
      </c>
      <c r="B2364" s="207">
        <v>2586</v>
      </c>
      <c r="C2364" s="215" t="s">
        <v>5896</v>
      </c>
      <c r="D2364" s="215" t="s">
        <v>11598</v>
      </c>
      <c r="E2364" s="215" t="s">
        <v>11598</v>
      </c>
      <c r="F2364" s="215" t="s">
        <v>11592</v>
      </c>
      <c r="G2364" s="215" t="s">
        <v>11593</v>
      </c>
      <c r="H2364" s="215" t="s">
        <v>6521</v>
      </c>
      <c r="I2364" s="300"/>
      <c r="J2364" s="300"/>
      <c r="K2364" s="300"/>
      <c r="L2364" s="300"/>
      <c r="M2364" s="300"/>
      <c r="N2364" s="300"/>
      <c r="O2364" s="300"/>
      <c r="P2364" s="300"/>
      <c r="Q2364" s="300"/>
      <c r="R2364" s="300"/>
      <c r="S2364" s="300"/>
      <c r="T2364" s="300"/>
      <c r="U2364" s="300"/>
      <c r="V2364" s="300"/>
      <c r="W2364" s="300"/>
      <c r="X2364" s="300"/>
      <c r="Y2364" s="300"/>
      <c r="Z2364" s="300"/>
    </row>
    <row r="2365" spans="1:26">
      <c r="A2365" s="215" t="s">
        <v>4436</v>
      </c>
      <c r="B2365" s="207">
        <v>2587</v>
      </c>
      <c r="C2365" s="215" t="s">
        <v>11599</v>
      </c>
      <c r="D2365" s="215" t="s">
        <v>11600</v>
      </c>
      <c r="E2365" s="215" t="s">
        <v>11601</v>
      </c>
      <c r="F2365" s="215" t="s">
        <v>11592</v>
      </c>
      <c r="G2365" s="215" t="s">
        <v>11593</v>
      </c>
      <c r="H2365" s="215" t="s">
        <v>6500</v>
      </c>
      <c r="I2365" s="300"/>
      <c r="J2365" s="300"/>
      <c r="K2365" s="300"/>
      <c r="L2365" s="300"/>
      <c r="M2365" s="300"/>
      <c r="N2365" s="300"/>
      <c r="O2365" s="300"/>
      <c r="P2365" s="300"/>
      <c r="Q2365" s="300"/>
      <c r="R2365" s="300"/>
      <c r="S2365" s="300"/>
      <c r="T2365" s="300"/>
      <c r="U2365" s="300"/>
      <c r="V2365" s="300"/>
      <c r="W2365" s="300"/>
      <c r="X2365" s="300"/>
      <c r="Y2365" s="300"/>
      <c r="Z2365" s="300"/>
    </row>
    <row r="2366" spans="1:26">
      <c r="A2366" s="215" t="s">
        <v>4012</v>
      </c>
      <c r="B2366" s="207">
        <v>718</v>
      </c>
      <c r="C2366" s="215" t="s">
        <v>11602</v>
      </c>
      <c r="D2366" s="215" t="s">
        <v>11603</v>
      </c>
      <c r="E2366" s="215" t="s">
        <v>11604</v>
      </c>
      <c r="F2366" s="215" t="s">
        <v>11605</v>
      </c>
      <c r="G2366" s="215" t="s">
        <v>11606</v>
      </c>
      <c r="H2366" s="215" t="s">
        <v>6504</v>
      </c>
      <c r="I2366" s="300"/>
      <c r="J2366" s="300"/>
      <c r="K2366" s="300"/>
      <c r="L2366" s="300"/>
      <c r="M2366" s="300"/>
      <c r="N2366" s="300"/>
      <c r="O2366" s="300"/>
      <c r="P2366" s="300"/>
      <c r="Q2366" s="300"/>
      <c r="R2366" s="300"/>
      <c r="S2366" s="300"/>
      <c r="T2366" s="300"/>
      <c r="U2366" s="300"/>
      <c r="V2366" s="300"/>
      <c r="W2366" s="300"/>
      <c r="X2366" s="300"/>
      <c r="Y2366" s="300"/>
      <c r="Z2366" s="300"/>
    </row>
    <row r="2367" spans="1:26">
      <c r="A2367" s="215" t="s">
        <v>4055</v>
      </c>
      <c r="B2367" s="207">
        <v>1291</v>
      </c>
      <c r="C2367" s="215" t="s">
        <v>6077</v>
      </c>
      <c r="D2367" s="215" t="s">
        <v>11607</v>
      </c>
      <c r="E2367" s="215" t="s">
        <v>11607</v>
      </c>
      <c r="F2367" s="215" t="s">
        <v>11605</v>
      </c>
      <c r="G2367" s="215" t="s">
        <v>11606</v>
      </c>
      <c r="H2367" s="215" t="s">
        <v>6548</v>
      </c>
      <c r="I2367" s="300"/>
      <c r="J2367" s="300"/>
      <c r="K2367" s="300"/>
      <c r="L2367" s="300"/>
      <c r="M2367" s="300"/>
      <c r="N2367" s="300"/>
      <c r="O2367" s="300"/>
      <c r="P2367" s="300"/>
      <c r="Q2367" s="300"/>
      <c r="R2367" s="300"/>
      <c r="S2367" s="300"/>
      <c r="T2367" s="300"/>
      <c r="U2367" s="300"/>
      <c r="V2367" s="300"/>
      <c r="W2367" s="300"/>
      <c r="X2367" s="300"/>
      <c r="Y2367" s="300"/>
      <c r="Z2367" s="300"/>
    </row>
    <row r="2368" spans="1:26">
      <c r="A2368" s="215" t="s">
        <v>2640</v>
      </c>
      <c r="B2368" s="207">
        <v>1292</v>
      </c>
      <c r="C2368" s="215" t="s">
        <v>11608</v>
      </c>
      <c r="D2368" s="215" t="s">
        <v>11609</v>
      </c>
      <c r="E2368" s="215" t="s">
        <v>11610</v>
      </c>
      <c r="F2368" s="215" t="s">
        <v>11605</v>
      </c>
      <c r="G2368" s="215" t="s">
        <v>11606</v>
      </c>
      <c r="H2368" s="215" t="s">
        <v>6497</v>
      </c>
      <c r="I2368" s="300"/>
      <c r="J2368" s="300"/>
      <c r="K2368" s="300"/>
      <c r="L2368" s="300"/>
      <c r="M2368" s="300"/>
      <c r="N2368" s="300"/>
      <c r="O2368" s="300"/>
      <c r="P2368" s="300"/>
      <c r="Q2368" s="300"/>
      <c r="R2368" s="300"/>
      <c r="S2368" s="300"/>
      <c r="T2368" s="300"/>
      <c r="U2368" s="300"/>
      <c r="V2368" s="300"/>
      <c r="W2368" s="300"/>
      <c r="X2368" s="300"/>
      <c r="Y2368" s="300"/>
      <c r="Z2368" s="300"/>
    </row>
    <row r="2369" spans="1:26">
      <c r="A2369" s="215" t="s">
        <v>4352</v>
      </c>
      <c r="B2369" s="207">
        <v>1062</v>
      </c>
      <c r="C2369" s="215" t="s">
        <v>11611</v>
      </c>
      <c r="D2369" s="215" t="s">
        <v>11612</v>
      </c>
      <c r="E2369" s="215" t="s">
        <v>11613</v>
      </c>
      <c r="F2369" s="215" t="s">
        <v>11614</v>
      </c>
      <c r="G2369" s="215" t="s">
        <v>11615</v>
      </c>
      <c r="H2369" s="215" t="s">
        <v>6548</v>
      </c>
      <c r="I2369" s="300"/>
      <c r="J2369" s="300"/>
      <c r="K2369" s="300"/>
      <c r="L2369" s="300"/>
      <c r="M2369" s="300"/>
      <c r="N2369" s="300"/>
      <c r="O2369" s="300"/>
      <c r="P2369" s="300"/>
      <c r="Q2369" s="300"/>
      <c r="R2369" s="300"/>
      <c r="S2369" s="300"/>
      <c r="T2369" s="300"/>
      <c r="U2369" s="300"/>
      <c r="V2369" s="300"/>
      <c r="W2369" s="300"/>
      <c r="X2369" s="300"/>
      <c r="Y2369" s="300"/>
      <c r="Z2369" s="300"/>
    </row>
    <row r="2370" spans="1:26">
      <c r="A2370" s="215" t="s">
        <v>2992</v>
      </c>
      <c r="B2370" s="207">
        <v>1338</v>
      </c>
      <c r="C2370" s="215" t="s">
        <v>11616</v>
      </c>
      <c r="D2370" s="215" t="s">
        <v>11617</v>
      </c>
      <c r="E2370" s="215" t="s">
        <v>11618</v>
      </c>
      <c r="F2370" s="215" t="s">
        <v>11614</v>
      </c>
      <c r="G2370" s="215" t="s">
        <v>11615</v>
      </c>
      <c r="H2370" s="215" t="s">
        <v>6548</v>
      </c>
      <c r="I2370" s="300"/>
      <c r="J2370" s="300"/>
      <c r="K2370" s="300"/>
      <c r="L2370" s="300"/>
      <c r="M2370" s="300"/>
      <c r="N2370" s="300"/>
      <c r="O2370" s="300"/>
      <c r="P2370" s="300"/>
      <c r="Q2370" s="300"/>
      <c r="R2370" s="300"/>
      <c r="S2370" s="300"/>
      <c r="T2370" s="300"/>
      <c r="U2370" s="300"/>
      <c r="V2370" s="300"/>
      <c r="W2370" s="300"/>
      <c r="X2370" s="300"/>
      <c r="Y2370" s="300"/>
      <c r="Z2370" s="300"/>
    </row>
    <row r="2371" spans="1:26">
      <c r="A2371" s="215" t="s">
        <v>3261</v>
      </c>
      <c r="B2371" s="207">
        <v>1492</v>
      </c>
      <c r="C2371" s="215" t="s">
        <v>11619</v>
      </c>
      <c r="D2371" s="215" t="s">
        <v>11620</v>
      </c>
      <c r="E2371" s="215" t="s">
        <v>11621</v>
      </c>
      <c r="F2371" s="215" t="s">
        <v>11614</v>
      </c>
      <c r="G2371" s="215" t="s">
        <v>11615</v>
      </c>
      <c r="H2371" s="215" t="s">
        <v>6500</v>
      </c>
      <c r="I2371" s="300"/>
      <c r="J2371" s="300"/>
      <c r="K2371" s="300"/>
      <c r="L2371" s="300"/>
      <c r="M2371" s="300"/>
      <c r="N2371" s="300"/>
      <c r="O2371" s="300"/>
      <c r="P2371" s="300"/>
      <c r="Q2371" s="300"/>
      <c r="R2371" s="300"/>
      <c r="S2371" s="300"/>
      <c r="T2371" s="300"/>
      <c r="U2371" s="300"/>
      <c r="V2371" s="300"/>
      <c r="W2371" s="300"/>
      <c r="X2371" s="300"/>
      <c r="Y2371" s="300"/>
      <c r="Z2371" s="300"/>
    </row>
    <row r="2372" spans="1:26">
      <c r="A2372" s="215" t="s">
        <v>3261</v>
      </c>
      <c r="B2372" s="207">
        <v>1494</v>
      </c>
      <c r="C2372" s="215" t="s">
        <v>11622</v>
      </c>
      <c r="D2372" s="215" t="s">
        <v>11623</v>
      </c>
      <c r="E2372" s="215" t="s">
        <v>11624</v>
      </c>
      <c r="F2372" s="215" t="s">
        <v>11614</v>
      </c>
      <c r="G2372" s="215" t="s">
        <v>11615</v>
      </c>
      <c r="H2372" s="215" t="s">
        <v>6500</v>
      </c>
      <c r="I2372" s="300"/>
      <c r="J2372" s="300"/>
      <c r="K2372" s="300"/>
      <c r="L2372" s="300"/>
      <c r="M2372" s="300"/>
      <c r="N2372" s="300"/>
      <c r="O2372" s="300"/>
      <c r="P2372" s="300"/>
      <c r="Q2372" s="300"/>
      <c r="R2372" s="300"/>
      <c r="S2372" s="300"/>
      <c r="T2372" s="300"/>
      <c r="U2372" s="300"/>
      <c r="V2372" s="300"/>
      <c r="W2372" s="300"/>
      <c r="X2372" s="300"/>
      <c r="Y2372" s="300"/>
      <c r="Z2372" s="300"/>
    </row>
    <row r="2373" spans="1:26">
      <c r="A2373" s="215" t="s">
        <v>3239</v>
      </c>
      <c r="B2373" s="207">
        <v>1984</v>
      </c>
      <c r="C2373" s="215" t="s">
        <v>5371</v>
      </c>
      <c r="D2373" s="215" t="s">
        <v>11625</v>
      </c>
      <c r="E2373" s="215" t="s">
        <v>11626</v>
      </c>
      <c r="F2373" s="215" t="s">
        <v>11614</v>
      </c>
      <c r="G2373" s="215" t="s">
        <v>11615</v>
      </c>
      <c r="H2373" s="215" t="s">
        <v>6497</v>
      </c>
      <c r="I2373" s="300"/>
      <c r="J2373" s="300"/>
      <c r="K2373" s="300"/>
      <c r="L2373" s="300"/>
      <c r="M2373" s="300"/>
      <c r="N2373" s="300"/>
      <c r="O2373" s="300"/>
      <c r="P2373" s="300"/>
      <c r="Q2373" s="300"/>
      <c r="R2373" s="300"/>
      <c r="S2373" s="300"/>
      <c r="T2373" s="300"/>
      <c r="U2373" s="300"/>
      <c r="V2373" s="300"/>
      <c r="W2373" s="300"/>
      <c r="X2373" s="300"/>
      <c r="Y2373" s="300"/>
      <c r="Z2373" s="300"/>
    </row>
    <row r="2374" spans="1:26">
      <c r="A2374" s="215" t="s">
        <v>11627</v>
      </c>
      <c r="B2374" s="207">
        <v>1985</v>
      </c>
      <c r="C2374" s="215" t="s">
        <v>5513</v>
      </c>
      <c r="D2374" s="215" t="s">
        <v>11628</v>
      </c>
      <c r="E2374" s="215" t="s">
        <v>11629</v>
      </c>
      <c r="F2374" s="215" t="s">
        <v>11614</v>
      </c>
      <c r="G2374" s="215" t="s">
        <v>11615</v>
      </c>
      <c r="H2374" s="215" t="s">
        <v>6521</v>
      </c>
      <c r="I2374" s="300"/>
      <c r="J2374" s="300"/>
      <c r="K2374" s="300"/>
      <c r="L2374" s="300"/>
      <c r="M2374" s="300"/>
      <c r="N2374" s="300"/>
      <c r="O2374" s="300"/>
      <c r="P2374" s="300"/>
      <c r="Q2374" s="300"/>
      <c r="R2374" s="300"/>
      <c r="S2374" s="300"/>
      <c r="T2374" s="300"/>
      <c r="U2374" s="300"/>
      <c r="V2374" s="300"/>
      <c r="W2374" s="300"/>
      <c r="X2374" s="300"/>
      <c r="Y2374" s="300"/>
      <c r="Z2374" s="300"/>
    </row>
    <row r="2375" spans="1:26">
      <c r="A2375" s="215" t="s">
        <v>3534</v>
      </c>
      <c r="B2375" s="207">
        <v>1987</v>
      </c>
      <c r="C2375" s="215" t="s">
        <v>11630</v>
      </c>
      <c r="D2375" s="215" t="s">
        <v>11631</v>
      </c>
      <c r="E2375" s="215" t="s">
        <v>11632</v>
      </c>
      <c r="F2375" s="215" t="s">
        <v>11614</v>
      </c>
      <c r="G2375" s="215" t="s">
        <v>11615</v>
      </c>
      <c r="H2375" s="215" t="s">
        <v>6548</v>
      </c>
      <c r="I2375" s="300"/>
      <c r="J2375" s="300"/>
      <c r="K2375" s="300"/>
      <c r="L2375" s="300"/>
      <c r="M2375" s="300"/>
      <c r="N2375" s="300"/>
      <c r="O2375" s="300"/>
      <c r="P2375" s="300"/>
      <c r="Q2375" s="300"/>
      <c r="R2375" s="300"/>
      <c r="S2375" s="300"/>
      <c r="T2375" s="300"/>
      <c r="U2375" s="300"/>
      <c r="V2375" s="300"/>
      <c r="W2375" s="300"/>
      <c r="X2375" s="300"/>
      <c r="Y2375" s="300"/>
      <c r="Z2375" s="300"/>
    </row>
    <row r="2376" spans="1:26">
      <c r="A2376" s="215" t="s">
        <v>4338</v>
      </c>
      <c r="B2376" s="207">
        <v>714</v>
      </c>
      <c r="C2376" s="215" t="s">
        <v>6289</v>
      </c>
      <c r="D2376" s="215" t="s">
        <v>11633</v>
      </c>
      <c r="E2376" s="215" t="s">
        <v>11634</v>
      </c>
      <c r="F2376" s="215" t="s">
        <v>6288</v>
      </c>
      <c r="G2376" s="215" t="s">
        <v>11635</v>
      </c>
      <c r="H2376" s="215" t="s">
        <v>6500</v>
      </c>
      <c r="I2376" s="300"/>
      <c r="J2376" s="300"/>
      <c r="K2376" s="300"/>
      <c r="L2376" s="300"/>
      <c r="M2376" s="300"/>
      <c r="N2376" s="300"/>
      <c r="O2376" s="300"/>
      <c r="P2376" s="300"/>
      <c r="Q2376" s="300"/>
      <c r="R2376" s="300"/>
      <c r="S2376" s="300"/>
      <c r="T2376" s="300"/>
      <c r="U2376" s="300"/>
      <c r="V2376" s="300"/>
      <c r="W2376" s="300"/>
      <c r="X2376" s="300"/>
      <c r="Y2376" s="300"/>
      <c r="Z2376" s="300"/>
    </row>
    <row r="2377" spans="1:26">
      <c r="A2377" s="215" t="s">
        <v>4058</v>
      </c>
      <c r="B2377" s="207">
        <v>103</v>
      </c>
      <c r="C2377" s="215" t="s">
        <v>5176</v>
      </c>
      <c r="D2377" s="215" t="s">
        <v>11636</v>
      </c>
      <c r="E2377" s="215" t="s">
        <v>11637</v>
      </c>
      <c r="F2377" s="215" t="s">
        <v>11638</v>
      </c>
      <c r="G2377" s="215" t="s">
        <v>11639</v>
      </c>
      <c r="H2377" s="215" t="s">
        <v>6504</v>
      </c>
      <c r="I2377" s="300"/>
      <c r="J2377" s="300"/>
      <c r="K2377" s="300"/>
      <c r="L2377" s="300"/>
      <c r="M2377" s="300"/>
      <c r="N2377" s="300"/>
      <c r="O2377" s="300"/>
      <c r="P2377" s="300"/>
      <c r="Q2377" s="300"/>
      <c r="R2377" s="300"/>
      <c r="S2377" s="300"/>
      <c r="T2377" s="300"/>
      <c r="U2377" s="300"/>
      <c r="V2377" s="300"/>
      <c r="W2377" s="300"/>
      <c r="X2377" s="300"/>
      <c r="Y2377" s="300"/>
      <c r="Z2377" s="300"/>
    </row>
    <row r="2378" spans="1:26">
      <c r="A2378" s="215" t="s">
        <v>3243</v>
      </c>
      <c r="B2378" s="207">
        <v>114</v>
      </c>
      <c r="C2378" s="215" t="s">
        <v>5374</v>
      </c>
      <c r="D2378" s="215" t="s">
        <v>11640</v>
      </c>
      <c r="E2378" s="215" t="s">
        <v>11640</v>
      </c>
      <c r="F2378" s="215" t="s">
        <v>11638</v>
      </c>
      <c r="G2378" s="215" t="s">
        <v>11639</v>
      </c>
      <c r="H2378" s="215" t="s">
        <v>6521</v>
      </c>
      <c r="I2378" s="300"/>
      <c r="J2378" s="300"/>
      <c r="K2378" s="300"/>
      <c r="L2378" s="300"/>
      <c r="M2378" s="300"/>
      <c r="N2378" s="300"/>
      <c r="O2378" s="300"/>
      <c r="P2378" s="300"/>
      <c r="Q2378" s="300"/>
      <c r="R2378" s="300"/>
      <c r="S2378" s="300"/>
      <c r="T2378" s="300"/>
      <c r="U2378" s="300"/>
      <c r="V2378" s="300"/>
      <c r="W2378" s="300"/>
      <c r="X2378" s="300"/>
      <c r="Y2378" s="300"/>
      <c r="Z2378" s="300"/>
    </row>
    <row r="2379" spans="1:26">
      <c r="A2379" s="215" t="s">
        <v>3198</v>
      </c>
      <c r="B2379" s="207">
        <v>115</v>
      </c>
      <c r="C2379" s="215" t="s">
        <v>5329</v>
      </c>
      <c r="D2379" s="215" t="s">
        <v>11641</v>
      </c>
      <c r="E2379" s="215" t="s">
        <v>11641</v>
      </c>
      <c r="F2379" s="215" t="s">
        <v>11638</v>
      </c>
      <c r="G2379" s="215" t="s">
        <v>11639</v>
      </c>
      <c r="H2379" s="215" t="s">
        <v>6497</v>
      </c>
      <c r="I2379" s="300"/>
      <c r="J2379" s="300"/>
      <c r="K2379" s="300"/>
      <c r="L2379" s="300"/>
      <c r="M2379" s="300"/>
      <c r="N2379" s="300"/>
      <c r="O2379" s="300"/>
      <c r="P2379" s="300"/>
      <c r="Q2379" s="300"/>
      <c r="R2379" s="300"/>
      <c r="S2379" s="300"/>
      <c r="T2379" s="300"/>
      <c r="U2379" s="300"/>
      <c r="V2379" s="300"/>
      <c r="W2379" s="300"/>
      <c r="X2379" s="300"/>
      <c r="Y2379" s="300"/>
      <c r="Z2379" s="300"/>
    </row>
    <row r="2380" spans="1:26">
      <c r="A2380" s="215" t="s">
        <v>2438</v>
      </c>
      <c r="B2380" s="207">
        <v>116</v>
      </c>
      <c r="C2380" s="215" t="s">
        <v>11642</v>
      </c>
      <c r="D2380" s="215" t="s">
        <v>11643</v>
      </c>
      <c r="E2380" s="215" t="s">
        <v>11644</v>
      </c>
      <c r="F2380" s="215" t="s">
        <v>11638</v>
      </c>
      <c r="G2380" s="215" t="s">
        <v>11639</v>
      </c>
      <c r="H2380" s="215" t="s">
        <v>6548</v>
      </c>
      <c r="I2380" s="300"/>
      <c r="J2380" s="300"/>
      <c r="K2380" s="300"/>
      <c r="L2380" s="300"/>
      <c r="M2380" s="300"/>
      <c r="N2380" s="300"/>
      <c r="O2380" s="300"/>
      <c r="P2380" s="300"/>
      <c r="Q2380" s="300"/>
      <c r="R2380" s="300"/>
      <c r="S2380" s="300"/>
      <c r="T2380" s="300"/>
      <c r="U2380" s="300"/>
      <c r="V2380" s="300"/>
      <c r="W2380" s="300"/>
      <c r="X2380" s="300"/>
      <c r="Y2380" s="300"/>
      <c r="Z2380" s="300"/>
    </row>
    <row r="2381" spans="1:26">
      <c r="A2381" s="215" t="s">
        <v>3351</v>
      </c>
      <c r="B2381" s="207">
        <v>117</v>
      </c>
      <c r="C2381" s="215" t="s">
        <v>5126</v>
      </c>
      <c r="D2381" s="215" t="s">
        <v>11645</v>
      </c>
      <c r="E2381" s="215" t="s">
        <v>11645</v>
      </c>
      <c r="F2381" s="215" t="s">
        <v>11638</v>
      </c>
      <c r="G2381" s="215" t="s">
        <v>11639</v>
      </c>
      <c r="H2381" s="215" t="s">
        <v>6504</v>
      </c>
      <c r="I2381" s="300"/>
      <c r="J2381" s="300"/>
      <c r="K2381" s="300"/>
      <c r="L2381" s="300"/>
      <c r="M2381" s="300"/>
      <c r="N2381" s="300"/>
      <c r="O2381" s="300"/>
      <c r="P2381" s="300"/>
      <c r="Q2381" s="300"/>
      <c r="R2381" s="300"/>
      <c r="S2381" s="300"/>
      <c r="T2381" s="300"/>
      <c r="U2381" s="300"/>
      <c r="V2381" s="300"/>
      <c r="W2381" s="300"/>
      <c r="X2381" s="300"/>
      <c r="Y2381" s="300"/>
      <c r="Z2381" s="300"/>
    </row>
    <row r="2382" spans="1:26">
      <c r="A2382" s="215" t="s">
        <v>3840</v>
      </c>
      <c r="B2382" s="207">
        <v>118</v>
      </c>
      <c r="C2382" s="215" t="s">
        <v>4882</v>
      </c>
      <c r="D2382" s="215" t="s">
        <v>11646</v>
      </c>
      <c r="E2382" s="215" t="s">
        <v>11647</v>
      </c>
      <c r="F2382" s="215" t="s">
        <v>11638</v>
      </c>
      <c r="G2382" s="215" t="s">
        <v>11639</v>
      </c>
      <c r="H2382" s="215" t="s">
        <v>6497</v>
      </c>
      <c r="I2382" s="300"/>
      <c r="J2382" s="300"/>
      <c r="K2382" s="300"/>
      <c r="L2382" s="300"/>
      <c r="M2382" s="300"/>
      <c r="N2382" s="300"/>
      <c r="O2382" s="300"/>
      <c r="P2382" s="300"/>
      <c r="Q2382" s="300"/>
      <c r="R2382" s="300"/>
      <c r="S2382" s="300"/>
      <c r="T2382" s="300"/>
      <c r="U2382" s="300"/>
      <c r="V2382" s="300"/>
      <c r="W2382" s="300"/>
      <c r="X2382" s="300"/>
      <c r="Y2382" s="300"/>
      <c r="Z2382" s="300"/>
    </row>
    <row r="2383" spans="1:26">
      <c r="A2383" s="215" t="s">
        <v>2775</v>
      </c>
      <c r="B2383" s="207">
        <v>119</v>
      </c>
      <c r="C2383" s="215" t="s">
        <v>4934</v>
      </c>
      <c r="D2383" s="215" t="s">
        <v>11648</v>
      </c>
      <c r="E2383" s="215" t="s">
        <v>11649</v>
      </c>
      <c r="F2383" s="215" t="s">
        <v>11638</v>
      </c>
      <c r="G2383" s="215" t="s">
        <v>11639</v>
      </c>
      <c r="H2383" s="215" t="s">
        <v>6521</v>
      </c>
      <c r="I2383" s="300"/>
      <c r="J2383" s="300"/>
      <c r="K2383" s="300"/>
      <c r="L2383" s="300"/>
      <c r="M2383" s="300"/>
      <c r="N2383" s="300"/>
      <c r="O2383" s="300"/>
      <c r="P2383" s="300"/>
      <c r="Q2383" s="300"/>
      <c r="R2383" s="300"/>
      <c r="S2383" s="300"/>
      <c r="T2383" s="300"/>
      <c r="U2383" s="300"/>
      <c r="V2383" s="300"/>
      <c r="W2383" s="300"/>
      <c r="X2383" s="300"/>
      <c r="Y2383" s="300"/>
      <c r="Z2383" s="300"/>
    </row>
    <row r="2384" spans="1:26">
      <c r="A2384" s="215" t="s">
        <v>4395</v>
      </c>
      <c r="B2384" s="207">
        <v>120</v>
      </c>
      <c r="C2384" s="215" t="s">
        <v>6336</v>
      </c>
      <c r="D2384" s="215" t="s">
        <v>11650</v>
      </c>
      <c r="E2384" s="215" t="s">
        <v>11650</v>
      </c>
      <c r="F2384" s="215" t="s">
        <v>11638</v>
      </c>
      <c r="G2384" s="215" t="s">
        <v>11639</v>
      </c>
      <c r="H2384" s="215" t="s">
        <v>6521</v>
      </c>
      <c r="I2384" s="300"/>
      <c r="J2384" s="300"/>
      <c r="K2384" s="300"/>
      <c r="L2384" s="300"/>
      <c r="M2384" s="300"/>
      <c r="N2384" s="300"/>
      <c r="O2384" s="300"/>
      <c r="P2384" s="300"/>
      <c r="Q2384" s="300"/>
      <c r="R2384" s="300"/>
      <c r="S2384" s="300"/>
      <c r="T2384" s="300"/>
      <c r="U2384" s="300"/>
      <c r="V2384" s="300"/>
      <c r="W2384" s="300"/>
      <c r="X2384" s="300"/>
      <c r="Y2384" s="300"/>
      <c r="Z2384" s="300"/>
    </row>
    <row r="2385" spans="1:26">
      <c r="A2385" s="215" t="s">
        <v>4429</v>
      </c>
      <c r="B2385" s="207">
        <v>121</v>
      </c>
      <c r="C2385" s="215" t="s">
        <v>11651</v>
      </c>
      <c r="D2385" s="215" t="s">
        <v>11652</v>
      </c>
      <c r="E2385" s="215" t="s">
        <v>11652</v>
      </c>
      <c r="F2385" s="215" t="s">
        <v>11638</v>
      </c>
      <c r="G2385" s="215" t="s">
        <v>11639</v>
      </c>
      <c r="H2385" s="215" t="s">
        <v>6548</v>
      </c>
      <c r="I2385" s="300"/>
      <c r="J2385" s="300"/>
      <c r="K2385" s="300"/>
      <c r="L2385" s="300"/>
      <c r="M2385" s="300"/>
      <c r="N2385" s="300"/>
      <c r="O2385" s="300"/>
      <c r="P2385" s="300"/>
      <c r="Q2385" s="300"/>
      <c r="R2385" s="300"/>
      <c r="S2385" s="300"/>
      <c r="T2385" s="300"/>
      <c r="U2385" s="300"/>
      <c r="V2385" s="300"/>
      <c r="W2385" s="300"/>
      <c r="X2385" s="300"/>
      <c r="Y2385" s="300"/>
      <c r="Z2385" s="300"/>
    </row>
    <row r="2386" spans="1:26">
      <c r="A2386" s="215" t="s">
        <v>4557</v>
      </c>
      <c r="B2386" s="207">
        <v>122</v>
      </c>
      <c r="C2386" s="215" t="s">
        <v>6468</v>
      </c>
      <c r="D2386" s="215" t="s">
        <v>11653</v>
      </c>
      <c r="E2386" s="215" t="s">
        <v>11654</v>
      </c>
      <c r="F2386" s="215" t="s">
        <v>11638</v>
      </c>
      <c r="G2386" s="215" t="s">
        <v>11639</v>
      </c>
      <c r="H2386" s="215" t="s">
        <v>6500</v>
      </c>
      <c r="I2386" s="300"/>
      <c r="J2386" s="300"/>
      <c r="K2386" s="300"/>
      <c r="L2386" s="300"/>
      <c r="M2386" s="300"/>
      <c r="N2386" s="300"/>
      <c r="O2386" s="300"/>
      <c r="P2386" s="300"/>
      <c r="Q2386" s="300"/>
      <c r="R2386" s="300"/>
      <c r="S2386" s="300"/>
      <c r="T2386" s="300"/>
      <c r="U2386" s="300"/>
      <c r="V2386" s="300"/>
      <c r="W2386" s="300"/>
      <c r="X2386" s="300"/>
      <c r="Y2386" s="300"/>
      <c r="Z2386" s="300"/>
    </row>
    <row r="2387" spans="1:26">
      <c r="A2387" s="215" t="s">
        <v>3041</v>
      </c>
      <c r="B2387" s="207">
        <v>123</v>
      </c>
      <c r="C2387" s="215" t="s">
        <v>5175</v>
      </c>
      <c r="D2387" s="215" t="s">
        <v>11655</v>
      </c>
      <c r="E2387" s="215" t="s">
        <v>11656</v>
      </c>
      <c r="F2387" s="215" t="s">
        <v>11638</v>
      </c>
      <c r="G2387" s="215" t="s">
        <v>11639</v>
      </c>
      <c r="H2387" s="215" t="s">
        <v>6500</v>
      </c>
      <c r="I2387" s="300"/>
      <c r="J2387" s="300"/>
      <c r="K2387" s="300"/>
      <c r="L2387" s="300"/>
      <c r="M2387" s="300"/>
      <c r="N2387" s="300"/>
      <c r="O2387" s="300"/>
      <c r="P2387" s="300"/>
      <c r="Q2387" s="300"/>
      <c r="R2387" s="300"/>
      <c r="S2387" s="300"/>
      <c r="T2387" s="300"/>
      <c r="U2387" s="300"/>
      <c r="V2387" s="300"/>
      <c r="W2387" s="300"/>
      <c r="X2387" s="300"/>
      <c r="Y2387" s="300"/>
      <c r="Z2387" s="300"/>
    </row>
    <row r="2388" spans="1:26">
      <c r="A2388" s="215"/>
      <c r="B2388" s="207">
        <v>104</v>
      </c>
      <c r="C2388" s="215" t="s">
        <v>5474</v>
      </c>
      <c r="D2388" s="215" t="s">
        <v>11657</v>
      </c>
      <c r="E2388" s="215" t="s">
        <v>11657</v>
      </c>
      <c r="F2388" s="215" t="s">
        <v>11658</v>
      </c>
      <c r="G2388" s="215" t="s">
        <v>11659</v>
      </c>
      <c r="H2388" s="215" t="s">
        <v>6548</v>
      </c>
      <c r="I2388" s="300"/>
      <c r="J2388" s="300"/>
      <c r="K2388" s="300"/>
      <c r="L2388" s="300"/>
      <c r="M2388" s="300"/>
      <c r="N2388" s="300"/>
      <c r="O2388" s="300"/>
      <c r="P2388" s="300"/>
      <c r="Q2388" s="300"/>
      <c r="R2388" s="300"/>
      <c r="S2388" s="300"/>
      <c r="T2388" s="300"/>
      <c r="U2388" s="300"/>
      <c r="V2388" s="300"/>
      <c r="W2388" s="300"/>
      <c r="X2388" s="300"/>
      <c r="Y2388" s="300"/>
      <c r="Z2388" s="300"/>
    </row>
    <row r="2389" spans="1:26">
      <c r="A2389" s="215" t="s">
        <v>3823</v>
      </c>
      <c r="B2389" s="207">
        <v>105</v>
      </c>
      <c r="C2389" s="215" t="s">
        <v>11660</v>
      </c>
      <c r="D2389" s="215" t="s">
        <v>11661</v>
      </c>
      <c r="E2389" s="215" t="s">
        <v>11662</v>
      </c>
      <c r="F2389" s="215" t="s">
        <v>11658</v>
      </c>
      <c r="G2389" s="215" t="s">
        <v>11659</v>
      </c>
      <c r="H2389" s="215" t="s">
        <v>6548</v>
      </c>
      <c r="I2389" s="300"/>
      <c r="J2389" s="300"/>
      <c r="K2389" s="300"/>
      <c r="L2389" s="300"/>
      <c r="M2389" s="300"/>
      <c r="N2389" s="300"/>
      <c r="O2389" s="300"/>
      <c r="P2389" s="300"/>
      <c r="Q2389" s="300"/>
      <c r="R2389" s="300"/>
      <c r="S2389" s="300"/>
      <c r="T2389" s="300"/>
      <c r="U2389" s="300"/>
      <c r="V2389" s="300"/>
      <c r="W2389" s="300"/>
      <c r="X2389" s="300"/>
      <c r="Y2389" s="300"/>
      <c r="Z2389" s="300"/>
    </row>
    <row r="2390" spans="1:26">
      <c r="A2390" s="215" t="s">
        <v>4228</v>
      </c>
      <c r="B2390" s="207">
        <v>106</v>
      </c>
      <c r="C2390" s="215" t="s">
        <v>6206</v>
      </c>
      <c r="D2390" s="215" t="s">
        <v>4123</v>
      </c>
      <c r="E2390" s="215" t="s">
        <v>11663</v>
      </c>
      <c r="F2390" s="215" t="s">
        <v>11658</v>
      </c>
      <c r="G2390" s="215" t="s">
        <v>11659</v>
      </c>
      <c r="H2390" s="215" t="s">
        <v>6497</v>
      </c>
      <c r="I2390" s="300"/>
      <c r="J2390" s="300"/>
      <c r="K2390" s="300"/>
      <c r="L2390" s="300"/>
      <c r="M2390" s="300"/>
      <c r="N2390" s="300"/>
      <c r="O2390" s="300"/>
      <c r="P2390" s="300"/>
      <c r="Q2390" s="300"/>
      <c r="R2390" s="300"/>
      <c r="S2390" s="300"/>
      <c r="T2390" s="300"/>
      <c r="U2390" s="300"/>
      <c r="V2390" s="300"/>
      <c r="W2390" s="300"/>
      <c r="X2390" s="300"/>
      <c r="Y2390" s="300"/>
      <c r="Z2390" s="300"/>
    </row>
    <row r="2391" spans="1:26">
      <c r="A2391" s="215" t="s">
        <v>3270</v>
      </c>
      <c r="B2391" s="207">
        <v>107</v>
      </c>
      <c r="C2391" s="215" t="s">
        <v>5396</v>
      </c>
      <c r="D2391" s="215" t="s">
        <v>11664</v>
      </c>
      <c r="E2391" s="215" t="s">
        <v>11664</v>
      </c>
      <c r="F2391" s="215" t="s">
        <v>11658</v>
      </c>
      <c r="G2391" s="215" t="s">
        <v>11659</v>
      </c>
      <c r="H2391" s="215" t="s">
        <v>6504</v>
      </c>
      <c r="I2391" s="300"/>
      <c r="J2391" s="300"/>
      <c r="K2391" s="300"/>
      <c r="L2391" s="300"/>
      <c r="M2391" s="300"/>
      <c r="N2391" s="300"/>
      <c r="O2391" s="300"/>
      <c r="P2391" s="300"/>
      <c r="Q2391" s="300"/>
      <c r="R2391" s="300"/>
      <c r="S2391" s="300"/>
      <c r="T2391" s="300"/>
      <c r="U2391" s="300"/>
      <c r="V2391" s="300"/>
      <c r="W2391" s="300"/>
      <c r="X2391" s="300"/>
      <c r="Y2391" s="300"/>
      <c r="Z2391" s="300"/>
    </row>
    <row r="2392" spans="1:26">
      <c r="A2392" s="215" t="s">
        <v>4067</v>
      </c>
      <c r="B2392" s="207">
        <v>108</v>
      </c>
      <c r="C2392" s="215" t="s">
        <v>6089</v>
      </c>
      <c r="D2392" s="215" t="s">
        <v>11665</v>
      </c>
      <c r="E2392" s="215" t="s">
        <v>11665</v>
      </c>
      <c r="F2392" s="215" t="s">
        <v>11658</v>
      </c>
      <c r="G2392" s="215" t="s">
        <v>11659</v>
      </c>
      <c r="H2392" s="215" t="s">
        <v>6548</v>
      </c>
      <c r="I2392" s="300"/>
      <c r="J2392" s="300"/>
      <c r="K2392" s="300"/>
      <c r="L2392" s="300"/>
      <c r="M2392" s="300"/>
      <c r="N2392" s="300"/>
      <c r="O2392" s="300"/>
      <c r="P2392" s="300"/>
      <c r="Q2392" s="300"/>
      <c r="R2392" s="300"/>
      <c r="S2392" s="300"/>
      <c r="T2392" s="300"/>
      <c r="U2392" s="300"/>
      <c r="V2392" s="300"/>
      <c r="W2392" s="300"/>
      <c r="X2392" s="300"/>
      <c r="Y2392" s="300"/>
      <c r="Z2392" s="300"/>
    </row>
    <row r="2393" spans="1:26">
      <c r="A2393" s="215" t="s">
        <v>4034</v>
      </c>
      <c r="B2393" s="207">
        <v>109</v>
      </c>
      <c r="C2393" s="215" t="s">
        <v>6058</v>
      </c>
      <c r="D2393" s="215" t="s">
        <v>11666</v>
      </c>
      <c r="E2393" s="215" t="s">
        <v>11666</v>
      </c>
      <c r="F2393" s="215" t="s">
        <v>11658</v>
      </c>
      <c r="G2393" s="215" t="s">
        <v>11659</v>
      </c>
      <c r="H2393" s="215" t="s">
        <v>6521</v>
      </c>
      <c r="I2393" s="300"/>
      <c r="J2393" s="300"/>
      <c r="K2393" s="300"/>
      <c r="L2393" s="300"/>
      <c r="M2393" s="300"/>
      <c r="N2393" s="300"/>
      <c r="O2393" s="300"/>
      <c r="P2393" s="300"/>
      <c r="Q2393" s="300"/>
      <c r="R2393" s="300"/>
      <c r="S2393" s="300"/>
      <c r="T2393" s="300"/>
      <c r="U2393" s="300"/>
      <c r="V2393" s="300"/>
      <c r="W2393" s="300"/>
      <c r="X2393" s="300"/>
      <c r="Y2393" s="300"/>
      <c r="Z2393" s="300"/>
    </row>
    <row r="2394" spans="1:26">
      <c r="A2394" s="215" t="s">
        <v>3356</v>
      </c>
      <c r="B2394" s="207">
        <v>341</v>
      </c>
      <c r="C2394" s="215" t="s">
        <v>11667</v>
      </c>
      <c r="D2394" s="215" t="s">
        <v>11668</v>
      </c>
      <c r="E2394" s="215" t="s">
        <v>11669</v>
      </c>
      <c r="F2394" s="215" t="s">
        <v>11670</v>
      </c>
      <c r="G2394" s="215" t="s">
        <v>11671</v>
      </c>
      <c r="H2394" s="215" t="s">
        <v>6548</v>
      </c>
      <c r="I2394" s="300"/>
      <c r="J2394" s="300"/>
      <c r="K2394" s="300"/>
      <c r="L2394" s="300"/>
      <c r="M2394" s="300"/>
      <c r="N2394" s="300"/>
      <c r="O2394" s="300"/>
      <c r="P2394" s="300"/>
      <c r="Q2394" s="300"/>
      <c r="R2394" s="300"/>
      <c r="S2394" s="300"/>
      <c r="T2394" s="300"/>
      <c r="U2394" s="300"/>
      <c r="V2394" s="300"/>
      <c r="W2394" s="300"/>
      <c r="X2394" s="300"/>
      <c r="Y2394" s="300"/>
      <c r="Z2394" s="300"/>
    </row>
    <row r="2395" spans="1:26">
      <c r="A2395" s="215" t="s">
        <v>6893</v>
      </c>
      <c r="B2395" s="207">
        <v>342</v>
      </c>
      <c r="C2395" s="215" t="s">
        <v>11672</v>
      </c>
      <c r="D2395" s="215" t="s">
        <v>11673</v>
      </c>
      <c r="E2395" s="215" t="s">
        <v>11674</v>
      </c>
      <c r="F2395" s="215" t="s">
        <v>11670</v>
      </c>
      <c r="G2395" s="215" t="s">
        <v>11671</v>
      </c>
      <c r="H2395" s="215" t="s">
        <v>6504</v>
      </c>
      <c r="I2395" s="300"/>
      <c r="J2395" s="300"/>
      <c r="K2395" s="300"/>
      <c r="L2395" s="300"/>
      <c r="M2395" s="300"/>
      <c r="N2395" s="300"/>
      <c r="O2395" s="300"/>
      <c r="P2395" s="300"/>
      <c r="Q2395" s="300"/>
      <c r="R2395" s="300"/>
      <c r="S2395" s="300"/>
      <c r="T2395" s="300"/>
      <c r="U2395" s="300"/>
      <c r="V2395" s="300"/>
      <c r="W2395" s="300"/>
      <c r="X2395" s="300"/>
      <c r="Y2395" s="300"/>
      <c r="Z2395" s="300"/>
    </row>
    <row r="2396" spans="1:26">
      <c r="A2396" s="215" t="s">
        <v>3793</v>
      </c>
      <c r="B2396" s="207">
        <v>348</v>
      </c>
      <c r="C2396" s="215" t="s">
        <v>11675</v>
      </c>
      <c r="D2396" s="215" t="s">
        <v>11676</v>
      </c>
      <c r="E2396" s="215" t="s">
        <v>11677</v>
      </c>
      <c r="F2396" s="215" t="s">
        <v>11670</v>
      </c>
      <c r="G2396" s="215" t="s">
        <v>11671</v>
      </c>
      <c r="H2396" s="215" t="s">
        <v>6504</v>
      </c>
      <c r="I2396" s="300"/>
      <c r="J2396" s="300"/>
      <c r="K2396" s="300"/>
      <c r="L2396" s="300"/>
      <c r="M2396" s="300"/>
      <c r="N2396" s="300"/>
      <c r="O2396" s="300"/>
      <c r="P2396" s="300"/>
      <c r="Q2396" s="300"/>
      <c r="R2396" s="300"/>
      <c r="S2396" s="300"/>
      <c r="T2396" s="300"/>
      <c r="U2396" s="300"/>
      <c r="V2396" s="300"/>
      <c r="W2396" s="300"/>
      <c r="X2396" s="300"/>
      <c r="Y2396" s="300"/>
      <c r="Z2396" s="300"/>
    </row>
    <row r="2397" spans="1:26">
      <c r="A2397" s="215"/>
      <c r="B2397" s="207">
        <v>358</v>
      </c>
      <c r="C2397" s="215" t="s">
        <v>2546</v>
      </c>
      <c r="D2397" s="215"/>
      <c r="E2397" s="215"/>
      <c r="F2397" s="215" t="s">
        <v>11670</v>
      </c>
      <c r="G2397" s="215" t="s">
        <v>11671</v>
      </c>
      <c r="H2397" s="215" t="s">
        <v>6548</v>
      </c>
      <c r="I2397" s="300"/>
      <c r="J2397" s="300"/>
      <c r="K2397" s="300"/>
      <c r="L2397" s="300"/>
      <c r="M2397" s="300"/>
      <c r="N2397" s="300"/>
      <c r="O2397" s="300"/>
      <c r="P2397" s="300"/>
      <c r="Q2397" s="300"/>
      <c r="R2397" s="300"/>
      <c r="S2397" s="300"/>
      <c r="T2397" s="300"/>
      <c r="U2397" s="300"/>
      <c r="V2397" s="300"/>
      <c r="W2397" s="300"/>
      <c r="X2397" s="300"/>
      <c r="Y2397" s="300"/>
      <c r="Z2397" s="300"/>
    </row>
    <row r="2398" spans="1:26">
      <c r="A2398" s="215" t="s">
        <v>3356</v>
      </c>
      <c r="B2398" s="207">
        <v>369</v>
      </c>
      <c r="C2398" s="215" t="s">
        <v>11678</v>
      </c>
      <c r="D2398" s="215" t="s">
        <v>11679</v>
      </c>
      <c r="E2398" s="215" t="s">
        <v>11680</v>
      </c>
      <c r="F2398" s="215" t="s">
        <v>11670</v>
      </c>
      <c r="G2398" s="215" t="s">
        <v>11671</v>
      </c>
      <c r="H2398" s="215" t="s">
        <v>6497</v>
      </c>
      <c r="I2398" s="300"/>
      <c r="J2398" s="300"/>
      <c r="K2398" s="300"/>
      <c r="L2398" s="300"/>
      <c r="M2398" s="300"/>
      <c r="N2398" s="300"/>
      <c r="O2398" s="300"/>
      <c r="P2398" s="300"/>
      <c r="Q2398" s="300"/>
      <c r="R2398" s="300"/>
      <c r="S2398" s="300"/>
      <c r="T2398" s="300"/>
      <c r="U2398" s="300"/>
      <c r="V2398" s="300"/>
      <c r="W2398" s="300"/>
      <c r="X2398" s="300"/>
      <c r="Y2398" s="300"/>
      <c r="Z2398" s="300"/>
    </row>
    <row r="2399" spans="1:26">
      <c r="A2399" s="215" t="s">
        <v>3898</v>
      </c>
      <c r="B2399" s="207">
        <v>401</v>
      </c>
      <c r="C2399" s="215" t="s">
        <v>5958</v>
      </c>
      <c r="D2399" s="215" t="s">
        <v>11681</v>
      </c>
      <c r="E2399" s="215" t="s">
        <v>11682</v>
      </c>
      <c r="F2399" s="215" t="s">
        <v>11670</v>
      </c>
      <c r="G2399" s="215" t="s">
        <v>11671</v>
      </c>
      <c r="H2399" s="215" t="s">
        <v>6500</v>
      </c>
      <c r="I2399" s="300"/>
      <c r="J2399" s="300"/>
      <c r="K2399" s="300"/>
      <c r="L2399" s="300"/>
      <c r="M2399" s="300"/>
      <c r="N2399" s="300"/>
      <c r="O2399" s="300"/>
      <c r="P2399" s="300"/>
      <c r="Q2399" s="300"/>
      <c r="R2399" s="300"/>
      <c r="S2399" s="300"/>
      <c r="T2399" s="300"/>
      <c r="U2399" s="300"/>
      <c r="V2399" s="300"/>
      <c r="W2399" s="300"/>
      <c r="X2399" s="300"/>
      <c r="Y2399" s="300"/>
      <c r="Z2399" s="300"/>
    </row>
    <row r="2400" spans="1:26">
      <c r="A2400" s="215"/>
      <c r="B2400" s="207">
        <v>1335</v>
      </c>
      <c r="C2400" s="215" t="s">
        <v>5139</v>
      </c>
      <c r="D2400" s="215" t="s">
        <v>11683</v>
      </c>
      <c r="E2400" s="215" t="s">
        <v>11684</v>
      </c>
      <c r="F2400" s="215" t="s">
        <v>11670</v>
      </c>
      <c r="G2400" s="215" t="s">
        <v>11671</v>
      </c>
      <c r="H2400" s="215" t="s">
        <v>6504</v>
      </c>
      <c r="I2400" s="300"/>
      <c r="J2400" s="300"/>
      <c r="K2400" s="300"/>
      <c r="L2400" s="300"/>
      <c r="M2400" s="300"/>
      <c r="N2400" s="300"/>
      <c r="O2400" s="300"/>
      <c r="P2400" s="300"/>
      <c r="Q2400" s="300"/>
      <c r="R2400" s="300"/>
      <c r="S2400" s="300"/>
      <c r="T2400" s="300"/>
      <c r="U2400" s="300"/>
      <c r="V2400" s="300"/>
      <c r="W2400" s="300"/>
      <c r="X2400" s="300"/>
      <c r="Y2400" s="300"/>
      <c r="Z2400" s="300"/>
    </row>
    <row r="2401" spans="1:26">
      <c r="A2401" s="215" t="s">
        <v>3087</v>
      </c>
      <c r="B2401" s="207">
        <v>1337</v>
      </c>
      <c r="C2401" s="215" t="s">
        <v>11685</v>
      </c>
      <c r="D2401" s="215" t="s">
        <v>11686</v>
      </c>
      <c r="E2401" s="215" t="s">
        <v>11687</v>
      </c>
      <c r="F2401" s="215" t="s">
        <v>11670</v>
      </c>
      <c r="G2401" s="215" t="s">
        <v>11671</v>
      </c>
      <c r="H2401" s="215" t="s">
        <v>6504</v>
      </c>
      <c r="I2401" s="300"/>
      <c r="J2401" s="300"/>
      <c r="K2401" s="300"/>
      <c r="L2401" s="300"/>
      <c r="M2401" s="300"/>
      <c r="N2401" s="300"/>
      <c r="O2401" s="300"/>
      <c r="P2401" s="300"/>
      <c r="Q2401" s="300"/>
      <c r="R2401" s="300"/>
      <c r="S2401" s="300"/>
      <c r="T2401" s="300"/>
      <c r="U2401" s="300"/>
      <c r="V2401" s="300"/>
      <c r="W2401" s="300"/>
      <c r="X2401" s="300"/>
      <c r="Y2401" s="300"/>
      <c r="Z2401" s="300"/>
    </row>
    <row r="2402" spans="1:26">
      <c r="A2402" s="215" t="s">
        <v>2621</v>
      </c>
      <c r="B2402" s="207">
        <v>144</v>
      </c>
      <c r="C2402" s="215" t="s">
        <v>4813</v>
      </c>
      <c r="D2402" s="215" t="s">
        <v>11688</v>
      </c>
      <c r="E2402" s="215" t="s">
        <v>11689</v>
      </c>
      <c r="F2402" s="215" t="s">
        <v>160</v>
      </c>
      <c r="G2402" s="215" t="s">
        <v>11690</v>
      </c>
      <c r="H2402" s="215" t="s">
        <v>6497</v>
      </c>
      <c r="I2402" s="300"/>
      <c r="J2402" s="300"/>
      <c r="K2402" s="300"/>
      <c r="L2402" s="300"/>
      <c r="M2402" s="300"/>
      <c r="N2402" s="300"/>
      <c r="O2402" s="300"/>
      <c r="P2402" s="300"/>
      <c r="Q2402" s="300"/>
      <c r="R2402" s="300"/>
      <c r="S2402" s="300"/>
      <c r="T2402" s="300"/>
      <c r="U2402" s="300"/>
      <c r="V2402" s="300"/>
      <c r="W2402" s="300"/>
      <c r="X2402" s="300"/>
      <c r="Y2402" s="300"/>
      <c r="Z2402" s="300"/>
    </row>
    <row r="2403" spans="1:26">
      <c r="A2403" s="215" t="s">
        <v>2655</v>
      </c>
      <c r="B2403" s="207">
        <v>145</v>
      </c>
      <c r="C2403" s="215" t="s">
        <v>11691</v>
      </c>
      <c r="D2403" s="215" t="s">
        <v>11692</v>
      </c>
      <c r="E2403" s="215" t="s">
        <v>11693</v>
      </c>
      <c r="F2403" s="215" t="s">
        <v>160</v>
      </c>
      <c r="G2403" s="215" t="s">
        <v>11690</v>
      </c>
      <c r="H2403" s="215" t="s">
        <v>6504</v>
      </c>
      <c r="I2403" s="300"/>
      <c r="J2403" s="300"/>
      <c r="K2403" s="300"/>
      <c r="L2403" s="300"/>
      <c r="M2403" s="300"/>
      <c r="N2403" s="300"/>
      <c r="O2403" s="300"/>
      <c r="P2403" s="300"/>
      <c r="Q2403" s="300"/>
      <c r="R2403" s="300"/>
      <c r="S2403" s="300"/>
      <c r="T2403" s="300"/>
      <c r="U2403" s="300"/>
      <c r="V2403" s="300"/>
      <c r="W2403" s="300"/>
      <c r="X2403" s="300"/>
      <c r="Y2403" s="300"/>
      <c r="Z2403" s="300"/>
    </row>
    <row r="2404" spans="1:26">
      <c r="A2404" s="215" t="s">
        <v>3107</v>
      </c>
      <c r="B2404" s="207">
        <v>150</v>
      </c>
      <c r="C2404" s="215" t="s">
        <v>5239</v>
      </c>
      <c r="D2404" s="215" t="s">
        <v>11694</v>
      </c>
      <c r="E2404" s="215" t="s">
        <v>11695</v>
      </c>
      <c r="F2404" s="215" t="s">
        <v>160</v>
      </c>
      <c r="G2404" s="215" t="s">
        <v>11690</v>
      </c>
      <c r="H2404" s="215" t="s">
        <v>6548</v>
      </c>
      <c r="I2404" s="300"/>
      <c r="J2404" s="300"/>
      <c r="K2404" s="300"/>
      <c r="L2404" s="300"/>
      <c r="M2404" s="300"/>
      <c r="N2404" s="300"/>
      <c r="O2404" s="300"/>
      <c r="P2404" s="300"/>
      <c r="Q2404" s="300"/>
      <c r="R2404" s="300"/>
      <c r="S2404" s="300"/>
      <c r="T2404" s="300"/>
      <c r="U2404" s="300"/>
      <c r="V2404" s="300"/>
      <c r="W2404" s="300"/>
      <c r="X2404" s="300"/>
      <c r="Y2404" s="300"/>
      <c r="Z2404" s="300"/>
    </row>
    <row r="2405" spans="1:26">
      <c r="A2405" s="215" t="s">
        <v>3232</v>
      </c>
      <c r="B2405" s="207">
        <v>152</v>
      </c>
      <c r="C2405" s="215" t="s">
        <v>5364</v>
      </c>
      <c r="D2405" s="215" t="s">
        <v>11696</v>
      </c>
      <c r="E2405" s="215" t="s">
        <v>11696</v>
      </c>
      <c r="F2405" s="215" t="s">
        <v>160</v>
      </c>
      <c r="G2405" s="215" t="s">
        <v>11690</v>
      </c>
      <c r="H2405" s="215" t="s">
        <v>6497</v>
      </c>
      <c r="I2405" s="300"/>
      <c r="J2405" s="300"/>
      <c r="K2405" s="300"/>
      <c r="L2405" s="300"/>
      <c r="M2405" s="300"/>
      <c r="N2405" s="300"/>
      <c r="O2405" s="300"/>
      <c r="P2405" s="300"/>
      <c r="Q2405" s="300"/>
      <c r="R2405" s="300"/>
      <c r="S2405" s="300"/>
      <c r="T2405" s="300"/>
      <c r="U2405" s="300"/>
      <c r="V2405" s="300"/>
      <c r="W2405" s="300"/>
      <c r="X2405" s="300"/>
      <c r="Y2405" s="300"/>
      <c r="Z2405" s="300"/>
    </row>
    <row r="2406" spans="1:26">
      <c r="A2406" s="215" t="s">
        <v>3273</v>
      </c>
      <c r="B2406" s="207">
        <v>153</v>
      </c>
      <c r="C2406" s="215" t="s">
        <v>5400</v>
      </c>
      <c r="D2406" s="215" t="s">
        <v>11697</v>
      </c>
      <c r="E2406" s="215" t="s">
        <v>11697</v>
      </c>
      <c r="F2406" s="215" t="s">
        <v>160</v>
      </c>
      <c r="G2406" s="215" t="s">
        <v>11690</v>
      </c>
      <c r="H2406" s="215" t="s">
        <v>6497</v>
      </c>
      <c r="I2406" s="300"/>
      <c r="J2406" s="300"/>
      <c r="K2406" s="300"/>
      <c r="L2406" s="300"/>
      <c r="M2406" s="300"/>
      <c r="N2406" s="300"/>
      <c r="O2406" s="300"/>
      <c r="P2406" s="300"/>
      <c r="Q2406" s="300"/>
      <c r="R2406" s="300"/>
      <c r="S2406" s="300"/>
      <c r="T2406" s="300"/>
      <c r="U2406" s="300"/>
      <c r="V2406" s="300"/>
      <c r="W2406" s="300"/>
      <c r="X2406" s="300"/>
      <c r="Y2406" s="300"/>
      <c r="Z2406" s="300"/>
    </row>
    <row r="2407" spans="1:26">
      <c r="A2407" s="215" t="s">
        <v>3435</v>
      </c>
      <c r="B2407" s="207">
        <v>154</v>
      </c>
      <c r="C2407" s="215" t="s">
        <v>5556</v>
      </c>
      <c r="D2407" s="215" t="s">
        <v>11698</v>
      </c>
      <c r="E2407" s="215" t="s">
        <v>11699</v>
      </c>
      <c r="F2407" s="215" t="s">
        <v>160</v>
      </c>
      <c r="G2407" s="215" t="s">
        <v>11690</v>
      </c>
      <c r="H2407" s="215" t="s">
        <v>6497</v>
      </c>
      <c r="I2407" s="300"/>
      <c r="J2407" s="300"/>
      <c r="K2407" s="300"/>
      <c r="L2407" s="300"/>
      <c r="M2407" s="300"/>
      <c r="N2407" s="300"/>
      <c r="O2407" s="300"/>
      <c r="P2407" s="300"/>
      <c r="Q2407" s="300"/>
      <c r="R2407" s="300"/>
      <c r="S2407" s="300"/>
      <c r="T2407" s="300"/>
      <c r="U2407" s="300"/>
      <c r="V2407" s="300"/>
      <c r="W2407" s="300"/>
      <c r="X2407" s="300"/>
      <c r="Y2407" s="300"/>
      <c r="Z2407" s="300"/>
    </row>
    <row r="2408" spans="1:26">
      <c r="A2408" s="215" t="s">
        <v>3092</v>
      </c>
      <c r="B2408" s="207">
        <v>157</v>
      </c>
      <c r="C2408" s="215" t="s">
        <v>11700</v>
      </c>
      <c r="D2408" s="215" t="s">
        <v>11701</v>
      </c>
      <c r="E2408" s="215" t="s">
        <v>11702</v>
      </c>
      <c r="F2408" s="215" t="s">
        <v>160</v>
      </c>
      <c r="G2408" s="215" t="s">
        <v>11690</v>
      </c>
      <c r="H2408" s="215" t="s">
        <v>6504</v>
      </c>
      <c r="I2408" s="300"/>
      <c r="J2408" s="300"/>
      <c r="K2408" s="300"/>
      <c r="L2408" s="300"/>
      <c r="M2408" s="300"/>
      <c r="N2408" s="300"/>
      <c r="O2408" s="300"/>
      <c r="P2408" s="300"/>
      <c r="Q2408" s="300"/>
      <c r="R2408" s="300"/>
      <c r="S2408" s="300"/>
      <c r="T2408" s="300"/>
      <c r="U2408" s="300"/>
      <c r="V2408" s="300"/>
      <c r="W2408" s="300"/>
      <c r="X2408" s="300"/>
      <c r="Y2408" s="300"/>
      <c r="Z2408" s="300"/>
    </row>
    <row r="2409" spans="1:26">
      <c r="A2409" s="215" t="s">
        <v>4204</v>
      </c>
      <c r="B2409" s="207">
        <v>159</v>
      </c>
      <c r="C2409" s="215" t="s">
        <v>6188</v>
      </c>
      <c r="D2409" s="215" t="s">
        <v>11703</v>
      </c>
      <c r="E2409" s="215" t="s">
        <v>11703</v>
      </c>
      <c r="F2409" s="215" t="s">
        <v>160</v>
      </c>
      <c r="G2409" s="215" t="s">
        <v>11690</v>
      </c>
      <c r="H2409" s="215" t="s">
        <v>6497</v>
      </c>
      <c r="I2409" s="300"/>
      <c r="J2409" s="300"/>
      <c r="K2409" s="300"/>
      <c r="L2409" s="300"/>
      <c r="M2409" s="300"/>
      <c r="N2409" s="300"/>
      <c r="O2409" s="300"/>
      <c r="P2409" s="300"/>
      <c r="Q2409" s="300"/>
      <c r="R2409" s="300"/>
      <c r="S2409" s="300"/>
      <c r="T2409" s="300"/>
      <c r="U2409" s="300"/>
      <c r="V2409" s="300"/>
      <c r="W2409" s="300"/>
      <c r="X2409" s="300"/>
      <c r="Y2409" s="300"/>
      <c r="Z2409" s="300"/>
    </row>
    <row r="2410" spans="1:26">
      <c r="A2410" s="215" t="s">
        <v>4232</v>
      </c>
      <c r="B2410" s="207">
        <v>160</v>
      </c>
      <c r="C2410" s="215" t="s">
        <v>6210</v>
      </c>
      <c r="D2410" s="215" t="s">
        <v>11704</v>
      </c>
      <c r="E2410" s="215" t="s">
        <v>11705</v>
      </c>
      <c r="F2410" s="215" t="s">
        <v>160</v>
      </c>
      <c r="G2410" s="215" t="s">
        <v>11690</v>
      </c>
      <c r="H2410" s="215" t="s">
        <v>6504</v>
      </c>
      <c r="I2410" s="300"/>
      <c r="J2410" s="300"/>
      <c r="K2410" s="300"/>
      <c r="L2410" s="300"/>
      <c r="M2410" s="300"/>
      <c r="N2410" s="300"/>
      <c r="O2410" s="300"/>
      <c r="P2410" s="300"/>
      <c r="Q2410" s="300"/>
      <c r="R2410" s="300"/>
      <c r="S2410" s="300"/>
      <c r="T2410" s="300"/>
      <c r="U2410" s="300"/>
      <c r="V2410" s="300"/>
      <c r="W2410" s="300"/>
      <c r="X2410" s="300"/>
      <c r="Y2410" s="300"/>
      <c r="Z2410" s="300"/>
    </row>
    <row r="2411" spans="1:26">
      <c r="A2411" s="215" t="s">
        <v>4183</v>
      </c>
      <c r="B2411" s="207">
        <v>161</v>
      </c>
      <c r="C2411" s="215" t="s">
        <v>6170</v>
      </c>
      <c r="D2411" s="215" t="s">
        <v>11706</v>
      </c>
      <c r="E2411" s="215" t="s">
        <v>11706</v>
      </c>
      <c r="F2411" s="215" t="s">
        <v>160</v>
      </c>
      <c r="G2411" s="215" t="s">
        <v>11690</v>
      </c>
      <c r="H2411" s="215" t="s">
        <v>6497</v>
      </c>
      <c r="I2411" s="300"/>
      <c r="J2411" s="300"/>
      <c r="K2411" s="300"/>
      <c r="L2411" s="300"/>
      <c r="M2411" s="300"/>
      <c r="N2411" s="300"/>
      <c r="O2411" s="300"/>
      <c r="P2411" s="300"/>
      <c r="Q2411" s="300"/>
      <c r="R2411" s="300"/>
      <c r="S2411" s="300"/>
      <c r="T2411" s="300"/>
      <c r="U2411" s="300"/>
      <c r="V2411" s="300"/>
      <c r="W2411" s="300"/>
      <c r="X2411" s="300"/>
      <c r="Y2411" s="300"/>
      <c r="Z2411" s="300"/>
    </row>
    <row r="2412" spans="1:26">
      <c r="A2412" s="215" t="s">
        <v>4192</v>
      </c>
      <c r="B2412" s="207">
        <v>162</v>
      </c>
      <c r="C2412" s="215" t="s">
        <v>11707</v>
      </c>
      <c r="D2412" s="215" t="s">
        <v>11708</v>
      </c>
      <c r="E2412" s="215" t="s">
        <v>11709</v>
      </c>
      <c r="F2412" s="215" t="s">
        <v>160</v>
      </c>
      <c r="G2412" s="215" t="s">
        <v>11690</v>
      </c>
      <c r="H2412" s="215" t="s">
        <v>6497</v>
      </c>
      <c r="I2412" s="300"/>
      <c r="J2412" s="300"/>
      <c r="K2412" s="300"/>
      <c r="L2412" s="300"/>
      <c r="M2412" s="300"/>
      <c r="N2412" s="300"/>
      <c r="O2412" s="300"/>
      <c r="P2412" s="300"/>
      <c r="Q2412" s="300"/>
      <c r="R2412" s="300"/>
      <c r="S2412" s="300"/>
      <c r="T2412" s="300"/>
      <c r="U2412" s="300"/>
      <c r="V2412" s="300"/>
      <c r="W2412" s="300"/>
      <c r="X2412" s="300"/>
      <c r="Y2412" s="300"/>
      <c r="Z2412" s="300"/>
    </row>
    <row r="2413" spans="1:26">
      <c r="A2413" s="215" t="s">
        <v>2915</v>
      </c>
      <c r="B2413" s="207">
        <v>255</v>
      </c>
      <c r="C2413" s="215" t="s">
        <v>11710</v>
      </c>
      <c r="D2413" s="215" t="s">
        <v>11711</v>
      </c>
      <c r="E2413" s="215" t="s">
        <v>11711</v>
      </c>
      <c r="F2413" s="215" t="s">
        <v>160</v>
      </c>
      <c r="G2413" s="215" t="s">
        <v>11690</v>
      </c>
      <c r="H2413" s="215" t="s">
        <v>6548</v>
      </c>
      <c r="I2413" s="300"/>
      <c r="J2413" s="300"/>
      <c r="K2413" s="300"/>
      <c r="L2413" s="300"/>
      <c r="M2413" s="300"/>
      <c r="N2413" s="300"/>
      <c r="O2413" s="300"/>
      <c r="P2413" s="300"/>
      <c r="Q2413" s="300"/>
      <c r="R2413" s="300"/>
      <c r="S2413" s="300"/>
      <c r="T2413" s="300"/>
      <c r="U2413" s="300"/>
      <c r="V2413" s="300"/>
      <c r="W2413" s="300"/>
      <c r="X2413" s="300"/>
      <c r="Y2413" s="300"/>
      <c r="Z2413" s="300"/>
    </row>
    <row r="2414" spans="1:26">
      <c r="A2414" s="215" t="s">
        <v>2946</v>
      </c>
      <c r="B2414" s="207">
        <v>256</v>
      </c>
      <c r="C2414" s="215" t="s">
        <v>5103</v>
      </c>
      <c r="D2414" s="215" t="s">
        <v>11712</v>
      </c>
      <c r="E2414" s="215" t="s">
        <v>11713</v>
      </c>
      <c r="F2414" s="215" t="s">
        <v>160</v>
      </c>
      <c r="G2414" s="215" t="s">
        <v>11690</v>
      </c>
      <c r="H2414" s="215" t="s">
        <v>6497</v>
      </c>
      <c r="I2414" s="300"/>
      <c r="J2414" s="300"/>
      <c r="K2414" s="300"/>
      <c r="L2414" s="300"/>
      <c r="M2414" s="300"/>
      <c r="N2414" s="300"/>
      <c r="O2414" s="300"/>
      <c r="P2414" s="300"/>
      <c r="Q2414" s="300"/>
      <c r="R2414" s="300"/>
      <c r="S2414" s="300"/>
      <c r="T2414" s="300"/>
      <c r="U2414" s="300"/>
      <c r="V2414" s="300"/>
      <c r="W2414" s="300"/>
      <c r="X2414" s="300"/>
      <c r="Y2414" s="300"/>
      <c r="Z2414" s="300"/>
    </row>
    <row r="2415" spans="1:26">
      <c r="A2415" s="215" t="s">
        <v>2434</v>
      </c>
      <c r="B2415" s="207">
        <v>259</v>
      </c>
      <c r="C2415" s="215" t="s">
        <v>11714</v>
      </c>
      <c r="D2415" s="215" t="s">
        <v>11715</v>
      </c>
      <c r="E2415" s="215" t="s">
        <v>11716</v>
      </c>
      <c r="F2415" s="215" t="s">
        <v>160</v>
      </c>
      <c r="G2415" s="215" t="s">
        <v>11690</v>
      </c>
      <c r="H2415" s="215" t="s">
        <v>6548</v>
      </c>
      <c r="I2415" s="300"/>
      <c r="J2415" s="300"/>
      <c r="K2415" s="300"/>
      <c r="L2415" s="300"/>
      <c r="M2415" s="300"/>
      <c r="N2415" s="300"/>
      <c r="O2415" s="300"/>
      <c r="P2415" s="300"/>
      <c r="Q2415" s="300"/>
      <c r="R2415" s="300"/>
      <c r="S2415" s="300"/>
      <c r="T2415" s="300"/>
      <c r="U2415" s="300"/>
      <c r="V2415" s="300"/>
      <c r="W2415" s="300"/>
      <c r="X2415" s="300"/>
      <c r="Y2415" s="300"/>
      <c r="Z2415" s="300"/>
    </row>
    <row r="2416" spans="1:26">
      <c r="A2416" s="215" t="s">
        <v>3652</v>
      </c>
      <c r="B2416" s="207">
        <v>264</v>
      </c>
      <c r="C2416" s="215" t="s">
        <v>11717</v>
      </c>
      <c r="D2416" s="215" t="s">
        <v>11718</v>
      </c>
      <c r="E2416" s="215" t="s">
        <v>11719</v>
      </c>
      <c r="F2416" s="215" t="s">
        <v>160</v>
      </c>
      <c r="G2416" s="215" t="s">
        <v>11690</v>
      </c>
      <c r="H2416" s="215" t="s">
        <v>6500</v>
      </c>
      <c r="I2416" s="300"/>
      <c r="J2416" s="300"/>
      <c r="K2416" s="300"/>
      <c r="L2416" s="300"/>
      <c r="M2416" s="300"/>
      <c r="N2416" s="300"/>
      <c r="O2416" s="300"/>
      <c r="P2416" s="300"/>
      <c r="Q2416" s="300"/>
      <c r="R2416" s="300"/>
      <c r="S2416" s="300"/>
      <c r="T2416" s="300"/>
      <c r="U2416" s="300"/>
      <c r="V2416" s="300"/>
      <c r="W2416" s="300"/>
      <c r="X2416" s="300"/>
      <c r="Y2416" s="300"/>
      <c r="Z2416" s="300"/>
    </row>
    <row r="2417" spans="1:26">
      <c r="A2417" s="215" t="s">
        <v>4368</v>
      </c>
      <c r="B2417" s="207">
        <v>265</v>
      </c>
      <c r="C2417" s="215" t="s">
        <v>11720</v>
      </c>
      <c r="D2417" s="215" t="s">
        <v>11721</v>
      </c>
      <c r="E2417" s="215" t="s">
        <v>11722</v>
      </c>
      <c r="F2417" s="215" t="s">
        <v>160</v>
      </c>
      <c r="G2417" s="215" t="s">
        <v>11690</v>
      </c>
      <c r="H2417" s="215" t="s">
        <v>6497</v>
      </c>
      <c r="I2417" s="300"/>
      <c r="J2417" s="300"/>
      <c r="K2417" s="300"/>
      <c r="L2417" s="300"/>
      <c r="M2417" s="300"/>
      <c r="N2417" s="300"/>
      <c r="O2417" s="300"/>
      <c r="P2417" s="300"/>
      <c r="Q2417" s="300"/>
      <c r="R2417" s="300"/>
      <c r="S2417" s="300"/>
      <c r="T2417" s="300"/>
      <c r="U2417" s="300"/>
      <c r="V2417" s="300"/>
      <c r="W2417" s="300"/>
      <c r="X2417" s="300"/>
      <c r="Y2417" s="300"/>
      <c r="Z2417" s="300"/>
    </row>
    <row r="2418" spans="1:26">
      <c r="A2418" s="215" t="s">
        <v>3848</v>
      </c>
      <c r="B2418" s="207">
        <v>269</v>
      </c>
      <c r="C2418" s="215" t="s">
        <v>11723</v>
      </c>
      <c r="D2418" s="215" t="s">
        <v>11724</v>
      </c>
      <c r="E2418" s="215" t="s">
        <v>11724</v>
      </c>
      <c r="F2418" s="215" t="s">
        <v>160</v>
      </c>
      <c r="G2418" s="215" t="s">
        <v>11690</v>
      </c>
      <c r="H2418" s="215" t="s">
        <v>6497</v>
      </c>
      <c r="I2418" s="300"/>
      <c r="J2418" s="300"/>
      <c r="K2418" s="300"/>
      <c r="L2418" s="300"/>
      <c r="M2418" s="300"/>
      <c r="N2418" s="300"/>
      <c r="O2418" s="300"/>
      <c r="P2418" s="300"/>
      <c r="Q2418" s="300"/>
      <c r="R2418" s="300"/>
      <c r="S2418" s="300"/>
      <c r="T2418" s="300"/>
      <c r="U2418" s="300"/>
      <c r="V2418" s="300"/>
      <c r="W2418" s="300"/>
      <c r="X2418" s="300"/>
      <c r="Y2418" s="300"/>
      <c r="Z2418" s="300"/>
    </row>
    <row r="2419" spans="1:26">
      <c r="A2419" s="215" t="s">
        <v>3851</v>
      </c>
      <c r="B2419" s="207">
        <v>270</v>
      </c>
      <c r="C2419" s="215" t="s">
        <v>11725</v>
      </c>
      <c r="D2419" s="215" t="s">
        <v>11726</v>
      </c>
      <c r="E2419" s="215" t="s">
        <v>11727</v>
      </c>
      <c r="F2419" s="215" t="s">
        <v>160</v>
      </c>
      <c r="G2419" s="215" t="s">
        <v>11690</v>
      </c>
      <c r="H2419" s="215" t="s">
        <v>6497</v>
      </c>
      <c r="I2419" s="300"/>
      <c r="J2419" s="300"/>
      <c r="K2419" s="300"/>
      <c r="L2419" s="300"/>
      <c r="M2419" s="300"/>
      <c r="N2419" s="300"/>
      <c r="O2419" s="300"/>
      <c r="P2419" s="300"/>
      <c r="Q2419" s="300"/>
      <c r="R2419" s="300"/>
      <c r="S2419" s="300"/>
      <c r="T2419" s="300"/>
      <c r="U2419" s="300"/>
      <c r="V2419" s="300"/>
      <c r="W2419" s="300"/>
      <c r="X2419" s="300"/>
      <c r="Y2419" s="300"/>
      <c r="Z2419" s="300"/>
    </row>
    <row r="2420" spans="1:26">
      <c r="A2420" s="215" t="s">
        <v>3955</v>
      </c>
      <c r="B2420" s="207">
        <v>272</v>
      </c>
      <c r="C2420" s="215" t="s">
        <v>11728</v>
      </c>
      <c r="D2420" s="215" t="s">
        <v>11729</v>
      </c>
      <c r="E2420" s="215" t="s">
        <v>11730</v>
      </c>
      <c r="F2420" s="215" t="s">
        <v>160</v>
      </c>
      <c r="G2420" s="215" t="s">
        <v>11690</v>
      </c>
      <c r="H2420" s="215" t="s">
        <v>6497</v>
      </c>
      <c r="I2420" s="300"/>
      <c r="J2420" s="300"/>
      <c r="K2420" s="300"/>
      <c r="L2420" s="300"/>
      <c r="M2420" s="300"/>
      <c r="N2420" s="300"/>
      <c r="O2420" s="300"/>
      <c r="P2420" s="300"/>
      <c r="Q2420" s="300"/>
      <c r="R2420" s="300"/>
      <c r="S2420" s="300"/>
      <c r="T2420" s="300"/>
      <c r="U2420" s="300"/>
      <c r="V2420" s="300"/>
      <c r="W2420" s="300"/>
      <c r="X2420" s="300"/>
      <c r="Y2420" s="300"/>
      <c r="Z2420" s="300"/>
    </row>
    <row r="2421" spans="1:26">
      <c r="A2421" s="215" t="s">
        <v>4057</v>
      </c>
      <c r="B2421" s="207">
        <v>274</v>
      </c>
      <c r="C2421" s="215" t="s">
        <v>11731</v>
      </c>
      <c r="D2421" s="215" t="s">
        <v>11732</v>
      </c>
      <c r="E2421" s="215" t="s">
        <v>11733</v>
      </c>
      <c r="F2421" s="215" t="s">
        <v>160</v>
      </c>
      <c r="G2421" s="215" t="s">
        <v>11690</v>
      </c>
      <c r="H2421" s="215" t="s">
        <v>6504</v>
      </c>
      <c r="I2421" s="300"/>
      <c r="J2421" s="300"/>
      <c r="K2421" s="300"/>
      <c r="L2421" s="300"/>
      <c r="M2421" s="300"/>
      <c r="N2421" s="300"/>
      <c r="O2421" s="300"/>
      <c r="P2421" s="300"/>
      <c r="Q2421" s="300"/>
      <c r="R2421" s="300"/>
      <c r="S2421" s="300"/>
      <c r="T2421" s="300"/>
      <c r="U2421" s="300"/>
      <c r="V2421" s="300"/>
      <c r="W2421" s="300"/>
      <c r="X2421" s="300"/>
      <c r="Y2421" s="300"/>
      <c r="Z2421" s="300"/>
    </row>
    <row r="2422" spans="1:26">
      <c r="A2422" s="215" t="s">
        <v>4265</v>
      </c>
      <c r="B2422" s="207">
        <v>278</v>
      </c>
      <c r="C2422" s="215" t="s">
        <v>11734</v>
      </c>
      <c r="D2422" s="215" t="s">
        <v>11735</v>
      </c>
      <c r="E2422" s="215" t="s">
        <v>11736</v>
      </c>
      <c r="F2422" s="215" t="s">
        <v>160</v>
      </c>
      <c r="G2422" s="215" t="s">
        <v>11690</v>
      </c>
      <c r="H2422" s="215" t="s">
        <v>6497</v>
      </c>
      <c r="I2422" s="300"/>
      <c r="J2422" s="300"/>
      <c r="K2422" s="300"/>
      <c r="L2422" s="300"/>
      <c r="M2422" s="300"/>
      <c r="N2422" s="300"/>
      <c r="O2422" s="300"/>
      <c r="P2422" s="300"/>
      <c r="Q2422" s="300"/>
      <c r="R2422" s="300"/>
      <c r="S2422" s="300"/>
      <c r="T2422" s="300"/>
      <c r="U2422" s="300"/>
      <c r="V2422" s="300"/>
      <c r="W2422" s="300"/>
      <c r="X2422" s="300"/>
      <c r="Y2422" s="300"/>
      <c r="Z2422" s="300"/>
    </row>
    <row r="2423" spans="1:26">
      <c r="A2423" s="215" t="s">
        <v>4335</v>
      </c>
      <c r="B2423" s="207">
        <v>279</v>
      </c>
      <c r="C2423" s="215" t="s">
        <v>11737</v>
      </c>
      <c r="D2423" s="215" t="s">
        <v>11738</v>
      </c>
      <c r="E2423" s="215" t="s">
        <v>11739</v>
      </c>
      <c r="F2423" s="215" t="s">
        <v>160</v>
      </c>
      <c r="G2423" s="215" t="s">
        <v>11690</v>
      </c>
      <c r="H2423" s="215" t="s">
        <v>6497</v>
      </c>
      <c r="I2423" s="300"/>
      <c r="J2423" s="300"/>
      <c r="K2423" s="300"/>
      <c r="L2423" s="300"/>
      <c r="M2423" s="300"/>
      <c r="N2423" s="300"/>
      <c r="O2423" s="300"/>
      <c r="P2423" s="300"/>
      <c r="Q2423" s="300"/>
      <c r="R2423" s="300"/>
      <c r="S2423" s="300"/>
      <c r="T2423" s="300"/>
      <c r="U2423" s="300"/>
      <c r="V2423" s="300"/>
      <c r="W2423" s="300"/>
      <c r="X2423" s="300"/>
      <c r="Y2423" s="300"/>
      <c r="Z2423" s="300"/>
    </row>
    <row r="2424" spans="1:26">
      <c r="A2424" s="215" t="s">
        <v>4371</v>
      </c>
      <c r="B2424" s="207">
        <v>280</v>
      </c>
      <c r="C2424" s="215" t="s">
        <v>6319</v>
      </c>
      <c r="D2424" s="215" t="s">
        <v>11721</v>
      </c>
      <c r="E2424" s="215" t="s">
        <v>11740</v>
      </c>
      <c r="F2424" s="215" t="s">
        <v>160</v>
      </c>
      <c r="G2424" s="215" t="s">
        <v>11690</v>
      </c>
      <c r="H2424" s="215" t="s">
        <v>6548</v>
      </c>
      <c r="I2424" s="300"/>
      <c r="J2424" s="300"/>
      <c r="K2424" s="300"/>
      <c r="L2424" s="300"/>
      <c r="M2424" s="300"/>
      <c r="N2424" s="300"/>
      <c r="O2424" s="300"/>
      <c r="P2424" s="300"/>
      <c r="Q2424" s="300"/>
      <c r="R2424" s="300"/>
      <c r="S2424" s="300"/>
      <c r="T2424" s="300"/>
      <c r="U2424" s="300"/>
      <c r="V2424" s="300"/>
      <c r="W2424" s="300"/>
      <c r="X2424" s="300"/>
      <c r="Y2424" s="300"/>
      <c r="Z2424" s="300"/>
    </row>
    <row r="2425" spans="1:26">
      <c r="A2425" s="215" t="s">
        <v>2451</v>
      </c>
      <c r="B2425" s="207">
        <v>283</v>
      </c>
      <c r="C2425" s="215" t="s">
        <v>11741</v>
      </c>
      <c r="D2425" s="215" t="s">
        <v>11742</v>
      </c>
      <c r="E2425" s="215" t="s">
        <v>11743</v>
      </c>
      <c r="F2425" s="215" t="s">
        <v>160</v>
      </c>
      <c r="G2425" s="215" t="s">
        <v>11690</v>
      </c>
      <c r="H2425" s="215" t="s">
        <v>6548</v>
      </c>
      <c r="I2425" s="300"/>
      <c r="J2425" s="300"/>
      <c r="K2425" s="300"/>
      <c r="L2425" s="300"/>
      <c r="M2425" s="300"/>
      <c r="N2425" s="300"/>
      <c r="O2425" s="300"/>
      <c r="P2425" s="300"/>
      <c r="Q2425" s="300"/>
      <c r="R2425" s="300"/>
      <c r="S2425" s="300"/>
      <c r="T2425" s="300"/>
      <c r="U2425" s="300"/>
      <c r="V2425" s="300"/>
      <c r="W2425" s="300"/>
      <c r="X2425" s="300"/>
      <c r="Y2425" s="300"/>
      <c r="Z2425" s="300"/>
    </row>
    <row r="2426" spans="1:26">
      <c r="A2426" s="215" t="s">
        <v>3103</v>
      </c>
      <c r="B2426" s="207">
        <v>482</v>
      </c>
      <c r="C2426" s="215" t="s">
        <v>11744</v>
      </c>
      <c r="D2426" s="215" t="s">
        <v>11745</v>
      </c>
      <c r="E2426" s="215" t="s">
        <v>11746</v>
      </c>
      <c r="F2426" s="215" t="s">
        <v>160</v>
      </c>
      <c r="G2426" s="215" t="s">
        <v>11690</v>
      </c>
      <c r="H2426" s="215" t="s">
        <v>6500</v>
      </c>
      <c r="I2426" s="300"/>
      <c r="J2426" s="300"/>
      <c r="K2426" s="300"/>
      <c r="L2426" s="300"/>
      <c r="M2426" s="300"/>
      <c r="N2426" s="300"/>
      <c r="O2426" s="300"/>
      <c r="P2426" s="300"/>
      <c r="Q2426" s="300"/>
      <c r="R2426" s="300"/>
      <c r="S2426" s="300"/>
      <c r="T2426" s="300"/>
      <c r="U2426" s="300"/>
      <c r="V2426" s="300"/>
      <c r="W2426" s="300"/>
      <c r="X2426" s="300"/>
      <c r="Y2426" s="300"/>
      <c r="Z2426" s="300"/>
    </row>
    <row r="2427" spans="1:26">
      <c r="A2427" s="215" t="s">
        <v>3104</v>
      </c>
      <c r="B2427" s="207">
        <v>690</v>
      </c>
      <c r="C2427" s="215" t="s">
        <v>11747</v>
      </c>
      <c r="D2427" s="215" t="s">
        <v>11748</v>
      </c>
      <c r="E2427" s="215" t="s">
        <v>11749</v>
      </c>
      <c r="F2427" s="215" t="s">
        <v>160</v>
      </c>
      <c r="G2427" s="215" t="s">
        <v>11690</v>
      </c>
      <c r="H2427" s="215" t="s">
        <v>6521</v>
      </c>
      <c r="I2427" s="300"/>
      <c r="J2427" s="300"/>
      <c r="K2427" s="300"/>
      <c r="L2427" s="300"/>
      <c r="M2427" s="300"/>
      <c r="N2427" s="300"/>
      <c r="O2427" s="300"/>
      <c r="P2427" s="300"/>
      <c r="Q2427" s="300"/>
      <c r="R2427" s="300"/>
      <c r="S2427" s="300"/>
      <c r="T2427" s="300"/>
      <c r="U2427" s="300"/>
      <c r="V2427" s="300"/>
      <c r="W2427" s="300"/>
      <c r="X2427" s="300"/>
      <c r="Y2427" s="300"/>
      <c r="Z2427" s="300"/>
    </row>
    <row r="2428" spans="1:26">
      <c r="A2428" s="215" t="s">
        <v>3104</v>
      </c>
      <c r="B2428" s="207">
        <v>691</v>
      </c>
      <c r="C2428" s="215" t="s">
        <v>11750</v>
      </c>
      <c r="D2428" s="215" t="s">
        <v>11751</v>
      </c>
      <c r="E2428" s="215" t="s">
        <v>11752</v>
      </c>
      <c r="F2428" s="215" t="s">
        <v>160</v>
      </c>
      <c r="G2428" s="215" t="s">
        <v>11690</v>
      </c>
      <c r="H2428" s="215" t="s">
        <v>6521</v>
      </c>
      <c r="I2428" s="300"/>
      <c r="J2428" s="300"/>
      <c r="K2428" s="300"/>
      <c r="L2428" s="300"/>
      <c r="M2428" s="300"/>
      <c r="N2428" s="300"/>
      <c r="O2428" s="300"/>
      <c r="P2428" s="300"/>
      <c r="Q2428" s="300"/>
      <c r="R2428" s="300"/>
      <c r="S2428" s="300"/>
      <c r="T2428" s="300"/>
      <c r="U2428" s="300"/>
      <c r="V2428" s="300"/>
      <c r="W2428" s="300"/>
      <c r="X2428" s="300"/>
      <c r="Y2428" s="300"/>
      <c r="Z2428" s="300"/>
    </row>
    <row r="2429" spans="1:26">
      <c r="A2429" s="215" t="s">
        <v>3212</v>
      </c>
      <c r="B2429" s="207">
        <v>712</v>
      </c>
      <c r="C2429" s="215" t="s">
        <v>5341</v>
      </c>
      <c r="D2429" s="215" t="s">
        <v>11753</v>
      </c>
      <c r="E2429" s="215" t="s">
        <v>11754</v>
      </c>
      <c r="F2429" s="215" t="s">
        <v>160</v>
      </c>
      <c r="G2429" s="215" t="s">
        <v>11690</v>
      </c>
      <c r="H2429" s="215" t="s">
        <v>6497</v>
      </c>
      <c r="I2429" s="300"/>
      <c r="J2429" s="300"/>
      <c r="K2429" s="300"/>
      <c r="L2429" s="300"/>
      <c r="M2429" s="300"/>
      <c r="N2429" s="300"/>
      <c r="O2429" s="300"/>
      <c r="P2429" s="300"/>
      <c r="Q2429" s="300"/>
      <c r="R2429" s="300"/>
      <c r="S2429" s="300"/>
      <c r="T2429" s="300"/>
      <c r="U2429" s="300"/>
      <c r="V2429" s="300"/>
      <c r="W2429" s="300"/>
      <c r="X2429" s="300"/>
      <c r="Y2429" s="300"/>
      <c r="Z2429" s="300"/>
    </row>
    <row r="2430" spans="1:26">
      <c r="A2430" s="215" t="s">
        <v>3101</v>
      </c>
      <c r="B2430" s="207">
        <v>762</v>
      </c>
      <c r="C2430" s="215" t="s">
        <v>11755</v>
      </c>
      <c r="D2430" s="215" t="s">
        <v>11756</v>
      </c>
      <c r="E2430" s="215" t="s">
        <v>11757</v>
      </c>
      <c r="F2430" s="215" t="s">
        <v>160</v>
      </c>
      <c r="G2430" s="215" t="s">
        <v>11690</v>
      </c>
      <c r="H2430" s="215" t="s">
        <v>6504</v>
      </c>
      <c r="I2430" s="300"/>
      <c r="J2430" s="300"/>
      <c r="K2430" s="300"/>
      <c r="L2430" s="300"/>
      <c r="M2430" s="300"/>
      <c r="N2430" s="300"/>
      <c r="O2430" s="300"/>
      <c r="P2430" s="300"/>
      <c r="Q2430" s="300"/>
      <c r="R2430" s="300"/>
      <c r="S2430" s="300"/>
      <c r="T2430" s="300"/>
      <c r="U2430" s="300"/>
      <c r="V2430" s="300"/>
      <c r="W2430" s="300"/>
      <c r="X2430" s="300"/>
      <c r="Y2430" s="300"/>
      <c r="Z2430" s="300"/>
    </row>
    <row r="2431" spans="1:26">
      <c r="A2431" s="215" t="s">
        <v>2727</v>
      </c>
      <c r="B2431" s="207">
        <v>764</v>
      </c>
      <c r="C2431" s="215" t="s">
        <v>4885</v>
      </c>
      <c r="D2431" s="215" t="s">
        <v>11758</v>
      </c>
      <c r="E2431" s="215" t="s">
        <v>11759</v>
      </c>
      <c r="F2431" s="215" t="s">
        <v>160</v>
      </c>
      <c r="G2431" s="215" t="s">
        <v>11690</v>
      </c>
      <c r="H2431" s="215" t="s">
        <v>6497</v>
      </c>
      <c r="I2431" s="300"/>
      <c r="J2431" s="300"/>
      <c r="K2431" s="300"/>
      <c r="L2431" s="300"/>
      <c r="M2431" s="300"/>
      <c r="N2431" s="300"/>
      <c r="O2431" s="300"/>
      <c r="P2431" s="300"/>
      <c r="Q2431" s="300"/>
      <c r="R2431" s="300"/>
      <c r="S2431" s="300"/>
      <c r="T2431" s="300"/>
      <c r="U2431" s="300"/>
      <c r="V2431" s="300"/>
      <c r="W2431" s="300"/>
      <c r="X2431" s="300"/>
      <c r="Y2431" s="300"/>
      <c r="Z2431" s="300"/>
    </row>
    <row r="2432" spans="1:26">
      <c r="A2432" s="215" t="s">
        <v>2953</v>
      </c>
      <c r="B2432" s="207">
        <v>765</v>
      </c>
      <c r="C2432" s="215" t="s">
        <v>11760</v>
      </c>
      <c r="D2432" s="215" t="s">
        <v>11761</v>
      </c>
      <c r="E2432" s="215" t="s">
        <v>11762</v>
      </c>
      <c r="F2432" s="215" t="s">
        <v>160</v>
      </c>
      <c r="G2432" s="215" t="s">
        <v>11690</v>
      </c>
      <c r="H2432" s="215" t="s">
        <v>6500</v>
      </c>
      <c r="I2432" s="300"/>
      <c r="J2432" s="300"/>
      <c r="K2432" s="300"/>
      <c r="L2432" s="300"/>
      <c r="M2432" s="300"/>
      <c r="N2432" s="300"/>
      <c r="O2432" s="300"/>
      <c r="P2432" s="300"/>
      <c r="Q2432" s="300"/>
      <c r="R2432" s="300"/>
      <c r="S2432" s="300"/>
      <c r="T2432" s="300"/>
      <c r="U2432" s="300"/>
      <c r="V2432" s="300"/>
      <c r="W2432" s="300"/>
      <c r="X2432" s="300"/>
      <c r="Y2432" s="300"/>
      <c r="Z2432" s="300"/>
    </row>
    <row r="2433" spans="1:26">
      <c r="A2433" s="215" t="s">
        <v>3605</v>
      </c>
      <c r="B2433" s="207">
        <v>766</v>
      </c>
      <c r="C2433" s="215" t="s">
        <v>5704</v>
      </c>
      <c r="D2433" s="215" t="s">
        <v>11763</v>
      </c>
      <c r="E2433" s="215" t="s">
        <v>11764</v>
      </c>
      <c r="F2433" s="215" t="s">
        <v>160</v>
      </c>
      <c r="G2433" s="215" t="s">
        <v>11690</v>
      </c>
      <c r="H2433" s="215" t="s">
        <v>6497</v>
      </c>
      <c r="I2433" s="300"/>
      <c r="J2433" s="300"/>
      <c r="K2433" s="300"/>
      <c r="L2433" s="300"/>
      <c r="M2433" s="300"/>
      <c r="N2433" s="300"/>
      <c r="O2433" s="300"/>
      <c r="P2433" s="300"/>
      <c r="Q2433" s="300"/>
      <c r="R2433" s="300"/>
      <c r="S2433" s="300"/>
      <c r="T2433" s="300"/>
      <c r="U2433" s="300"/>
      <c r="V2433" s="300"/>
      <c r="W2433" s="300"/>
      <c r="X2433" s="300"/>
      <c r="Y2433" s="300"/>
      <c r="Z2433" s="300"/>
    </row>
    <row r="2434" spans="1:26">
      <c r="A2434" s="215" t="s">
        <v>2957</v>
      </c>
      <c r="B2434" s="207">
        <v>767</v>
      </c>
      <c r="C2434" s="215" t="s">
        <v>5110</v>
      </c>
      <c r="D2434" s="215" t="s">
        <v>11765</v>
      </c>
      <c r="E2434" s="215" t="s">
        <v>11766</v>
      </c>
      <c r="F2434" s="215" t="s">
        <v>160</v>
      </c>
      <c r="G2434" s="215" t="s">
        <v>11690</v>
      </c>
      <c r="H2434" s="215" t="s">
        <v>6504</v>
      </c>
      <c r="I2434" s="300"/>
      <c r="J2434" s="300"/>
      <c r="K2434" s="300"/>
      <c r="L2434" s="300"/>
      <c r="M2434" s="300"/>
      <c r="N2434" s="300"/>
      <c r="O2434" s="300"/>
      <c r="P2434" s="300"/>
      <c r="Q2434" s="300"/>
      <c r="R2434" s="300"/>
      <c r="S2434" s="300"/>
      <c r="T2434" s="300"/>
      <c r="U2434" s="300"/>
      <c r="V2434" s="300"/>
      <c r="W2434" s="300"/>
      <c r="X2434" s="300"/>
      <c r="Y2434" s="300"/>
      <c r="Z2434" s="300"/>
    </row>
    <row r="2435" spans="1:26">
      <c r="A2435" s="215" t="s">
        <v>4038</v>
      </c>
      <c r="B2435" s="207">
        <v>768</v>
      </c>
      <c r="C2435" s="215" t="s">
        <v>6063</v>
      </c>
      <c r="D2435" s="215" t="s">
        <v>11767</v>
      </c>
      <c r="E2435" s="215" t="s">
        <v>11768</v>
      </c>
      <c r="F2435" s="215" t="s">
        <v>160</v>
      </c>
      <c r="G2435" s="215" t="s">
        <v>11690</v>
      </c>
      <c r="H2435" s="215" t="s">
        <v>6497</v>
      </c>
      <c r="I2435" s="300"/>
      <c r="J2435" s="300"/>
      <c r="K2435" s="300"/>
      <c r="L2435" s="300"/>
      <c r="M2435" s="300"/>
      <c r="N2435" s="300"/>
      <c r="O2435" s="300"/>
      <c r="P2435" s="300"/>
      <c r="Q2435" s="300"/>
      <c r="R2435" s="300"/>
      <c r="S2435" s="300"/>
      <c r="T2435" s="300"/>
      <c r="U2435" s="300"/>
      <c r="V2435" s="300"/>
      <c r="W2435" s="300"/>
      <c r="X2435" s="300"/>
      <c r="Y2435" s="300"/>
      <c r="Z2435" s="300"/>
    </row>
    <row r="2436" spans="1:26">
      <c r="A2436" s="215" t="s">
        <v>3387</v>
      </c>
      <c r="B2436" s="207">
        <v>769</v>
      </c>
      <c r="C2436" s="215" t="s">
        <v>11769</v>
      </c>
      <c r="D2436" s="215" t="s">
        <v>11770</v>
      </c>
      <c r="E2436" s="215" t="s">
        <v>11771</v>
      </c>
      <c r="F2436" s="215" t="s">
        <v>160</v>
      </c>
      <c r="G2436" s="215" t="s">
        <v>11690</v>
      </c>
      <c r="H2436" s="215" t="s">
        <v>6504</v>
      </c>
      <c r="I2436" s="300"/>
      <c r="J2436" s="300"/>
      <c r="K2436" s="300"/>
      <c r="L2436" s="300"/>
      <c r="M2436" s="300"/>
      <c r="N2436" s="300"/>
      <c r="O2436" s="300"/>
      <c r="P2436" s="300"/>
      <c r="Q2436" s="300"/>
      <c r="R2436" s="300"/>
      <c r="S2436" s="300"/>
      <c r="T2436" s="300"/>
      <c r="U2436" s="300"/>
      <c r="V2436" s="300"/>
      <c r="W2436" s="300"/>
      <c r="X2436" s="300"/>
      <c r="Y2436" s="300"/>
      <c r="Z2436" s="300"/>
    </row>
    <row r="2437" spans="1:26">
      <c r="A2437" s="215" t="s">
        <v>4097</v>
      </c>
      <c r="B2437" s="207">
        <v>770</v>
      </c>
      <c r="C2437" s="215" t="s">
        <v>6106</v>
      </c>
      <c r="D2437" s="215" t="s">
        <v>11772</v>
      </c>
      <c r="E2437" s="215" t="s">
        <v>11773</v>
      </c>
      <c r="F2437" s="215" t="s">
        <v>160</v>
      </c>
      <c r="G2437" s="215" t="s">
        <v>11690</v>
      </c>
      <c r="H2437" s="215" t="s">
        <v>6504</v>
      </c>
      <c r="I2437" s="300"/>
      <c r="J2437" s="300"/>
      <c r="K2437" s="300"/>
      <c r="L2437" s="300"/>
      <c r="M2437" s="300"/>
      <c r="N2437" s="300"/>
      <c r="O2437" s="300"/>
      <c r="P2437" s="300"/>
      <c r="Q2437" s="300"/>
      <c r="R2437" s="300"/>
      <c r="S2437" s="300"/>
      <c r="T2437" s="300"/>
      <c r="U2437" s="300"/>
      <c r="V2437" s="300"/>
      <c r="W2437" s="300"/>
      <c r="X2437" s="300"/>
      <c r="Y2437" s="300"/>
      <c r="Z2437" s="300"/>
    </row>
    <row r="2438" spans="1:26">
      <c r="A2438" s="215" t="s">
        <v>3620</v>
      </c>
      <c r="B2438" s="207">
        <v>771</v>
      </c>
      <c r="C2438" s="215" t="s">
        <v>5718</v>
      </c>
      <c r="D2438" s="215" t="s">
        <v>11774</v>
      </c>
      <c r="E2438" s="215" t="s">
        <v>11775</v>
      </c>
      <c r="F2438" s="215" t="s">
        <v>160</v>
      </c>
      <c r="G2438" s="215" t="s">
        <v>11690</v>
      </c>
      <c r="H2438" s="215" t="s">
        <v>6548</v>
      </c>
      <c r="I2438" s="300"/>
      <c r="J2438" s="300"/>
      <c r="K2438" s="300"/>
      <c r="L2438" s="300"/>
      <c r="M2438" s="300"/>
      <c r="N2438" s="300"/>
      <c r="O2438" s="300"/>
      <c r="P2438" s="300"/>
      <c r="Q2438" s="300"/>
      <c r="R2438" s="300"/>
      <c r="S2438" s="300"/>
      <c r="T2438" s="300"/>
      <c r="U2438" s="300"/>
      <c r="V2438" s="300"/>
      <c r="W2438" s="300"/>
      <c r="X2438" s="300"/>
      <c r="Y2438" s="300"/>
      <c r="Z2438" s="300"/>
    </row>
    <row r="2439" spans="1:26">
      <c r="A2439" s="215" t="s">
        <v>3962</v>
      </c>
      <c r="B2439" s="207">
        <v>772</v>
      </c>
      <c r="C2439" s="215" t="s">
        <v>5996</v>
      </c>
      <c r="D2439" s="215" t="s">
        <v>11776</v>
      </c>
      <c r="E2439" s="215" t="s">
        <v>11777</v>
      </c>
      <c r="F2439" s="215" t="s">
        <v>160</v>
      </c>
      <c r="G2439" s="215" t="s">
        <v>11690</v>
      </c>
      <c r="H2439" s="215" t="s">
        <v>6504</v>
      </c>
      <c r="I2439" s="300"/>
      <c r="J2439" s="300"/>
      <c r="K2439" s="300"/>
      <c r="L2439" s="300"/>
      <c r="M2439" s="300"/>
      <c r="N2439" s="300"/>
      <c r="O2439" s="300"/>
      <c r="P2439" s="300"/>
      <c r="Q2439" s="300"/>
      <c r="R2439" s="300"/>
      <c r="S2439" s="300"/>
      <c r="T2439" s="300"/>
      <c r="U2439" s="300"/>
      <c r="V2439" s="300"/>
      <c r="W2439" s="300"/>
      <c r="X2439" s="300"/>
      <c r="Y2439" s="300"/>
      <c r="Z2439" s="300"/>
    </row>
    <row r="2440" spans="1:26">
      <c r="A2440" s="215" t="s">
        <v>4428</v>
      </c>
      <c r="B2440" s="207">
        <v>774</v>
      </c>
      <c r="C2440" s="215" t="s">
        <v>6362</v>
      </c>
      <c r="D2440" s="215" t="s">
        <v>11778</v>
      </c>
      <c r="E2440" s="215" t="s">
        <v>11778</v>
      </c>
      <c r="F2440" s="215" t="s">
        <v>160</v>
      </c>
      <c r="G2440" s="215" t="s">
        <v>11690</v>
      </c>
      <c r="H2440" s="215" t="s">
        <v>6548</v>
      </c>
      <c r="I2440" s="300"/>
      <c r="J2440" s="300"/>
      <c r="K2440" s="300"/>
      <c r="L2440" s="300"/>
      <c r="M2440" s="300"/>
      <c r="N2440" s="300"/>
      <c r="O2440" s="300"/>
      <c r="P2440" s="300"/>
      <c r="Q2440" s="300"/>
      <c r="R2440" s="300"/>
      <c r="S2440" s="300"/>
      <c r="T2440" s="300"/>
      <c r="U2440" s="300"/>
      <c r="V2440" s="300"/>
      <c r="W2440" s="300"/>
      <c r="X2440" s="300"/>
      <c r="Y2440" s="300"/>
      <c r="Z2440" s="300"/>
    </row>
    <row r="2441" spans="1:26">
      <c r="A2441" s="215" t="s">
        <v>4551</v>
      </c>
      <c r="B2441" s="207">
        <v>775</v>
      </c>
      <c r="C2441" s="215" t="s">
        <v>6463</v>
      </c>
      <c r="D2441" s="215" t="s">
        <v>11779</v>
      </c>
      <c r="E2441" s="215" t="s">
        <v>11779</v>
      </c>
      <c r="F2441" s="215" t="s">
        <v>160</v>
      </c>
      <c r="G2441" s="215" t="s">
        <v>11690</v>
      </c>
      <c r="H2441" s="215" t="s">
        <v>6497</v>
      </c>
      <c r="I2441" s="300"/>
      <c r="J2441" s="300"/>
      <c r="K2441" s="300"/>
      <c r="L2441" s="300"/>
      <c r="M2441" s="300"/>
      <c r="N2441" s="300"/>
      <c r="O2441" s="300"/>
      <c r="P2441" s="300"/>
      <c r="Q2441" s="300"/>
      <c r="R2441" s="300"/>
      <c r="S2441" s="300"/>
      <c r="T2441" s="300"/>
      <c r="U2441" s="300"/>
      <c r="V2441" s="300"/>
      <c r="W2441" s="300"/>
      <c r="X2441" s="300"/>
      <c r="Y2441" s="300"/>
      <c r="Z2441" s="300"/>
    </row>
    <row r="2442" spans="1:26">
      <c r="A2442" s="215" t="s">
        <v>3475</v>
      </c>
      <c r="B2442" s="207">
        <v>776</v>
      </c>
      <c r="C2442" s="215" t="s">
        <v>11780</v>
      </c>
      <c r="D2442" s="215" t="s">
        <v>11781</v>
      </c>
      <c r="E2442" s="215" t="s">
        <v>11782</v>
      </c>
      <c r="F2442" s="215" t="s">
        <v>160</v>
      </c>
      <c r="G2442" s="215" t="s">
        <v>11690</v>
      </c>
      <c r="H2442" s="215" t="s">
        <v>6497</v>
      </c>
      <c r="I2442" s="300"/>
      <c r="J2442" s="300"/>
      <c r="K2442" s="300"/>
      <c r="L2442" s="300"/>
      <c r="M2442" s="300"/>
      <c r="N2442" s="300"/>
      <c r="O2442" s="300"/>
      <c r="P2442" s="300"/>
      <c r="Q2442" s="300"/>
      <c r="R2442" s="300"/>
      <c r="S2442" s="300"/>
      <c r="T2442" s="300"/>
      <c r="U2442" s="300"/>
      <c r="V2442" s="300"/>
      <c r="W2442" s="300"/>
      <c r="X2442" s="300"/>
      <c r="Y2442" s="300"/>
      <c r="Z2442" s="300"/>
    </row>
    <row r="2443" spans="1:26">
      <c r="A2443" s="215"/>
      <c r="B2443" s="207">
        <v>777</v>
      </c>
      <c r="C2443" s="215" t="s">
        <v>11783</v>
      </c>
      <c r="D2443" s="215" t="s">
        <v>11784</v>
      </c>
      <c r="E2443" s="215" t="s">
        <v>11785</v>
      </c>
      <c r="F2443" s="215" t="s">
        <v>160</v>
      </c>
      <c r="G2443" s="215" t="s">
        <v>11690</v>
      </c>
      <c r="H2443" s="215" t="s">
        <v>6548</v>
      </c>
      <c r="I2443" s="300"/>
      <c r="J2443" s="300"/>
      <c r="K2443" s="300"/>
      <c r="L2443" s="300"/>
      <c r="M2443" s="300"/>
      <c r="N2443" s="300"/>
      <c r="O2443" s="300"/>
      <c r="P2443" s="300"/>
      <c r="Q2443" s="300"/>
      <c r="R2443" s="300"/>
      <c r="S2443" s="300"/>
      <c r="T2443" s="300"/>
      <c r="U2443" s="300"/>
      <c r="V2443" s="300"/>
      <c r="W2443" s="300"/>
      <c r="X2443" s="300"/>
      <c r="Y2443" s="300"/>
      <c r="Z2443" s="300"/>
    </row>
    <row r="2444" spans="1:26">
      <c r="A2444" s="215" t="s">
        <v>4336</v>
      </c>
      <c r="B2444" s="207">
        <v>778</v>
      </c>
      <c r="C2444" s="215" t="s">
        <v>6287</v>
      </c>
      <c r="D2444" s="215" t="s">
        <v>11786</v>
      </c>
      <c r="E2444" s="215" t="s">
        <v>11786</v>
      </c>
      <c r="F2444" s="215" t="s">
        <v>160</v>
      </c>
      <c r="G2444" s="215" t="s">
        <v>11690</v>
      </c>
      <c r="H2444" s="215" t="s">
        <v>6548</v>
      </c>
      <c r="I2444" s="300"/>
      <c r="J2444" s="300"/>
      <c r="K2444" s="300"/>
      <c r="L2444" s="300"/>
      <c r="M2444" s="300"/>
      <c r="N2444" s="300"/>
      <c r="O2444" s="300"/>
      <c r="P2444" s="300"/>
      <c r="Q2444" s="300"/>
      <c r="R2444" s="300"/>
      <c r="S2444" s="300"/>
      <c r="T2444" s="300"/>
      <c r="U2444" s="300"/>
      <c r="V2444" s="300"/>
      <c r="W2444" s="300"/>
      <c r="X2444" s="300"/>
      <c r="Y2444" s="300"/>
      <c r="Z2444" s="300"/>
    </row>
    <row r="2445" spans="1:26">
      <c r="A2445" s="215" t="s">
        <v>4289</v>
      </c>
      <c r="B2445" s="207">
        <v>779</v>
      </c>
      <c r="C2445" s="215" t="s">
        <v>6250</v>
      </c>
      <c r="D2445" s="215" t="s">
        <v>11787</v>
      </c>
      <c r="E2445" s="215" t="s">
        <v>11787</v>
      </c>
      <c r="F2445" s="215" t="s">
        <v>160</v>
      </c>
      <c r="G2445" s="215" t="s">
        <v>11690</v>
      </c>
      <c r="H2445" s="215" t="s">
        <v>6497</v>
      </c>
      <c r="I2445" s="300"/>
      <c r="J2445" s="300"/>
      <c r="K2445" s="300"/>
      <c r="L2445" s="300"/>
      <c r="M2445" s="300"/>
      <c r="N2445" s="300"/>
      <c r="O2445" s="300"/>
      <c r="P2445" s="300"/>
      <c r="Q2445" s="300"/>
      <c r="R2445" s="300"/>
      <c r="S2445" s="300"/>
      <c r="T2445" s="300"/>
      <c r="U2445" s="300"/>
      <c r="V2445" s="300"/>
      <c r="W2445" s="300"/>
      <c r="X2445" s="300"/>
      <c r="Y2445" s="300"/>
      <c r="Z2445" s="300"/>
    </row>
    <row r="2446" spans="1:26">
      <c r="A2446" s="215" t="s">
        <v>3251</v>
      </c>
      <c r="B2446" s="207">
        <v>780</v>
      </c>
      <c r="C2446" s="215" t="s">
        <v>5378</v>
      </c>
      <c r="D2446" s="215" t="s">
        <v>11788</v>
      </c>
      <c r="E2446" s="215" t="s">
        <v>11788</v>
      </c>
      <c r="F2446" s="215" t="s">
        <v>160</v>
      </c>
      <c r="G2446" s="215" t="s">
        <v>11690</v>
      </c>
      <c r="H2446" s="215" t="s">
        <v>6497</v>
      </c>
      <c r="I2446" s="300"/>
      <c r="J2446" s="300"/>
      <c r="K2446" s="300"/>
      <c r="L2446" s="300"/>
      <c r="M2446" s="300"/>
      <c r="N2446" s="300"/>
      <c r="O2446" s="300"/>
      <c r="P2446" s="300"/>
      <c r="Q2446" s="300"/>
      <c r="R2446" s="300"/>
      <c r="S2446" s="300"/>
      <c r="T2446" s="300"/>
      <c r="U2446" s="300"/>
      <c r="V2446" s="300"/>
      <c r="W2446" s="300"/>
      <c r="X2446" s="300"/>
      <c r="Y2446" s="300"/>
      <c r="Z2446" s="300"/>
    </row>
    <row r="2447" spans="1:26">
      <c r="A2447" s="215" t="s">
        <v>3698</v>
      </c>
      <c r="B2447" s="207">
        <v>781</v>
      </c>
      <c r="C2447" s="215" t="s">
        <v>5786</v>
      </c>
      <c r="D2447" s="215" t="s">
        <v>11789</v>
      </c>
      <c r="E2447" s="215" t="s">
        <v>11789</v>
      </c>
      <c r="F2447" s="215" t="s">
        <v>160</v>
      </c>
      <c r="G2447" s="215" t="s">
        <v>11690</v>
      </c>
      <c r="H2447" s="215" t="s">
        <v>6548</v>
      </c>
      <c r="I2447" s="300"/>
      <c r="J2447" s="300"/>
      <c r="K2447" s="300"/>
      <c r="L2447" s="300"/>
      <c r="M2447" s="300"/>
      <c r="N2447" s="300"/>
      <c r="O2447" s="300"/>
      <c r="P2447" s="300"/>
      <c r="Q2447" s="300"/>
      <c r="R2447" s="300"/>
      <c r="S2447" s="300"/>
      <c r="T2447" s="300"/>
      <c r="U2447" s="300"/>
      <c r="V2447" s="300"/>
      <c r="W2447" s="300"/>
      <c r="X2447" s="300"/>
      <c r="Y2447" s="300"/>
      <c r="Z2447" s="300"/>
    </row>
    <row r="2448" spans="1:26">
      <c r="A2448" s="215" t="s">
        <v>4431</v>
      </c>
      <c r="B2448" s="207">
        <v>782</v>
      </c>
      <c r="C2448" s="215" t="s">
        <v>11790</v>
      </c>
      <c r="D2448" s="215" t="s">
        <v>11791</v>
      </c>
      <c r="E2448" s="215" t="s">
        <v>11792</v>
      </c>
      <c r="F2448" s="215" t="s">
        <v>160</v>
      </c>
      <c r="G2448" s="215" t="s">
        <v>11690</v>
      </c>
      <c r="H2448" s="215" t="s">
        <v>6548</v>
      </c>
      <c r="I2448" s="300"/>
      <c r="J2448" s="300"/>
      <c r="K2448" s="300"/>
      <c r="L2448" s="300"/>
      <c r="M2448" s="300"/>
      <c r="N2448" s="300"/>
      <c r="O2448" s="300"/>
      <c r="P2448" s="300"/>
      <c r="Q2448" s="300"/>
      <c r="R2448" s="300"/>
      <c r="S2448" s="300"/>
      <c r="T2448" s="300"/>
      <c r="U2448" s="300"/>
      <c r="V2448" s="300"/>
      <c r="W2448" s="300"/>
      <c r="X2448" s="300"/>
      <c r="Y2448" s="300"/>
      <c r="Z2448" s="300"/>
    </row>
    <row r="2449" spans="1:26">
      <c r="A2449" s="215" t="s">
        <v>3467</v>
      </c>
      <c r="B2449" s="207">
        <v>783</v>
      </c>
      <c r="C2449" s="215" t="s">
        <v>5581</v>
      </c>
      <c r="D2449" s="215" t="s">
        <v>11793</v>
      </c>
      <c r="E2449" s="215" t="s">
        <v>11793</v>
      </c>
      <c r="F2449" s="215" t="s">
        <v>160</v>
      </c>
      <c r="G2449" s="215" t="s">
        <v>11690</v>
      </c>
      <c r="H2449" s="215" t="s">
        <v>6548</v>
      </c>
      <c r="I2449" s="300"/>
      <c r="J2449" s="300"/>
      <c r="K2449" s="300"/>
      <c r="L2449" s="300"/>
      <c r="M2449" s="300"/>
      <c r="N2449" s="300"/>
      <c r="O2449" s="300"/>
      <c r="P2449" s="300"/>
      <c r="Q2449" s="300"/>
      <c r="R2449" s="300"/>
      <c r="S2449" s="300"/>
      <c r="T2449" s="300"/>
      <c r="U2449" s="300"/>
      <c r="V2449" s="300"/>
      <c r="W2449" s="300"/>
      <c r="X2449" s="300"/>
      <c r="Y2449" s="300"/>
      <c r="Z2449" s="300"/>
    </row>
    <row r="2450" spans="1:26">
      <c r="A2450" s="215" t="s">
        <v>3731</v>
      </c>
      <c r="B2450" s="207">
        <v>784</v>
      </c>
      <c r="C2450" s="215" t="s">
        <v>5811</v>
      </c>
      <c r="D2450" s="215" t="s">
        <v>11794</v>
      </c>
      <c r="E2450" s="215" t="s">
        <v>11794</v>
      </c>
      <c r="F2450" s="215" t="s">
        <v>160</v>
      </c>
      <c r="G2450" s="215" t="s">
        <v>11690</v>
      </c>
      <c r="H2450" s="215" t="s">
        <v>6521</v>
      </c>
      <c r="I2450" s="300"/>
      <c r="J2450" s="300"/>
      <c r="K2450" s="300"/>
      <c r="L2450" s="300"/>
      <c r="M2450" s="300"/>
      <c r="N2450" s="300"/>
      <c r="O2450" s="300"/>
      <c r="P2450" s="300"/>
      <c r="Q2450" s="300"/>
      <c r="R2450" s="300"/>
      <c r="S2450" s="300"/>
      <c r="T2450" s="300"/>
      <c r="U2450" s="300"/>
      <c r="V2450" s="300"/>
      <c r="W2450" s="300"/>
      <c r="X2450" s="300"/>
      <c r="Y2450" s="300"/>
      <c r="Z2450" s="300"/>
    </row>
    <row r="2451" spans="1:26">
      <c r="A2451" s="215" t="s">
        <v>2694</v>
      </c>
      <c r="B2451" s="207">
        <v>785</v>
      </c>
      <c r="C2451" s="215" t="s">
        <v>11795</v>
      </c>
      <c r="D2451" s="215" t="s">
        <v>11796</v>
      </c>
      <c r="E2451" s="215" t="s">
        <v>11796</v>
      </c>
      <c r="F2451" s="215" t="s">
        <v>160</v>
      </c>
      <c r="G2451" s="215" t="s">
        <v>11690</v>
      </c>
      <c r="H2451" s="215" t="s">
        <v>6500</v>
      </c>
      <c r="I2451" s="300"/>
      <c r="J2451" s="300"/>
      <c r="K2451" s="300"/>
      <c r="L2451" s="300"/>
      <c r="M2451" s="300"/>
      <c r="N2451" s="300"/>
      <c r="O2451" s="300"/>
      <c r="P2451" s="300"/>
      <c r="Q2451" s="300"/>
      <c r="R2451" s="300"/>
      <c r="S2451" s="300"/>
      <c r="T2451" s="300"/>
      <c r="U2451" s="300"/>
      <c r="V2451" s="300"/>
      <c r="W2451" s="300"/>
      <c r="X2451" s="300"/>
      <c r="Y2451" s="300"/>
      <c r="Z2451" s="300"/>
    </row>
    <row r="2452" spans="1:26">
      <c r="A2452" s="215" t="s">
        <v>2690</v>
      </c>
      <c r="B2452" s="207">
        <v>786</v>
      </c>
      <c r="C2452" s="215" t="s">
        <v>11797</v>
      </c>
      <c r="D2452" s="215" t="s">
        <v>11798</v>
      </c>
      <c r="E2452" s="215" t="s">
        <v>11799</v>
      </c>
      <c r="F2452" s="215" t="s">
        <v>160</v>
      </c>
      <c r="G2452" s="215" t="s">
        <v>11690</v>
      </c>
      <c r="H2452" s="215" t="s">
        <v>6500</v>
      </c>
      <c r="I2452" s="300"/>
      <c r="J2452" s="300"/>
      <c r="K2452" s="300"/>
      <c r="L2452" s="300"/>
      <c r="M2452" s="300"/>
      <c r="N2452" s="300"/>
      <c r="O2452" s="300"/>
      <c r="P2452" s="300"/>
      <c r="Q2452" s="300"/>
      <c r="R2452" s="300"/>
      <c r="S2452" s="300"/>
      <c r="T2452" s="300"/>
      <c r="U2452" s="300"/>
      <c r="V2452" s="300"/>
      <c r="W2452" s="300"/>
      <c r="X2452" s="300"/>
      <c r="Y2452" s="300"/>
      <c r="Z2452" s="300"/>
    </row>
    <row r="2453" spans="1:26">
      <c r="A2453" s="215" t="s">
        <v>2687</v>
      </c>
      <c r="B2453" s="207">
        <v>787</v>
      </c>
      <c r="C2453" s="215" t="s">
        <v>11800</v>
      </c>
      <c r="D2453" s="215" t="s">
        <v>11801</v>
      </c>
      <c r="E2453" s="215" t="s">
        <v>11801</v>
      </c>
      <c r="F2453" s="215" t="s">
        <v>160</v>
      </c>
      <c r="G2453" s="215" t="s">
        <v>11690</v>
      </c>
      <c r="H2453" s="215" t="s">
        <v>6504</v>
      </c>
      <c r="I2453" s="300"/>
      <c r="J2453" s="300"/>
      <c r="K2453" s="300"/>
      <c r="L2453" s="300"/>
      <c r="M2453" s="300"/>
      <c r="N2453" s="300"/>
      <c r="O2453" s="300"/>
      <c r="P2453" s="300"/>
      <c r="Q2453" s="300"/>
      <c r="R2453" s="300"/>
      <c r="S2453" s="300"/>
      <c r="T2453" s="300"/>
      <c r="U2453" s="300"/>
      <c r="V2453" s="300"/>
      <c r="W2453" s="300"/>
      <c r="X2453" s="300"/>
      <c r="Y2453" s="300"/>
      <c r="Z2453" s="300"/>
    </row>
    <row r="2454" spans="1:26">
      <c r="A2454" s="215" t="s">
        <v>2689</v>
      </c>
      <c r="B2454" s="207">
        <v>788</v>
      </c>
      <c r="C2454" s="215" t="s">
        <v>4858</v>
      </c>
      <c r="D2454" s="215" t="s">
        <v>11802</v>
      </c>
      <c r="E2454" s="215" t="s">
        <v>11803</v>
      </c>
      <c r="F2454" s="215" t="s">
        <v>160</v>
      </c>
      <c r="G2454" s="215" t="s">
        <v>11690</v>
      </c>
      <c r="H2454" s="215" t="s">
        <v>6548</v>
      </c>
      <c r="I2454" s="300"/>
      <c r="J2454" s="300"/>
      <c r="K2454" s="300"/>
      <c r="L2454" s="300"/>
      <c r="M2454" s="300"/>
      <c r="N2454" s="300"/>
      <c r="O2454" s="300"/>
      <c r="P2454" s="300"/>
      <c r="Q2454" s="300"/>
      <c r="R2454" s="300"/>
      <c r="S2454" s="300"/>
      <c r="T2454" s="300"/>
      <c r="U2454" s="300"/>
      <c r="V2454" s="300"/>
      <c r="W2454" s="300"/>
      <c r="X2454" s="300"/>
      <c r="Y2454" s="300"/>
      <c r="Z2454" s="300"/>
    </row>
    <row r="2455" spans="1:26">
      <c r="A2455" s="215" t="s">
        <v>2688</v>
      </c>
      <c r="B2455" s="207">
        <v>789</v>
      </c>
      <c r="C2455" s="215" t="s">
        <v>11804</v>
      </c>
      <c r="D2455" s="215" t="s">
        <v>11805</v>
      </c>
      <c r="E2455" s="215" t="s">
        <v>11806</v>
      </c>
      <c r="F2455" s="215" t="s">
        <v>160</v>
      </c>
      <c r="G2455" s="215" t="s">
        <v>11690</v>
      </c>
      <c r="H2455" s="215" t="s">
        <v>6497</v>
      </c>
      <c r="I2455" s="300"/>
      <c r="J2455" s="300"/>
      <c r="K2455" s="300"/>
      <c r="L2455" s="300"/>
      <c r="M2455" s="300"/>
      <c r="N2455" s="300"/>
      <c r="O2455" s="300"/>
      <c r="P2455" s="300"/>
      <c r="Q2455" s="300"/>
      <c r="R2455" s="300"/>
      <c r="S2455" s="300"/>
      <c r="T2455" s="300"/>
      <c r="U2455" s="300"/>
      <c r="V2455" s="300"/>
      <c r="W2455" s="300"/>
      <c r="X2455" s="300"/>
      <c r="Y2455" s="300"/>
      <c r="Z2455" s="300"/>
    </row>
    <row r="2456" spans="1:26">
      <c r="A2456" s="215" t="s">
        <v>3710</v>
      </c>
      <c r="B2456" s="207">
        <v>790</v>
      </c>
      <c r="C2456" s="215" t="s">
        <v>5797</v>
      </c>
      <c r="D2456" s="215" t="s">
        <v>11807</v>
      </c>
      <c r="E2456" s="215" t="s">
        <v>11807</v>
      </c>
      <c r="F2456" s="215" t="s">
        <v>160</v>
      </c>
      <c r="G2456" s="215" t="s">
        <v>11690</v>
      </c>
      <c r="H2456" s="215" t="s">
        <v>6497</v>
      </c>
      <c r="I2456" s="300"/>
      <c r="J2456" s="300"/>
      <c r="K2456" s="300"/>
      <c r="L2456" s="300"/>
      <c r="M2456" s="300"/>
      <c r="N2456" s="300"/>
      <c r="O2456" s="300"/>
      <c r="P2456" s="300"/>
      <c r="Q2456" s="300"/>
      <c r="R2456" s="300"/>
      <c r="S2456" s="300"/>
      <c r="T2456" s="300"/>
      <c r="U2456" s="300"/>
      <c r="V2456" s="300"/>
      <c r="W2456" s="300"/>
      <c r="X2456" s="300"/>
      <c r="Y2456" s="300"/>
      <c r="Z2456" s="300"/>
    </row>
    <row r="2457" spans="1:26">
      <c r="A2457" s="215" t="s">
        <v>3983</v>
      </c>
      <c r="B2457" s="207">
        <v>791</v>
      </c>
      <c r="C2457" s="215" t="s">
        <v>6016</v>
      </c>
      <c r="D2457" s="215" t="s">
        <v>11808</v>
      </c>
      <c r="E2457" s="215" t="s">
        <v>11809</v>
      </c>
      <c r="F2457" s="215" t="s">
        <v>160</v>
      </c>
      <c r="G2457" s="215" t="s">
        <v>11690</v>
      </c>
      <c r="H2457" s="215" t="s">
        <v>6548</v>
      </c>
      <c r="I2457" s="300"/>
      <c r="J2457" s="300"/>
      <c r="K2457" s="300"/>
      <c r="L2457" s="300"/>
      <c r="M2457" s="300"/>
      <c r="N2457" s="300"/>
      <c r="O2457" s="300"/>
      <c r="P2457" s="300"/>
      <c r="Q2457" s="300"/>
      <c r="R2457" s="300"/>
      <c r="S2457" s="300"/>
      <c r="T2457" s="300"/>
      <c r="U2457" s="300"/>
      <c r="V2457" s="300"/>
      <c r="W2457" s="300"/>
      <c r="X2457" s="300"/>
      <c r="Y2457" s="300"/>
      <c r="Z2457" s="300"/>
    </row>
    <row r="2458" spans="1:26">
      <c r="A2458" s="215" t="s">
        <v>2971</v>
      </c>
      <c r="B2458" s="207">
        <v>792</v>
      </c>
      <c r="C2458" s="215" t="s">
        <v>5121</v>
      </c>
      <c r="D2458" s="215" t="s">
        <v>11810</v>
      </c>
      <c r="E2458" s="215" t="s">
        <v>11811</v>
      </c>
      <c r="F2458" s="215" t="s">
        <v>160</v>
      </c>
      <c r="G2458" s="215" t="s">
        <v>11690</v>
      </c>
      <c r="H2458" s="215" t="s">
        <v>6497</v>
      </c>
      <c r="I2458" s="300"/>
      <c r="J2458" s="300"/>
      <c r="K2458" s="300"/>
      <c r="L2458" s="300"/>
      <c r="M2458" s="300"/>
      <c r="N2458" s="300"/>
      <c r="O2458" s="300"/>
      <c r="P2458" s="300"/>
      <c r="Q2458" s="300"/>
      <c r="R2458" s="300"/>
      <c r="S2458" s="300"/>
      <c r="T2458" s="300"/>
      <c r="U2458" s="300"/>
      <c r="V2458" s="300"/>
      <c r="W2458" s="300"/>
      <c r="X2458" s="300"/>
      <c r="Y2458" s="300"/>
      <c r="Z2458" s="300"/>
    </row>
    <row r="2459" spans="1:26">
      <c r="A2459" s="215" t="s">
        <v>3569</v>
      </c>
      <c r="B2459" s="207">
        <v>793</v>
      </c>
      <c r="C2459" s="215" t="s">
        <v>5677</v>
      </c>
      <c r="D2459" s="215" t="s">
        <v>11812</v>
      </c>
      <c r="E2459" s="215" t="s">
        <v>11813</v>
      </c>
      <c r="F2459" s="215" t="s">
        <v>160</v>
      </c>
      <c r="G2459" s="215" t="s">
        <v>11690</v>
      </c>
      <c r="H2459" s="215" t="s">
        <v>6497</v>
      </c>
      <c r="I2459" s="300"/>
      <c r="J2459" s="300"/>
      <c r="K2459" s="300"/>
      <c r="L2459" s="300"/>
      <c r="M2459" s="300"/>
      <c r="N2459" s="300"/>
      <c r="O2459" s="300"/>
      <c r="P2459" s="300"/>
      <c r="Q2459" s="300"/>
      <c r="R2459" s="300"/>
      <c r="S2459" s="300"/>
      <c r="T2459" s="300"/>
      <c r="U2459" s="300"/>
      <c r="V2459" s="300"/>
      <c r="W2459" s="300"/>
      <c r="X2459" s="300"/>
      <c r="Y2459" s="300"/>
      <c r="Z2459" s="300"/>
    </row>
    <row r="2460" spans="1:26">
      <c r="A2460" s="215" t="s">
        <v>4339</v>
      </c>
      <c r="B2460" s="207">
        <v>794</v>
      </c>
      <c r="C2460" s="215" t="s">
        <v>6290</v>
      </c>
      <c r="D2460" s="215" t="s">
        <v>11814</v>
      </c>
      <c r="E2460" s="215" t="s">
        <v>11815</v>
      </c>
      <c r="F2460" s="215" t="s">
        <v>160</v>
      </c>
      <c r="G2460" s="215" t="s">
        <v>11690</v>
      </c>
      <c r="H2460" s="215" t="s">
        <v>6548</v>
      </c>
      <c r="I2460" s="300"/>
      <c r="J2460" s="300"/>
      <c r="K2460" s="300"/>
      <c r="L2460" s="300"/>
      <c r="M2460" s="300"/>
      <c r="N2460" s="300"/>
      <c r="O2460" s="300"/>
      <c r="P2460" s="300"/>
      <c r="Q2460" s="300"/>
      <c r="R2460" s="300"/>
      <c r="S2460" s="300"/>
      <c r="T2460" s="300"/>
      <c r="U2460" s="300"/>
      <c r="V2460" s="300"/>
      <c r="W2460" s="300"/>
      <c r="X2460" s="300"/>
      <c r="Y2460" s="300"/>
      <c r="Z2460" s="300"/>
    </row>
    <row r="2461" spans="1:26">
      <c r="A2461" s="215" t="s">
        <v>3987</v>
      </c>
      <c r="B2461" s="207">
        <v>795</v>
      </c>
      <c r="C2461" s="215" t="s">
        <v>6019</v>
      </c>
      <c r="D2461" s="215" t="s">
        <v>11816</v>
      </c>
      <c r="E2461" s="215" t="s">
        <v>11816</v>
      </c>
      <c r="F2461" s="215" t="s">
        <v>160</v>
      </c>
      <c r="G2461" s="215" t="s">
        <v>11690</v>
      </c>
      <c r="H2461" s="215" t="s">
        <v>6548</v>
      </c>
      <c r="I2461" s="300"/>
      <c r="J2461" s="300"/>
      <c r="K2461" s="300"/>
      <c r="L2461" s="300"/>
      <c r="M2461" s="300"/>
      <c r="N2461" s="300"/>
      <c r="O2461" s="300"/>
      <c r="P2461" s="300"/>
      <c r="Q2461" s="300"/>
      <c r="R2461" s="300"/>
      <c r="S2461" s="300"/>
      <c r="T2461" s="300"/>
      <c r="U2461" s="300"/>
      <c r="V2461" s="300"/>
      <c r="W2461" s="300"/>
      <c r="X2461" s="300"/>
      <c r="Y2461" s="300"/>
      <c r="Z2461" s="300"/>
    </row>
    <row r="2462" spans="1:26">
      <c r="A2462" s="215" t="s">
        <v>2936</v>
      </c>
      <c r="B2462" s="207">
        <v>796</v>
      </c>
      <c r="C2462" s="215" t="s">
        <v>6018</v>
      </c>
      <c r="D2462" s="215" t="s">
        <v>11817</v>
      </c>
      <c r="E2462" s="215" t="s">
        <v>11818</v>
      </c>
      <c r="F2462" s="215" t="s">
        <v>160</v>
      </c>
      <c r="G2462" s="215" t="s">
        <v>11690</v>
      </c>
      <c r="H2462" s="215" t="s">
        <v>6548</v>
      </c>
      <c r="I2462" s="300"/>
      <c r="J2462" s="300"/>
      <c r="K2462" s="300"/>
      <c r="L2462" s="300"/>
      <c r="M2462" s="300"/>
      <c r="N2462" s="300"/>
      <c r="O2462" s="300"/>
      <c r="P2462" s="300"/>
      <c r="Q2462" s="300"/>
      <c r="R2462" s="300"/>
      <c r="S2462" s="300"/>
      <c r="T2462" s="300"/>
      <c r="U2462" s="300"/>
      <c r="V2462" s="300"/>
      <c r="W2462" s="300"/>
      <c r="X2462" s="300"/>
      <c r="Y2462" s="300"/>
      <c r="Z2462" s="300"/>
    </row>
    <row r="2463" spans="1:26">
      <c r="A2463" s="215" t="s">
        <v>2960</v>
      </c>
      <c r="B2463" s="207">
        <v>797</v>
      </c>
      <c r="C2463" s="215" t="s">
        <v>11819</v>
      </c>
      <c r="D2463" s="215" t="s">
        <v>11820</v>
      </c>
      <c r="E2463" s="215" t="s">
        <v>11821</v>
      </c>
      <c r="F2463" s="215" t="s">
        <v>160</v>
      </c>
      <c r="G2463" s="215" t="s">
        <v>11690</v>
      </c>
      <c r="H2463" s="215" t="s">
        <v>6548</v>
      </c>
      <c r="I2463" s="300"/>
      <c r="J2463" s="300"/>
      <c r="K2463" s="300"/>
      <c r="L2463" s="300"/>
      <c r="M2463" s="300"/>
      <c r="N2463" s="300"/>
      <c r="O2463" s="300"/>
      <c r="P2463" s="300"/>
      <c r="Q2463" s="300"/>
      <c r="R2463" s="300"/>
      <c r="S2463" s="300"/>
      <c r="T2463" s="300"/>
      <c r="U2463" s="300"/>
      <c r="V2463" s="300"/>
      <c r="W2463" s="300"/>
      <c r="X2463" s="300"/>
      <c r="Y2463" s="300"/>
      <c r="Z2463" s="300"/>
    </row>
    <row r="2464" spans="1:26">
      <c r="A2464" s="215" t="s">
        <v>2989</v>
      </c>
      <c r="B2464" s="207">
        <v>798</v>
      </c>
      <c r="C2464" s="215" t="s">
        <v>5136</v>
      </c>
      <c r="D2464" s="215" t="s">
        <v>11822</v>
      </c>
      <c r="E2464" s="215" t="s">
        <v>11822</v>
      </c>
      <c r="F2464" s="215" t="s">
        <v>160</v>
      </c>
      <c r="G2464" s="215" t="s">
        <v>11690</v>
      </c>
      <c r="H2464" s="215" t="s">
        <v>6548</v>
      </c>
      <c r="I2464" s="300"/>
      <c r="J2464" s="300"/>
      <c r="K2464" s="300"/>
      <c r="L2464" s="300"/>
      <c r="M2464" s="300"/>
      <c r="N2464" s="300"/>
      <c r="O2464" s="300"/>
      <c r="P2464" s="300"/>
      <c r="Q2464" s="300"/>
      <c r="R2464" s="300"/>
      <c r="S2464" s="300"/>
      <c r="T2464" s="300"/>
      <c r="U2464" s="300"/>
      <c r="V2464" s="300"/>
      <c r="W2464" s="300"/>
      <c r="X2464" s="300"/>
      <c r="Y2464" s="300"/>
      <c r="Z2464" s="300"/>
    </row>
    <row r="2465" spans="1:26">
      <c r="A2465" s="215" t="s">
        <v>4249</v>
      </c>
      <c r="B2465" s="207">
        <v>799</v>
      </c>
      <c r="C2465" s="215" t="s">
        <v>6223</v>
      </c>
      <c r="D2465" s="215" t="s">
        <v>11823</v>
      </c>
      <c r="E2465" s="215" t="s">
        <v>11824</v>
      </c>
      <c r="F2465" s="215" t="s">
        <v>160</v>
      </c>
      <c r="G2465" s="215" t="s">
        <v>11690</v>
      </c>
      <c r="H2465" s="215" t="s">
        <v>6548</v>
      </c>
      <c r="I2465" s="300"/>
      <c r="J2465" s="300"/>
      <c r="K2465" s="300"/>
      <c r="L2465" s="300"/>
      <c r="M2465" s="300"/>
      <c r="N2465" s="300"/>
      <c r="O2465" s="300"/>
      <c r="P2465" s="300"/>
      <c r="Q2465" s="300"/>
      <c r="R2465" s="300"/>
      <c r="S2465" s="300"/>
      <c r="T2465" s="300"/>
      <c r="U2465" s="300"/>
      <c r="V2465" s="300"/>
      <c r="W2465" s="300"/>
      <c r="X2465" s="300"/>
      <c r="Y2465" s="300"/>
      <c r="Z2465" s="300"/>
    </row>
    <row r="2466" spans="1:26">
      <c r="A2466" s="215" t="s">
        <v>4129</v>
      </c>
      <c r="B2466" s="207">
        <v>801</v>
      </c>
      <c r="C2466" s="215" t="s">
        <v>6124</v>
      </c>
      <c r="D2466" s="215" t="s">
        <v>11825</v>
      </c>
      <c r="E2466" s="215" t="s">
        <v>11826</v>
      </c>
      <c r="F2466" s="215" t="s">
        <v>160</v>
      </c>
      <c r="G2466" s="215" t="s">
        <v>11690</v>
      </c>
      <c r="H2466" s="215" t="s">
        <v>6497</v>
      </c>
      <c r="I2466" s="300"/>
      <c r="J2466" s="300"/>
      <c r="K2466" s="300"/>
      <c r="L2466" s="300"/>
      <c r="M2466" s="300"/>
      <c r="N2466" s="300"/>
      <c r="O2466" s="300"/>
      <c r="P2466" s="300"/>
      <c r="Q2466" s="300"/>
      <c r="R2466" s="300"/>
      <c r="S2466" s="300"/>
      <c r="T2466" s="300"/>
      <c r="U2466" s="300"/>
      <c r="V2466" s="300"/>
      <c r="W2466" s="300"/>
      <c r="X2466" s="300"/>
      <c r="Y2466" s="300"/>
      <c r="Z2466" s="300"/>
    </row>
    <row r="2467" spans="1:26">
      <c r="A2467" s="215" t="s">
        <v>2994</v>
      </c>
      <c r="B2467" s="207">
        <v>802</v>
      </c>
      <c r="C2467" s="215" t="s">
        <v>11827</v>
      </c>
      <c r="D2467" s="215" t="s">
        <v>11828</v>
      </c>
      <c r="E2467" s="215" t="s">
        <v>11829</v>
      </c>
      <c r="F2467" s="215" t="s">
        <v>160</v>
      </c>
      <c r="G2467" s="215" t="s">
        <v>11690</v>
      </c>
      <c r="H2467" s="215" t="s">
        <v>6497</v>
      </c>
      <c r="I2467" s="300"/>
      <c r="J2467" s="300"/>
      <c r="K2467" s="300"/>
      <c r="L2467" s="300"/>
      <c r="M2467" s="300"/>
      <c r="N2467" s="300"/>
      <c r="O2467" s="300"/>
      <c r="P2467" s="300"/>
      <c r="Q2467" s="300"/>
      <c r="R2467" s="300"/>
      <c r="S2467" s="300"/>
      <c r="T2467" s="300"/>
      <c r="U2467" s="300"/>
      <c r="V2467" s="300"/>
      <c r="W2467" s="300"/>
      <c r="X2467" s="300"/>
      <c r="Y2467" s="300"/>
      <c r="Z2467" s="300"/>
    </row>
    <row r="2468" spans="1:26">
      <c r="A2468" s="215" t="s">
        <v>2981</v>
      </c>
      <c r="B2468" s="207">
        <v>803</v>
      </c>
      <c r="C2468" s="215" t="s">
        <v>5131</v>
      </c>
      <c r="D2468" s="215" t="s">
        <v>11830</v>
      </c>
      <c r="E2468" s="215" t="s">
        <v>11831</v>
      </c>
      <c r="F2468" s="215" t="s">
        <v>160</v>
      </c>
      <c r="G2468" s="215" t="s">
        <v>11690</v>
      </c>
      <c r="H2468" s="215" t="s">
        <v>6497</v>
      </c>
      <c r="I2468" s="300"/>
      <c r="J2468" s="300"/>
      <c r="K2468" s="300"/>
      <c r="L2468" s="300"/>
      <c r="M2468" s="300"/>
      <c r="N2468" s="300"/>
      <c r="O2468" s="300"/>
      <c r="P2468" s="300"/>
      <c r="Q2468" s="300"/>
      <c r="R2468" s="300"/>
      <c r="S2468" s="300"/>
      <c r="T2468" s="300"/>
      <c r="U2468" s="300"/>
      <c r="V2468" s="300"/>
      <c r="W2468" s="300"/>
      <c r="X2468" s="300"/>
      <c r="Y2468" s="300"/>
      <c r="Z2468" s="300"/>
    </row>
    <row r="2469" spans="1:26">
      <c r="A2469" s="215" t="s">
        <v>2944</v>
      </c>
      <c r="B2469" s="207">
        <v>805</v>
      </c>
      <c r="C2469" s="215" t="s">
        <v>6349</v>
      </c>
      <c r="D2469" s="215" t="s">
        <v>11832</v>
      </c>
      <c r="E2469" s="215" t="s">
        <v>11832</v>
      </c>
      <c r="F2469" s="215" t="s">
        <v>160</v>
      </c>
      <c r="G2469" s="215" t="s">
        <v>11690</v>
      </c>
      <c r="H2469" s="215" t="s">
        <v>6497</v>
      </c>
      <c r="I2469" s="300"/>
      <c r="J2469" s="300"/>
      <c r="K2469" s="300"/>
      <c r="L2469" s="300"/>
      <c r="M2469" s="300"/>
      <c r="N2469" s="300"/>
      <c r="O2469" s="300"/>
      <c r="P2469" s="300"/>
      <c r="Q2469" s="300"/>
      <c r="R2469" s="300"/>
      <c r="S2469" s="300"/>
      <c r="T2469" s="300"/>
      <c r="U2469" s="300"/>
      <c r="V2469" s="300"/>
      <c r="W2469" s="300"/>
      <c r="X2469" s="300"/>
      <c r="Y2469" s="300"/>
      <c r="Z2469" s="300"/>
    </row>
    <row r="2470" spans="1:26">
      <c r="A2470" s="215" t="s">
        <v>4087</v>
      </c>
      <c r="B2470" s="207">
        <v>806</v>
      </c>
      <c r="C2470" s="215" t="s">
        <v>6102</v>
      </c>
      <c r="D2470" s="215" t="s">
        <v>11833</v>
      </c>
      <c r="E2470" s="215" t="s">
        <v>11833</v>
      </c>
      <c r="F2470" s="215" t="s">
        <v>160</v>
      </c>
      <c r="G2470" s="215" t="s">
        <v>11690</v>
      </c>
      <c r="H2470" s="215" t="s">
        <v>6548</v>
      </c>
      <c r="I2470" s="300"/>
      <c r="J2470" s="300"/>
      <c r="K2470" s="300"/>
      <c r="L2470" s="300"/>
      <c r="M2470" s="300"/>
      <c r="N2470" s="300"/>
      <c r="O2470" s="300"/>
      <c r="P2470" s="300"/>
      <c r="Q2470" s="300"/>
      <c r="R2470" s="300"/>
      <c r="S2470" s="300"/>
      <c r="T2470" s="300"/>
      <c r="U2470" s="300"/>
      <c r="V2470" s="300"/>
      <c r="W2470" s="300"/>
      <c r="X2470" s="300"/>
      <c r="Y2470" s="300"/>
      <c r="Z2470" s="300"/>
    </row>
    <row r="2471" spans="1:26">
      <c r="A2471" s="215" t="s">
        <v>3010</v>
      </c>
      <c r="B2471" s="207">
        <v>807</v>
      </c>
      <c r="C2471" s="215" t="s">
        <v>5149</v>
      </c>
      <c r="D2471" s="215" t="s">
        <v>11834</v>
      </c>
      <c r="E2471" s="215" t="s">
        <v>11834</v>
      </c>
      <c r="F2471" s="215" t="s">
        <v>160</v>
      </c>
      <c r="G2471" s="215" t="s">
        <v>11690</v>
      </c>
      <c r="H2471" s="215" t="s">
        <v>6548</v>
      </c>
      <c r="I2471" s="300"/>
      <c r="J2471" s="300"/>
      <c r="K2471" s="300"/>
      <c r="L2471" s="300"/>
      <c r="M2471" s="300"/>
      <c r="N2471" s="300"/>
      <c r="O2471" s="300"/>
      <c r="P2471" s="300"/>
      <c r="Q2471" s="300"/>
      <c r="R2471" s="300"/>
      <c r="S2471" s="300"/>
      <c r="T2471" s="300"/>
      <c r="U2471" s="300"/>
      <c r="V2471" s="300"/>
      <c r="W2471" s="300"/>
      <c r="X2471" s="300"/>
      <c r="Y2471" s="300"/>
      <c r="Z2471" s="300"/>
    </row>
    <row r="2472" spans="1:26">
      <c r="A2472" s="215" t="s">
        <v>3493</v>
      </c>
      <c r="B2472" s="207">
        <v>808</v>
      </c>
      <c r="C2472" s="215" t="s">
        <v>11835</v>
      </c>
      <c r="D2472" s="215" t="s">
        <v>11836</v>
      </c>
      <c r="E2472" s="215" t="s">
        <v>11836</v>
      </c>
      <c r="F2472" s="215" t="s">
        <v>160</v>
      </c>
      <c r="G2472" s="215" t="s">
        <v>11690</v>
      </c>
      <c r="H2472" s="215" t="s">
        <v>6548</v>
      </c>
      <c r="I2472" s="300"/>
      <c r="J2472" s="300"/>
      <c r="K2472" s="300"/>
      <c r="L2472" s="300"/>
      <c r="M2472" s="300"/>
      <c r="N2472" s="300"/>
      <c r="O2472" s="300"/>
      <c r="P2472" s="300"/>
      <c r="Q2472" s="300"/>
      <c r="R2472" s="300"/>
      <c r="S2472" s="300"/>
      <c r="T2472" s="300"/>
      <c r="U2472" s="300"/>
      <c r="V2472" s="300"/>
      <c r="W2472" s="300"/>
      <c r="X2472" s="300"/>
      <c r="Y2472" s="300"/>
      <c r="Z2472" s="300"/>
    </row>
    <row r="2473" spans="1:26">
      <c r="A2473" s="215" t="s">
        <v>11837</v>
      </c>
      <c r="B2473" s="207">
        <v>809</v>
      </c>
      <c r="C2473" s="215" t="s">
        <v>11838</v>
      </c>
      <c r="D2473" s="215" t="s">
        <v>11839</v>
      </c>
      <c r="E2473" s="215" t="s">
        <v>11840</v>
      </c>
      <c r="F2473" s="215" t="s">
        <v>160</v>
      </c>
      <c r="G2473" s="215" t="s">
        <v>11690</v>
      </c>
      <c r="H2473" s="215" t="s">
        <v>6497</v>
      </c>
      <c r="I2473" s="300"/>
      <c r="J2473" s="300"/>
      <c r="K2473" s="300"/>
      <c r="L2473" s="300"/>
      <c r="M2473" s="300"/>
      <c r="N2473" s="300"/>
      <c r="O2473" s="300"/>
      <c r="P2473" s="300"/>
      <c r="Q2473" s="300"/>
      <c r="R2473" s="300"/>
      <c r="S2473" s="300"/>
      <c r="T2473" s="300"/>
      <c r="U2473" s="300"/>
      <c r="V2473" s="300"/>
      <c r="W2473" s="300"/>
      <c r="X2473" s="300"/>
      <c r="Y2473" s="300"/>
      <c r="Z2473" s="300"/>
    </row>
    <row r="2474" spans="1:26">
      <c r="A2474" s="215" t="s">
        <v>11837</v>
      </c>
      <c r="B2474" s="207">
        <v>810</v>
      </c>
      <c r="C2474" s="215" t="s">
        <v>6011</v>
      </c>
      <c r="D2474" s="215" t="s">
        <v>11841</v>
      </c>
      <c r="E2474" s="215" t="s">
        <v>11841</v>
      </c>
      <c r="F2474" s="215" t="s">
        <v>160</v>
      </c>
      <c r="G2474" s="215" t="s">
        <v>11690</v>
      </c>
      <c r="H2474" s="215" t="s">
        <v>6497</v>
      </c>
      <c r="I2474" s="300"/>
      <c r="J2474" s="300"/>
      <c r="K2474" s="300"/>
      <c r="L2474" s="300"/>
      <c r="M2474" s="300"/>
      <c r="N2474" s="300"/>
      <c r="O2474" s="300"/>
      <c r="P2474" s="300"/>
      <c r="Q2474" s="300"/>
      <c r="R2474" s="300"/>
      <c r="S2474" s="300"/>
      <c r="T2474" s="300"/>
      <c r="U2474" s="300"/>
      <c r="V2474" s="300"/>
      <c r="W2474" s="300"/>
      <c r="X2474" s="300"/>
      <c r="Y2474" s="300"/>
      <c r="Z2474" s="300"/>
    </row>
    <row r="2475" spans="1:26">
      <c r="A2475" s="215" t="s">
        <v>3787</v>
      </c>
      <c r="B2475" s="207">
        <v>811</v>
      </c>
      <c r="C2475" s="215" t="s">
        <v>5862</v>
      </c>
      <c r="D2475" s="215" t="s">
        <v>11842</v>
      </c>
      <c r="E2475" s="215" t="s">
        <v>11843</v>
      </c>
      <c r="F2475" s="215" t="s">
        <v>160</v>
      </c>
      <c r="G2475" s="215" t="s">
        <v>11690</v>
      </c>
      <c r="H2475" s="215" t="s">
        <v>6497</v>
      </c>
      <c r="I2475" s="300"/>
      <c r="J2475" s="300"/>
      <c r="K2475" s="300"/>
      <c r="L2475" s="300"/>
      <c r="M2475" s="300"/>
      <c r="N2475" s="300"/>
      <c r="O2475" s="300"/>
      <c r="P2475" s="300"/>
      <c r="Q2475" s="300"/>
      <c r="R2475" s="300"/>
      <c r="S2475" s="300"/>
      <c r="T2475" s="300"/>
      <c r="U2475" s="300"/>
      <c r="V2475" s="300"/>
      <c r="W2475" s="300"/>
      <c r="X2475" s="300"/>
      <c r="Y2475" s="300"/>
      <c r="Z2475" s="300"/>
    </row>
    <row r="2476" spans="1:26">
      <c r="A2476" s="215" t="s">
        <v>3624</v>
      </c>
      <c r="B2476" s="207">
        <v>812</v>
      </c>
      <c r="C2476" s="215" t="s">
        <v>5720</v>
      </c>
      <c r="D2476" s="215" t="s">
        <v>11844</v>
      </c>
      <c r="E2476" s="215" t="s">
        <v>11845</v>
      </c>
      <c r="F2476" s="215" t="s">
        <v>160</v>
      </c>
      <c r="G2476" s="215" t="s">
        <v>11690</v>
      </c>
      <c r="H2476" s="215" t="s">
        <v>6497</v>
      </c>
      <c r="I2476" s="300"/>
      <c r="J2476" s="300"/>
      <c r="K2476" s="300"/>
      <c r="L2476" s="300"/>
      <c r="M2476" s="300"/>
      <c r="N2476" s="300"/>
      <c r="O2476" s="300"/>
      <c r="P2476" s="300"/>
      <c r="Q2476" s="300"/>
      <c r="R2476" s="300"/>
      <c r="S2476" s="300"/>
      <c r="T2476" s="300"/>
      <c r="U2476" s="300"/>
      <c r="V2476" s="300"/>
      <c r="W2476" s="300"/>
      <c r="X2476" s="300"/>
      <c r="Y2476" s="300"/>
      <c r="Z2476" s="300"/>
    </row>
    <row r="2477" spans="1:26">
      <c r="A2477" s="215" t="s">
        <v>3811</v>
      </c>
      <c r="B2477" s="207">
        <v>813</v>
      </c>
      <c r="C2477" s="215" t="s">
        <v>5888</v>
      </c>
      <c r="D2477" s="215" t="s">
        <v>11846</v>
      </c>
      <c r="E2477" s="215" t="s">
        <v>11846</v>
      </c>
      <c r="F2477" s="215" t="s">
        <v>160</v>
      </c>
      <c r="G2477" s="215" t="s">
        <v>11690</v>
      </c>
      <c r="H2477" s="215" t="s">
        <v>6548</v>
      </c>
      <c r="I2477" s="300"/>
      <c r="J2477" s="300"/>
      <c r="K2477" s="300"/>
      <c r="L2477" s="300"/>
      <c r="M2477" s="300"/>
      <c r="N2477" s="300"/>
      <c r="O2477" s="300"/>
      <c r="P2477" s="300"/>
      <c r="Q2477" s="300"/>
      <c r="R2477" s="300"/>
      <c r="S2477" s="300"/>
      <c r="T2477" s="300"/>
      <c r="U2477" s="300"/>
      <c r="V2477" s="300"/>
      <c r="W2477" s="300"/>
      <c r="X2477" s="300"/>
      <c r="Y2477" s="300"/>
      <c r="Z2477" s="300"/>
    </row>
    <row r="2478" spans="1:26">
      <c r="A2478" s="215" t="s">
        <v>3554</v>
      </c>
      <c r="B2478" s="207">
        <v>814</v>
      </c>
      <c r="C2478" s="215" t="s">
        <v>11847</v>
      </c>
      <c r="D2478" s="215" t="s">
        <v>11848</v>
      </c>
      <c r="E2478" s="215" t="s">
        <v>11849</v>
      </c>
      <c r="F2478" s="215" t="s">
        <v>160</v>
      </c>
      <c r="G2478" s="215" t="s">
        <v>11690</v>
      </c>
      <c r="H2478" s="215" t="s">
        <v>6497</v>
      </c>
      <c r="I2478" s="300"/>
      <c r="J2478" s="300"/>
      <c r="K2478" s="300"/>
      <c r="L2478" s="300"/>
      <c r="M2478" s="300"/>
      <c r="N2478" s="300"/>
      <c r="O2478" s="300"/>
      <c r="P2478" s="300"/>
      <c r="Q2478" s="300"/>
      <c r="R2478" s="300"/>
      <c r="S2478" s="300"/>
      <c r="T2478" s="300"/>
      <c r="U2478" s="300"/>
      <c r="V2478" s="300"/>
      <c r="W2478" s="300"/>
      <c r="X2478" s="300"/>
      <c r="Y2478" s="300"/>
      <c r="Z2478" s="300"/>
    </row>
    <row r="2479" spans="1:26">
      <c r="A2479" s="215" t="s">
        <v>3809</v>
      </c>
      <c r="B2479" s="207">
        <v>815</v>
      </c>
      <c r="C2479" s="215" t="s">
        <v>11850</v>
      </c>
      <c r="D2479" s="215" t="s">
        <v>11851</v>
      </c>
      <c r="E2479" s="215" t="s">
        <v>11852</v>
      </c>
      <c r="F2479" s="215" t="s">
        <v>160</v>
      </c>
      <c r="G2479" s="215" t="s">
        <v>11690</v>
      </c>
      <c r="H2479" s="215" t="s">
        <v>6497</v>
      </c>
      <c r="I2479" s="300"/>
      <c r="J2479" s="300"/>
      <c r="K2479" s="300"/>
      <c r="L2479" s="300"/>
      <c r="M2479" s="300"/>
      <c r="N2479" s="300"/>
      <c r="O2479" s="300"/>
      <c r="P2479" s="300"/>
      <c r="Q2479" s="300"/>
      <c r="R2479" s="300"/>
      <c r="S2479" s="300"/>
      <c r="T2479" s="300"/>
      <c r="U2479" s="300"/>
      <c r="V2479" s="300"/>
      <c r="W2479" s="300"/>
      <c r="X2479" s="300"/>
      <c r="Y2479" s="300"/>
      <c r="Z2479" s="300"/>
    </row>
    <row r="2480" spans="1:26">
      <c r="A2480" s="215" t="s">
        <v>3008</v>
      </c>
      <c r="B2480" s="207">
        <v>816</v>
      </c>
      <c r="C2480" s="215" t="s">
        <v>11853</v>
      </c>
      <c r="D2480" s="215" t="s">
        <v>11854</v>
      </c>
      <c r="E2480" s="215" t="s">
        <v>11855</v>
      </c>
      <c r="F2480" s="215" t="s">
        <v>160</v>
      </c>
      <c r="G2480" s="215" t="s">
        <v>11690</v>
      </c>
      <c r="H2480" s="215" t="s">
        <v>6497</v>
      </c>
      <c r="I2480" s="300"/>
      <c r="J2480" s="300"/>
      <c r="K2480" s="300"/>
      <c r="L2480" s="300"/>
      <c r="M2480" s="300"/>
      <c r="N2480" s="300"/>
      <c r="O2480" s="300"/>
      <c r="P2480" s="300"/>
      <c r="Q2480" s="300"/>
      <c r="R2480" s="300"/>
      <c r="S2480" s="300"/>
      <c r="T2480" s="300"/>
      <c r="U2480" s="300"/>
      <c r="V2480" s="300"/>
      <c r="W2480" s="300"/>
      <c r="X2480" s="300"/>
      <c r="Y2480" s="300"/>
      <c r="Z2480" s="300"/>
    </row>
    <row r="2481" spans="1:26">
      <c r="A2481" s="215" t="s">
        <v>4099</v>
      </c>
      <c r="B2481" s="207">
        <v>817</v>
      </c>
      <c r="C2481" s="215" t="s">
        <v>11856</v>
      </c>
      <c r="D2481" s="215" t="s">
        <v>11857</v>
      </c>
      <c r="E2481" s="215" t="s">
        <v>11858</v>
      </c>
      <c r="F2481" s="215" t="s">
        <v>160</v>
      </c>
      <c r="G2481" s="215" t="s">
        <v>11690</v>
      </c>
      <c r="H2481" s="215" t="s">
        <v>6497</v>
      </c>
      <c r="I2481" s="300"/>
      <c r="J2481" s="300"/>
      <c r="K2481" s="300"/>
      <c r="L2481" s="300"/>
      <c r="M2481" s="300"/>
      <c r="N2481" s="300"/>
      <c r="O2481" s="300"/>
      <c r="P2481" s="300"/>
      <c r="Q2481" s="300"/>
      <c r="R2481" s="300"/>
      <c r="S2481" s="300"/>
      <c r="T2481" s="300"/>
      <c r="U2481" s="300"/>
      <c r="V2481" s="300"/>
      <c r="W2481" s="300"/>
      <c r="X2481" s="300"/>
      <c r="Y2481" s="300"/>
      <c r="Z2481" s="300"/>
    </row>
    <row r="2482" spans="1:26">
      <c r="A2482" s="215" t="s">
        <v>4532</v>
      </c>
      <c r="B2482" s="207">
        <v>819</v>
      </c>
      <c r="C2482" s="215" t="s">
        <v>11859</v>
      </c>
      <c r="D2482" s="215" t="s">
        <v>11860</v>
      </c>
      <c r="E2482" s="215" t="s">
        <v>11860</v>
      </c>
      <c r="F2482" s="215" t="s">
        <v>160</v>
      </c>
      <c r="G2482" s="215" t="s">
        <v>11690</v>
      </c>
      <c r="H2482" s="215" t="s">
        <v>6497</v>
      </c>
      <c r="I2482" s="300"/>
      <c r="J2482" s="300"/>
      <c r="K2482" s="300"/>
      <c r="L2482" s="300"/>
      <c r="M2482" s="300"/>
      <c r="N2482" s="300"/>
      <c r="O2482" s="300"/>
      <c r="P2482" s="300"/>
      <c r="Q2482" s="300"/>
      <c r="R2482" s="300"/>
      <c r="S2482" s="300"/>
      <c r="T2482" s="300"/>
      <c r="U2482" s="300"/>
      <c r="V2482" s="300"/>
      <c r="W2482" s="300"/>
      <c r="X2482" s="300"/>
      <c r="Y2482" s="300"/>
      <c r="Z2482" s="300"/>
    </row>
    <row r="2483" spans="1:26">
      <c r="A2483" s="215" t="s">
        <v>4532</v>
      </c>
      <c r="B2483" s="207">
        <v>820</v>
      </c>
      <c r="C2483" s="215" t="s">
        <v>11861</v>
      </c>
      <c r="D2483" s="215" t="s">
        <v>11862</v>
      </c>
      <c r="E2483" s="215" t="s">
        <v>11863</v>
      </c>
      <c r="F2483" s="215" t="s">
        <v>160</v>
      </c>
      <c r="G2483" s="215" t="s">
        <v>11690</v>
      </c>
      <c r="H2483" s="215" t="s">
        <v>6497</v>
      </c>
      <c r="I2483" s="300"/>
      <c r="J2483" s="300"/>
      <c r="K2483" s="300"/>
      <c r="L2483" s="300"/>
      <c r="M2483" s="300"/>
      <c r="N2483" s="300"/>
      <c r="O2483" s="300"/>
      <c r="P2483" s="300"/>
      <c r="Q2483" s="300"/>
      <c r="R2483" s="300"/>
      <c r="S2483" s="300"/>
      <c r="T2483" s="300"/>
      <c r="U2483" s="300"/>
      <c r="V2483" s="300"/>
      <c r="W2483" s="300"/>
      <c r="X2483" s="300"/>
      <c r="Y2483" s="300"/>
      <c r="Z2483" s="300"/>
    </row>
    <row r="2484" spans="1:26">
      <c r="A2484" s="215" t="s">
        <v>4532</v>
      </c>
      <c r="B2484" s="207">
        <v>821</v>
      </c>
      <c r="C2484" s="215" t="s">
        <v>11864</v>
      </c>
      <c r="D2484" s="215" t="s">
        <v>11865</v>
      </c>
      <c r="E2484" s="215" t="s">
        <v>11866</v>
      </c>
      <c r="F2484" s="215" t="s">
        <v>160</v>
      </c>
      <c r="G2484" s="215" t="s">
        <v>11690</v>
      </c>
      <c r="H2484" s="215" t="s">
        <v>6504</v>
      </c>
      <c r="I2484" s="300"/>
      <c r="J2484" s="300"/>
      <c r="K2484" s="300"/>
      <c r="L2484" s="300"/>
      <c r="M2484" s="300"/>
      <c r="N2484" s="300"/>
      <c r="O2484" s="300"/>
      <c r="P2484" s="300"/>
      <c r="Q2484" s="300"/>
      <c r="R2484" s="300"/>
      <c r="S2484" s="300"/>
      <c r="T2484" s="300"/>
      <c r="U2484" s="300"/>
      <c r="V2484" s="300"/>
      <c r="W2484" s="300"/>
      <c r="X2484" s="300"/>
      <c r="Y2484" s="300"/>
      <c r="Z2484" s="300"/>
    </row>
    <row r="2485" spans="1:26">
      <c r="A2485" s="215" t="s">
        <v>3407</v>
      </c>
      <c r="B2485" s="207">
        <v>822</v>
      </c>
      <c r="C2485" s="215" t="s">
        <v>5531</v>
      </c>
      <c r="D2485" s="215" t="s">
        <v>11867</v>
      </c>
      <c r="E2485" s="215" t="s">
        <v>11868</v>
      </c>
      <c r="F2485" s="215" t="s">
        <v>160</v>
      </c>
      <c r="G2485" s="215" t="s">
        <v>11690</v>
      </c>
      <c r="H2485" s="215" t="s">
        <v>6548</v>
      </c>
      <c r="I2485" s="300"/>
      <c r="J2485" s="300"/>
      <c r="K2485" s="300"/>
      <c r="L2485" s="300"/>
      <c r="M2485" s="300"/>
      <c r="N2485" s="300"/>
      <c r="O2485" s="300"/>
      <c r="P2485" s="300"/>
      <c r="Q2485" s="300"/>
      <c r="R2485" s="300"/>
      <c r="S2485" s="300"/>
      <c r="T2485" s="300"/>
      <c r="U2485" s="300"/>
      <c r="V2485" s="300"/>
      <c r="W2485" s="300"/>
      <c r="X2485" s="300"/>
      <c r="Y2485" s="300"/>
      <c r="Z2485" s="300"/>
    </row>
    <row r="2486" spans="1:26">
      <c r="A2486" s="215" t="s">
        <v>11869</v>
      </c>
      <c r="B2486" s="207">
        <v>823</v>
      </c>
      <c r="C2486" s="215" t="s">
        <v>11870</v>
      </c>
      <c r="D2486" s="215" t="s">
        <v>11871</v>
      </c>
      <c r="E2486" s="215" t="s">
        <v>11872</v>
      </c>
      <c r="F2486" s="215" t="s">
        <v>160</v>
      </c>
      <c r="G2486" s="215" t="s">
        <v>11690</v>
      </c>
      <c r="H2486" s="215" t="s">
        <v>6504</v>
      </c>
      <c r="I2486" s="300"/>
      <c r="J2486" s="300"/>
      <c r="K2486" s="300"/>
      <c r="L2486" s="300"/>
      <c r="M2486" s="300"/>
      <c r="N2486" s="300"/>
      <c r="O2486" s="300"/>
      <c r="P2486" s="300"/>
      <c r="Q2486" s="300"/>
      <c r="R2486" s="300"/>
      <c r="S2486" s="300"/>
      <c r="T2486" s="300"/>
      <c r="U2486" s="300"/>
      <c r="V2486" s="300"/>
      <c r="W2486" s="300"/>
      <c r="X2486" s="300"/>
      <c r="Y2486" s="300"/>
      <c r="Z2486" s="300"/>
    </row>
    <row r="2487" spans="1:26">
      <c r="A2487" s="215" t="s">
        <v>3749</v>
      </c>
      <c r="B2487" s="207">
        <v>824</v>
      </c>
      <c r="C2487" s="215" t="s">
        <v>5830</v>
      </c>
      <c r="D2487" s="215" t="s">
        <v>11873</v>
      </c>
      <c r="E2487" s="215" t="s">
        <v>11874</v>
      </c>
      <c r="F2487" s="215" t="s">
        <v>160</v>
      </c>
      <c r="G2487" s="215" t="s">
        <v>11690</v>
      </c>
      <c r="H2487" s="215" t="s">
        <v>6497</v>
      </c>
      <c r="I2487" s="300"/>
      <c r="J2487" s="300"/>
      <c r="K2487" s="300"/>
      <c r="L2487" s="300"/>
      <c r="M2487" s="300"/>
      <c r="N2487" s="300"/>
      <c r="O2487" s="300"/>
      <c r="P2487" s="300"/>
      <c r="Q2487" s="300"/>
      <c r="R2487" s="300"/>
      <c r="S2487" s="300"/>
      <c r="T2487" s="300"/>
      <c r="U2487" s="300"/>
      <c r="V2487" s="300"/>
      <c r="W2487" s="300"/>
      <c r="X2487" s="300"/>
      <c r="Y2487" s="300"/>
      <c r="Z2487" s="300"/>
    </row>
    <row r="2488" spans="1:26">
      <c r="A2488" s="215" t="s">
        <v>3584</v>
      </c>
      <c r="B2488" s="207">
        <v>825</v>
      </c>
      <c r="C2488" s="215" t="s">
        <v>5686</v>
      </c>
      <c r="D2488" s="215" t="s">
        <v>11875</v>
      </c>
      <c r="E2488" s="215" t="s">
        <v>11875</v>
      </c>
      <c r="F2488" s="215" t="s">
        <v>160</v>
      </c>
      <c r="G2488" s="215" t="s">
        <v>11690</v>
      </c>
      <c r="H2488" s="215" t="s">
        <v>6548</v>
      </c>
      <c r="I2488" s="300"/>
      <c r="J2488" s="300"/>
      <c r="K2488" s="300"/>
      <c r="L2488" s="300"/>
      <c r="M2488" s="300"/>
      <c r="N2488" s="300"/>
      <c r="O2488" s="300"/>
      <c r="P2488" s="300"/>
      <c r="Q2488" s="300"/>
      <c r="R2488" s="300"/>
      <c r="S2488" s="300"/>
      <c r="T2488" s="300"/>
      <c r="U2488" s="300"/>
      <c r="V2488" s="300"/>
      <c r="W2488" s="300"/>
      <c r="X2488" s="300"/>
      <c r="Y2488" s="300"/>
      <c r="Z2488" s="300"/>
    </row>
    <row r="2489" spans="1:26">
      <c r="A2489" s="215" t="s">
        <v>3492</v>
      </c>
      <c r="B2489" s="207">
        <v>826</v>
      </c>
      <c r="C2489" s="215" t="s">
        <v>5601</v>
      </c>
      <c r="D2489" s="215" t="s">
        <v>11876</v>
      </c>
      <c r="E2489" s="215" t="s">
        <v>11876</v>
      </c>
      <c r="F2489" s="215" t="s">
        <v>160</v>
      </c>
      <c r="G2489" s="215" t="s">
        <v>11690</v>
      </c>
      <c r="H2489" s="215" t="s">
        <v>6504</v>
      </c>
      <c r="I2489" s="300"/>
      <c r="J2489" s="300"/>
      <c r="K2489" s="300"/>
      <c r="L2489" s="300"/>
      <c r="M2489" s="300"/>
      <c r="N2489" s="300"/>
      <c r="O2489" s="300"/>
      <c r="P2489" s="300"/>
      <c r="Q2489" s="300"/>
      <c r="R2489" s="300"/>
      <c r="S2489" s="300"/>
      <c r="T2489" s="300"/>
      <c r="U2489" s="300"/>
      <c r="V2489" s="300"/>
      <c r="W2489" s="300"/>
      <c r="X2489" s="300"/>
      <c r="Y2489" s="300"/>
      <c r="Z2489" s="300"/>
    </row>
    <row r="2490" spans="1:26">
      <c r="A2490" s="215" t="s">
        <v>4078</v>
      </c>
      <c r="B2490" s="207">
        <v>827</v>
      </c>
      <c r="C2490" s="215" t="s">
        <v>11877</v>
      </c>
      <c r="D2490" s="215" t="s">
        <v>11878</v>
      </c>
      <c r="E2490" s="215" t="s">
        <v>11879</v>
      </c>
      <c r="F2490" s="215" t="s">
        <v>160</v>
      </c>
      <c r="G2490" s="215" t="s">
        <v>11690</v>
      </c>
      <c r="H2490" s="215" t="s">
        <v>6548</v>
      </c>
      <c r="I2490" s="300"/>
      <c r="J2490" s="300"/>
      <c r="K2490" s="300"/>
      <c r="L2490" s="300"/>
      <c r="M2490" s="300"/>
      <c r="N2490" s="300"/>
      <c r="O2490" s="300"/>
      <c r="P2490" s="300"/>
      <c r="Q2490" s="300"/>
      <c r="R2490" s="300"/>
      <c r="S2490" s="300"/>
      <c r="T2490" s="300"/>
      <c r="U2490" s="300"/>
      <c r="V2490" s="300"/>
      <c r="W2490" s="300"/>
      <c r="X2490" s="300"/>
      <c r="Y2490" s="300"/>
      <c r="Z2490" s="300"/>
    </row>
    <row r="2491" spans="1:26">
      <c r="A2491" s="215" t="s">
        <v>4078</v>
      </c>
      <c r="B2491" s="207">
        <v>828</v>
      </c>
      <c r="C2491" s="215" t="s">
        <v>11880</v>
      </c>
      <c r="D2491" s="215" t="s">
        <v>11881</v>
      </c>
      <c r="E2491" s="215" t="s">
        <v>11881</v>
      </c>
      <c r="F2491" s="215" t="s">
        <v>160</v>
      </c>
      <c r="G2491" s="215" t="s">
        <v>11690</v>
      </c>
      <c r="H2491" s="215" t="s">
        <v>6548</v>
      </c>
      <c r="I2491" s="300"/>
      <c r="J2491" s="300"/>
      <c r="K2491" s="300"/>
      <c r="L2491" s="300"/>
      <c r="M2491" s="300"/>
      <c r="N2491" s="300"/>
      <c r="O2491" s="300"/>
      <c r="P2491" s="300"/>
      <c r="Q2491" s="300"/>
      <c r="R2491" s="300"/>
      <c r="S2491" s="300"/>
      <c r="T2491" s="300"/>
      <c r="U2491" s="300"/>
      <c r="V2491" s="300"/>
      <c r="W2491" s="300"/>
      <c r="X2491" s="300"/>
      <c r="Y2491" s="300"/>
      <c r="Z2491" s="300"/>
    </row>
    <row r="2492" spans="1:26">
      <c r="A2492" s="215" t="s">
        <v>2502</v>
      </c>
      <c r="B2492" s="207">
        <v>829</v>
      </c>
      <c r="C2492" s="215" t="s">
        <v>4782</v>
      </c>
      <c r="D2492" s="215" t="s">
        <v>11882</v>
      </c>
      <c r="E2492" s="215" t="s">
        <v>11882</v>
      </c>
      <c r="F2492" s="215" t="s">
        <v>160</v>
      </c>
      <c r="G2492" s="215" t="s">
        <v>11690</v>
      </c>
      <c r="H2492" s="215" t="s">
        <v>6497</v>
      </c>
      <c r="I2492" s="300"/>
      <c r="J2492" s="300"/>
      <c r="K2492" s="300"/>
      <c r="L2492" s="300"/>
      <c r="M2492" s="300"/>
      <c r="N2492" s="300"/>
      <c r="O2492" s="300"/>
      <c r="P2492" s="300"/>
      <c r="Q2492" s="300"/>
      <c r="R2492" s="300"/>
      <c r="S2492" s="300"/>
      <c r="T2492" s="300"/>
      <c r="U2492" s="300"/>
      <c r="V2492" s="300"/>
      <c r="W2492" s="300"/>
      <c r="X2492" s="300"/>
      <c r="Y2492" s="300"/>
      <c r="Z2492" s="300"/>
    </row>
    <row r="2493" spans="1:26">
      <c r="A2493" s="215" t="s">
        <v>2729</v>
      </c>
      <c r="B2493" s="207">
        <v>830</v>
      </c>
      <c r="C2493" s="215" t="s">
        <v>4886</v>
      </c>
      <c r="D2493" s="215" t="s">
        <v>11883</v>
      </c>
      <c r="E2493" s="215" t="s">
        <v>11883</v>
      </c>
      <c r="F2493" s="215" t="s">
        <v>160</v>
      </c>
      <c r="G2493" s="215" t="s">
        <v>11690</v>
      </c>
      <c r="H2493" s="215" t="s">
        <v>6548</v>
      </c>
      <c r="I2493" s="300"/>
      <c r="J2493" s="300"/>
      <c r="K2493" s="300"/>
      <c r="L2493" s="300"/>
      <c r="M2493" s="300"/>
      <c r="N2493" s="300"/>
      <c r="O2493" s="300"/>
      <c r="P2493" s="300"/>
      <c r="Q2493" s="300"/>
      <c r="R2493" s="300"/>
      <c r="S2493" s="300"/>
      <c r="T2493" s="300"/>
      <c r="U2493" s="300"/>
      <c r="V2493" s="300"/>
      <c r="W2493" s="300"/>
      <c r="X2493" s="300"/>
      <c r="Y2493" s="300"/>
      <c r="Z2493" s="300"/>
    </row>
    <row r="2494" spans="1:26">
      <c r="A2494" s="215" t="s">
        <v>3901</v>
      </c>
      <c r="B2494" s="207">
        <v>831</v>
      </c>
      <c r="C2494" s="215" t="s">
        <v>11884</v>
      </c>
      <c r="D2494" s="215" t="s">
        <v>11885</v>
      </c>
      <c r="E2494" s="215" t="s">
        <v>11886</v>
      </c>
      <c r="F2494" s="215" t="s">
        <v>160</v>
      </c>
      <c r="G2494" s="215" t="s">
        <v>11690</v>
      </c>
      <c r="H2494" s="215" t="s">
        <v>6548</v>
      </c>
      <c r="I2494" s="300"/>
      <c r="J2494" s="300"/>
      <c r="K2494" s="300"/>
      <c r="L2494" s="300"/>
      <c r="M2494" s="300"/>
      <c r="N2494" s="300"/>
      <c r="O2494" s="300"/>
      <c r="P2494" s="300"/>
      <c r="Q2494" s="300"/>
      <c r="R2494" s="300"/>
      <c r="S2494" s="300"/>
      <c r="T2494" s="300"/>
      <c r="U2494" s="300"/>
      <c r="V2494" s="300"/>
      <c r="W2494" s="300"/>
      <c r="X2494" s="300"/>
      <c r="Y2494" s="300"/>
      <c r="Z2494" s="300"/>
    </row>
    <row r="2495" spans="1:26">
      <c r="A2495" s="215" t="s">
        <v>3951</v>
      </c>
      <c r="B2495" s="207">
        <v>832</v>
      </c>
      <c r="C2495" s="215" t="s">
        <v>11887</v>
      </c>
      <c r="D2495" s="215" t="s">
        <v>11888</v>
      </c>
      <c r="E2495" s="215" t="s">
        <v>11889</v>
      </c>
      <c r="F2495" s="215" t="s">
        <v>160</v>
      </c>
      <c r="G2495" s="215" t="s">
        <v>11690</v>
      </c>
      <c r="H2495" s="215" t="s">
        <v>6548</v>
      </c>
      <c r="I2495" s="300"/>
      <c r="J2495" s="300"/>
      <c r="K2495" s="300"/>
      <c r="L2495" s="300"/>
      <c r="M2495" s="300"/>
      <c r="N2495" s="300"/>
      <c r="O2495" s="300"/>
      <c r="P2495" s="300"/>
      <c r="Q2495" s="300"/>
      <c r="R2495" s="300"/>
      <c r="S2495" s="300"/>
      <c r="T2495" s="300"/>
      <c r="U2495" s="300"/>
      <c r="V2495" s="300"/>
      <c r="W2495" s="300"/>
      <c r="X2495" s="300"/>
      <c r="Y2495" s="300"/>
      <c r="Z2495" s="300"/>
    </row>
    <row r="2496" spans="1:26">
      <c r="A2496" s="215" t="s">
        <v>3899</v>
      </c>
      <c r="B2496" s="207">
        <v>833</v>
      </c>
      <c r="C2496" s="215" t="s">
        <v>11890</v>
      </c>
      <c r="D2496" s="215" t="s">
        <v>11891</v>
      </c>
      <c r="E2496" s="215" t="s">
        <v>11891</v>
      </c>
      <c r="F2496" s="215" t="s">
        <v>160</v>
      </c>
      <c r="G2496" s="215" t="s">
        <v>11690</v>
      </c>
      <c r="H2496" s="215" t="s">
        <v>6548</v>
      </c>
      <c r="I2496" s="300"/>
      <c r="J2496" s="300"/>
      <c r="K2496" s="300"/>
      <c r="L2496" s="300"/>
      <c r="M2496" s="300"/>
      <c r="N2496" s="300"/>
      <c r="O2496" s="300"/>
      <c r="P2496" s="300"/>
      <c r="Q2496" s="300"/>
      <c r="R2496" s="300"/>
      <c r="S2496" s="300"/>
      <c r="T2496" s="300"/>
      <c r="U2496" s="300"/>
      <c r="V2496" s="300"/>
      <c r="W2496" s="300"/>
      <c r="X2496" s="300"/>
      <c r="Y2496" s="300"/>
      <c r="Z2496" s="300"/>
    </row>
    <row r="2497" spans="1:26">
      <c r="A2497" s="215" t="s">
        <v>3905</v>
      </c>
      <c r="B2497" s="207">
        <v>834</v>
      </c>
      <c r="C2497" s="215" t="s">
        <v>11892</v>
      </c>
      <c r="D2497" s="215" t="s">
        <v>11893</v>
      </c>
      <c r="E2497" s="215" t="s">
        <v>11894</v>
      </c>
      <c r="F2497" s="215" t="s">
        <v>160</v>
      </c>
      <c r="G2497" s="215" t="s">
        <v>11690</v>
      </c>
      <c r="H2497" s="215" t="s">
        <v>6497</v>
      </c>
      <c r="I2497" s="300"/>
      <c r="J2497" s="300"/>
      <c r="K2497" s="300"/>
      <c r="L2497" s="300"/>
      <c r="M2497" s="300"/>
      <c r="N2497" s="300"/>
      <c r="O2497" s="300"/>
      <c r="P2497" s="300"/>
      <c r="Q2497" s="300"/>
      <c r="R2497" s="300"/>
      <c r="S2497" s="300"/>
      <c r="T2497" s="300"/>
      <c r="U2497" s="300"/>
      <c r="V2497" s="300"/>
      <c r="W2497" s="300"/>
      <c r="X2497" s="300"/>
      <c r="Y2497" s="300"/>
      <c r="Z2497" s="300"/>
    </row>
    <row r="2498" spans="1:26">
      <c r="A2498" s="215" t="s">
        <v>3952</v>
      </c>
      <c r="B2498" s="207">
        <v>835</v>
      </c>
      <c r="C2498" s="215" t="s">
        <v>11895</v>
      </c>
      <c r="D2498" s="215" t="s">
        <v>11896</v>
      </c>
      <c r="E2498" s="215" t="s">
        <v>11896</v>
      </c>
      <c r="F2498" s="215" t="s">
        <v>160</v>
      </c>
      <c r="G2498" s="215" t="s">
        <v>11690</v>
      </c>
      <c r="H2498" s="215" t="s">
        <v>6497</v>
      </c>
      <c r="I2498" s="300"/>
      <c r="J2498" s="300"/>
      <c r="K2498" s="300"/>
      <c r="L2498" s="300"/>
      <c r="M2498" s="300"/>
      <c r="N2498" s="300"/>
      <c r="O2498" s="300"/>
      <c r="P2498" s="300"/>
      <c r="Q2498" s="300"/>
      <c r="R2498" s="300"/>
      <c r="S2498" s="300"/>
      <c r="T2498" s="300"/>
      <c r="U2498" s="300"/>
      <c r="V2498" s="300"/>
      <c r="W2498" s="300"/>
      <c r="X2498" s="300"/>
      <c r="Y2498" s="300"/>
      <c r="Z2498" s="300"/>
    </row>
    <row r="2499" spans="1:26">
      <c r="A2499" s="215" t="s">
        <v>3906</v>
      </c>
      <c r="B2499" s="207">
        <v>836</v>
      </c>
      <c r="C2499" s="215" t="s">
        <v>11897</v>
      </c>
      <c r="D2499" s="215" t="s">
        <v>11898</v>
      </c>
      <c r="E2499" s="215" t="s">
        <v>11899</v>
      </c>
      <c r="F2499" s="215" t="s">
        <v>160</v>
      </c>
      <c r="G2499" s="215" t="s">
        <v>11690</v>
      </c>
      <c r="H2499" s="215" t="s">
        <v>6497</v>
      </c>
      <c r="I2499" s="300"/>
      <c r="J2499" s="300"/>
      <c r="K2499" s="300"/>
      <c r="L2499" s="300"/>
      <c r="M2499" s="300"/>
      <c r="N2499" s="300"/>
      <c r="O2499" s="300"/>
      <c r="P2499" s="300"/>
      <c r="Q2499" s="300"/>
      <c r="R2499" s="300"/>
      <c r="S2499" s="300"/>
      <c r="T2499" s="300"/>
      <c r="U2499" s="300"/>
      <c r="V2499" s="300"/>
      <c r="W2499" s="300"/>
      <c r="X2499" s="300"/>
      <c r="Y2499" s="300"/>
      <c r="Z2499" s="300"/>
    </row>
    <row r="2500" spans="1:26">
      <c r="A2500" s="215" t="s">
        <v>3396</v>
      </c>
      <c r="B2500" s="207">
        <v>837</v>
      </c>
      <c r="C2500" s="215" t="s">
        <v>5521</v>
      </c>
      <c r="D2500" s="215" t="s">
        <v>11900</v>
      </c>
      <c r="E2500" s="215" t="s">
        <v>11900</v>
      </c>
      <c r="F2500" s="215" t="s">
        <v>160</v>
      </c>
      <c r="G2500" s="215" t="s">
        <v>11690</v>
      </c>
      <c r="H2500" s="215" t="s">
        <v>6497</v>
      </c>
      <c r="I2500" s="300"/>
      <c r="J2500" s="300"/>
      <c r="K2500" s="300"/>
      <c r="L2500" s="300"/>
      <c r="M2500" s="300"/>
      <c r="N2500" s="300"/>
      <c r="O2500" s="300"/>
      <c r="P2500" s="300"/>
      <c r="Q2500" s="300"/>
      <c r="R2500" s="300"/>
      <c r="S2500" s="300"/>
      <c r="T2500" s="300"/>
      <c r="U2500" s="300"/>
      <c r="V2500" s="300"/>
      <c r="W2500" s="300"/>
      <c r="X2500" s="300"/>
      <c r="Y2500" s="300"/>
      <c r="Z2500" s="300"/>
    </row>
    <row r="2501" spans="1:26">
      <c r="A2501" s="215" t="s">
        <v>4105</v>
      </c>
      <c r="B2501" s="207">
        <v>838</v>
      </c>
      <c r="C2501" s="215" t="s">
        <v>11901</v>
      </c>
      <c r="D2501" s="215" t="s">
        <v>11902</v>
      </c>
      <c r="E2501" s="215" t="s">
        <v>11902</v>
      </c>
      <c r="F2501" s="215" t="s">
        <v>160</v>
      </c>
      <c r="G2501" s="215" t="s">
        <v>11690</v>
      </c>
      <c r="H2501" s="215" t="s">
        <v>6548</v>
      </c>
      <c r="I2501" s="300"/>
      <c r="J2501" s="300"/>
      <c r="K2501" s="300"/>
      <c r="L2501" s="300"/>
      <c r="M2501" s="300"/>
      <c r="N2501" s="300"/>
      <c r="O2501" s="300"/>
      <c r="P2501" s="300"/>
      <c r="Q2501" s="300"/>
      <c r="R2501" s="300"/>
      <c r="S2501" s="300"/>
      <c r="T2501" s="300"/>
      <c r="U2501" s="300"/>
      <c r="V2501" s="300"/>
      <c r="W2501" s="300"/>
      <c r="X2501" s="300"/>
      <c r="Y2501" s="300"/>
      <c r="Z2501" s="300"/>
    </row>
    <row r="2502" spans="1:26">
      <c r="A2502" s="215" t="s">
        <v>4105</v>
      </c>
      <c r="B2502" s="207">
        <v>839</v>
      </c>
      <c r="C2502" s="215" t="s">
        <v>11903</v>
      </c>
      <c r="D2502" s="215" t="s">
        <v>11904</v>
      </c>
      <c r="E2502" s="215" t="s">
        <v>11904</v>
      </c>
      <c r="F2502" s="215" t="s">
        <v>160</v>
      </c>
      <c r="G2502" s="215" t="s">
        <v>11690</v>
      </c>
      <c r="H2502" s="215" t="s">
        <v>6548</v>
      </c>
      <c r="I2502" s="300"/>
      <c r="J2502" s="300"/>
      <c r="K2502" s="300"/>
      <c r="L2502" s="300"/>
      <c r="M2502" s="300"/>
      <c r="N2502" s="300"/>
      <c r="O2502" s="300"/>
      <c r="P2502" s="300"/>
      <c r="Q2502" s="300"/>
      <c r="R2502" s="300"/>
      <c r="S2502" s="300"/>
      <c r="T2502" s="300"/>
      <c r="U2502" s="300"/>
      <c r="V2502" s="300"/>
      <c r="W2502" s="300"/>
      <c r="X2502" s="300"/>
      <c r="Y2502" s="300"/>
      <c r="Z2502" s="300"/>
    </row>
    <row r="2503" spans="1:26">
      <c r="A2503" s="215" t="s">
        <v>4544</v>
      </c>
      <c r="B2503" s="207">
        <v>840</v>
      </c>
      <c r="C2503" s="215" t="s">
        <v>6456</v>
      </c>
      <c r="D2503" s="215" t="s">
        <v>6456</v>
      </c>
      <c r="E2503" s="215" t="s">
        <v>11905</v>
      </c>
      <c r="F2503" s="215" t="s">
        <v>160</v>
      </c>
      <c r="G2503" s="215" t="s">
        <v>11690</v>
      </c>
      <c r="H2503" s="215" t="s">
        <v>6521</v>
      </c>
      <c r="I2503" s="300"/>
      <c r="J2503" s="300"/>
      <c r="K2503" s="300"/>
      <c r="L2503" s="300"/>
      <c r="M2503" s="300"/>
      <c r="N2503" s="300"/>
      <c r="O2503" s="300"/>
      <c r="P2503" s="300"/>
      <c r="Q2503" s="300"/>
      <c r="R2503" s="300"/>
      <c r="S2503" s="300"/>
      <c r="T2503" s="300"/>
      <c r="U2503" s="300"/>
      <c r="V2503" s="300"/>
      <c r="W2503" s="300"/>
      <c r="X2503" s="300"/>
      <c r="Y2503" s="300"/>
      <c r="Z2503" s="300"/>
    </row>
    <row r="2504" spans="1:26">
      <c r="A2504" s="215" t="s">
        <v>3658</v>
      </c>
      <c r="B2504" s="207">
        <v>841</v>
      </c>
      <c r="C2504" s="215" t="s">
        <v>11906</v>
      </c>
      <c r="D2504" s="215" t="s">
        <v>11907</v>
      </c>
      <c r="E2504" s="215" t="s">
        <v>11908</v>
      </c>
      <c r="F2504" s="215" t="s">
        <v>160</v>
      </c>
      <c r="G2504" s="215" t="s">
        <v>11690</v>
      </c>
      <c r="H2504" s="215" t="s">
        <v>6504</v>
      </c>
      <c r="I2504" s="300"/>
      <c r="J2504" s="300"/>
      <c r="K2504" s="300"/>
      <c r="L2504" s="300"/>
      <c r="M2504" s="300"/>
      <c r="N2504" s="300"/>
      <c r="O2504" s="300"/>
      <c r="P2504" s="300"/>
      <c r="Q2504" s="300"/>
      <c r="R2504" s="300"/>
      <c r="S2504" s="300"/>
      <c r="T2504" s="300"/>
      <c r="U2504" s="300"/>
      <c r="V2504" s="300"/>
      <c r="W2504" s="300"/>
      <c r="X2504" s="300"/>
      <c r="Y2504" s="300"/>
      <c r="Z2504" s="300"/>
    </row>
    <row r="2505" spans="1:26">
      <c r="A2505" s="215" t="s">
        <v>4549</v>
      </c>
      <c r="B2505" s="207">
        <v>842</v>
      </c>
      <c r="C2505" s="215" t="s">
        <v>6461</v>
      </c>
      <c r="D2505" s="215" t="s">
        <v>11909</v>
      </c>
      <c r="E2505" s="215" t="s">
        <v>11909</v>
      </c>
      <c r="F2505" s="215" t="s">
        <v>160</v>
      </c>
      <c r="G2505" s="215" t="s">
        <v>11690</v>
      </c>
      <c r="H2505" s="215" t="s">
        <v>6500</v>
      </c>
      <c r="I2505" s="300"/>
      <c r="J2505" s="300"/>
      <c r="K2505" s="300"/>
      <c r="L2505" s="300"/>
      <c r="M2505" s="300"/>
      <c r="N2505" s="300"/>
      <c r="O2505" s="300"/>
      <c r="P2505" s="300"/>
      <c r="Q2505" s="300"/>
      <c r="R2505" s="300"/>
      <c r="S2505" s="300"/>
      <c r="T2505" s="300"/>
      <c r="U2505" s="300"/>
      <c r="V2505" s="300"/>
      <c r="W2505" s="300"/>
      <c r="X2505" s="300"/>
      <c r="Y2505" s="300"/>
      <c r="Z2505" s="300"/>
    </row>
    <row r="2506" spans="1:26">
      <c r="A2506" s="215" t="s">
        <v>3676</v>
      </c>
      <c r="B2506" s="207">
        <v>843</v>
      </c>
      <c r="C2506" s="215" t="s">
        <v>5764</v>
      </c>
      <c r="D2506" s="215" t="s">
        <v>11910</v>
      </c>
      <c r="E2506" s="215" t="s">
        <v>11910</v>
      </c>
      <c r="F2506" s="215" t="s">
        <v>160</v>
      </c>
      <c r="G2506" s="215" t="s">
        <v>11690</v>
      </c>
      <c r="H2506" s="215" t="s">
        <v>6504</v>
      </c>
      <c r="I2506" s="300"/>
      <c r="J2506" s="300"/>
      <c r="K2506" s="300"/>
      <c r="L2506" s="300"/>
      <c r="M2506" s="300"/>
      <c r="N2506" s="300"/>
      <c r="O2506" s="300"/>
      <c r="P2506" s="300"/>
      <c r="Q2506" s="300"/>
      <c r="R2506" s="300"/>
      <c r="S2506" s="300"/>
      <c r="T2506" s="300"/>
      <c r="U2506" s="300"/>
      <c r="V2506" s="300"/>
      <c r="W2506" s="300"/>
      <c r="X2506" s="300"/>
      <c r="Y2506" s="300"/>
      <c r="Z2506" s="300"/>
    </row>
    <row r="2507" spans="1:26">
      <c r="A2507" s="215" t="s">
        <v>3044</v>
      </c>
      <c r="B2507" s="207">
        <v>844</v>
      </c>
      <c r="C2507" s="215" t="s">
        <v>5179</v>
      </c>
      <c r="D2507" s="215" t="s">
        <v>11911</v>
      </c>
      <c r="E2507" s="215" t="s">
        <v>11912</v>
      </c>
      <c r="F2507" s="215" t="s">
        <v>160</v>
      </c>
      <c r="G2507" s="215" t="s">
        <v>11690</v>
      </c>
      <c r="H2507" s="215" t="s">
        <v>6497</v>
      </c>
      <c r="I2507" s="300"/>
      <c r="J2507" s="300"/>
      <c r="K2507" s="300"/>
      <c r="L2507" s="300"/>
      <c r="M2507" s="300"/>
      <c r="N2507" s="300"/>
      <c r="O2507" s="300"/>
      <c r="P2507" s="300"/>
      <c r="Q2507" s="300"/>
      <c r="R2507" s="300"/>
      <c r="S2507" s="300"/>
      <c r="T2507" s="300"/>
      <c r="U2507" s="300"/>
      <c r="V2507" s="300"/>
      <c r="W2507" s="300"/>
      <c r="X2507" s="300"/>
      <c r="Y2507" s="300"/>
      <c r="Z2507" s="300"/>
    </row>
    <row r="2508" spans="1:26">
      <c r="A2508" s="215" t="s">
        <v>3044</v>
      </c>
      <c r="B2508" s="207">
        <v>845</v>
      </c>
      <c r="C2508" s="215" t="s">
        <v>11913</v>
      </c>
      <c r="D2508" s="215" t="s">
        <v>11914</v>
      </c>
      <c r="E2508" s="215" t="s">
        <v>11915</v>
      </c>
      <c r="F2508" s="215" t="s">
        <v>160</v>
      </c>
      <c r="G2508" s="215" t="s">
        <v>11690</v>
      </c>
      <c r="H2508" s="215" t="s">
        <v>6504</v>
      </c>
      <c r="I2508" s="300"/>
      <c r="J2508" s="300"/>
      <c r="K2508" s="300"/>
      <c r="L2508" s="300"/>
      <c r="M2508" s="300"/>
      <c r="N2508" s="300"/>
      <c r="O2508" s="300"/>
      <c r="P2508" s="300"/>
      <c r="Q2508" s="300"/>
      <c r="R2508" s="300"/>
      <c r="S2508" s="300"/>
      <c r="T2508" s="300"/>
      <c r="U2508" s="300"/>
      <c r="V2508" s="300"/>
      <c r="W2508" s="300"/>
      <c r="X2508" s="300"/>
      <c r="Y2508" s="300"/>
      <c r="Z2508" s="300"/>
    </row>
    <row r="2509" spans="1:26">
      <c r="A2509" s="215" t="s">
        <v>2976</v>
      </c>
      <c r="B2509" s="207">
        <v>846</v>
      </c>
      <c r="C2509" s="215" t="s">
        <v>11916</v>
      </c>
      <c r="D2509" s="215" t="s">
        <v>11917</v>
      </c>
      <c r="E2509" s="215" t="s">
        <v>11917</v>
      </c>
      <c r="F2509" s="215" t="s">
        <v>160</v>
      </c>
      <c r="G2509" s="215" t="s">
        <v>11690</v>
      </c>
      <c r="H2509" s="215" t="s">
        <v>6504</v>
      </c>
      <c r="I2509" s="300"/>
      <c r="J2509" s="300"/>
      <c r="K2509" s="300"/>
      <c r="L2509" s="300"/>
      <c r="M2509" s="300"/>
      <c r="N2509" s="300"/>
      <c r="O2509" s="300"/>
      <c r="P2509" s="300"/>
      <c r="Q2509" s="300"/>
      <c r="R2509" s="300"/>
      <c r="S2509" s="300"/>
      <c r="T2509" s="300"/>
      <c r="U2509" s="300"/>
      <c r="V2509" s="300"/>
      <c r="W2509" s="300"/>
      <c r="X2509" s="300"/>
      <c r="Y2509" s="300"/>
      <c r="Z2509" s="300"/>
    </row>
    <row r="2510" spans="1:26">
      <c r="A2510" s="215" t="s">
        <v>4412</v>
      </c>
      <c r="B2510" s="207">
        <v>848</v>
      </c>
      <c r="C2510" s="215" t="s">
        <v>6353</v>
      </c>
      <c r="D2510" s="215" t="s">
        <v>11918</v>
      </c>
      <c r="E2510" s="215" t="s">
        <v>11918</v>
      </c>
      <c r="F2510" s="215" t="s">
        <v>160</v>
      </c>
      <c r="G2510" s="215" t="s">
        <v>11690</v>
      </c>
      <c r="H2510" s="215" t="s">
        <v>6504</v>
      </c>
      <c r="I2510" s="300"/>
      <c r="J2510" s="300"/>
      <c r="K2510" s="300"/>
      <c r="L2510" s="300"/>
      <c r="M2510" s="300"/>
      <c r="N2510" s="300"/>
      <c r="O2510" s="300"/>
      <c r="P2510" s="300"/>
      <c r="Q2510" s="300"/>
      <c r="R2510" s="300"/>
      <c r="S2510" s="300"/>
      <c r="T2510" s="300"/>
      <c r="U2510" s="300"/>
      <c r="V2510" s="300"/>
      <c r="W2510" s="300"/>
      <c r="X2510" s="300"/>
      <c r="Y2510" s="300"/>
      <c r="Z2510" s="300"/>
    </row>
    <row r="2511" spans="1:26">
      <c r="A2511" s="215" t="s">
        <v>4547</v>
      </c>
      <c r="B2511" s="207">
        <v>849</v>
      </c>
      <c r="C2511" s="215" t="s">
        <v>6459</v>
      </c>
      <c r="D2511" s="215" t="s">
        <v>6927</v>
      </c>
      <c r="E2511" s="215" t="s">
        <v>6927</v>
      </c>
      <c r="F2511" s="215" t="s">
        <v>160</v>
      </c>
      <c r="G2511" s="215" t="s">
        <v>11690</v>
      </c>
      <c r="H2511" s="215" t="s">
        <v>6548</v>
      </c>
      <c r="I2511" s="300"/>
      <c r="J2511" s="300"/>
      <c r="K2511" s="300"/>
      <c r="L2511" s="300"/>
      <c r="M2511" s="300"/>
      <c r="N2511" s="300"/>
      <c r="O2511" s="300"/>
      <c r="P2511" s="300"/>
      <c r="Q2511" s="300"/>
      <c r="R2511" s="300"/>
      <c r="S2511" s="300"/>
      <c r="T2511" s="300"/>
      <c r="U2511" s="300"/>
      <c r="V2511" s="300"/>
      <c r="W2511" s="300"/>
      <c r="X2511" s="300"/>
      <c r="Y2511" s="300"/>
      <c r="Z2511" s="300"/>
    </row>
    <row r="2512" spans="1:26">
      <c r="A2512" s="215" t="s">
        <v>4409</v>
      </c>
      <c r="B2512" s="207">
        <v>850</v>
      </c>
      <c r="C2512" s="215" t="s">
        <v>6351</v>
      </c>
      <c r="D2512" s="215" t="s">
        <v>11919</v>
      </c>
      <c r="E2512" s="215" t="s">
        <v>11919</v>
      </c>
      <c r="F2512" s="215" t="s">
        <v>160</v>
      </c>
      <c r="G2512" s="215" t="s">
        <v>11690</v>
      </c>
      <c r="H2512" s="215" t="s">
        <v>6548</v>
      </c>
      <c r="I2512" s="300"/>
      <c r="J2512" s="300"/>
      <c r="K2512" s="300"/>
      <c r="L2512" s="300"/>
      <c r="M2512" s="300"/>
      <c r="N2512" s="300"/>
      <c r="O2512" s="300"/>
      <c r="P2512" s="300"/>
      <c r="Q2512" s="300"/>
      <c r="R2512" s="300"/>
      <c r="S2512" s="300"/>
      <c r="T2512" s="300"/>
      <c r="U2512" s="300"/>
      <c r="V2512" s="300"/>
      <c r="W2512" s="300"/>
      <c r="X2512" s="300"/>
      <c r="Y2512" s="300"/>
      <c r="Z2512" s="300"/>
    </row>
    <row r="2513" spans="1:26">
      <c r="A2513" s="215" t="s">
        <v>3828</v>
      </c>
      <c r="B2513" s="207">
        <v>852</v>
      </c>
      <c r="C2513" s="215" t="s">
        <v>5903</v>
      </c>
      <c r="D2513" s="215" t="s">
        <v>11920</v>
      </c>
      <c r="E2513" s="215" t="s">
        <v>11920</v>
      </c>
      <c r="F2513" s="215" t="s">
        <v>160</v>
      </c>
      <c r="G2513" s="215" t="s">
        <v>11690</v>
      </c>
      <c r="H2513" s="215" t="s">
        <v>6548</v>
      </c>
      <c r="I2513" s="300"/>
      <c r="J2513" s="300"/>
      <c r="K2513" s="300"/>
      <c r="L2513" s="300"/>
      <c r="M2513" s="300"/>
      <c r="N2513" s="300"/>
      <c r="O2513" s="300"/>
      <c r="P2513" s="300"/>
      <c r="Q2513" s="300"/>
      <c r="R2513" s="300"/>
      <c r="S2513" s="300"/>
      <c r="T2513" s="300"/>
      <c r="U2513" s="300"/>
      <c r="V2513" s="300"/>
      <c r="W2513" s="300"/>
      <c r="X2513" s="300"/>
      <c r="Y2513" s="300"/>
      <c r="Z2513" s="300"/>
    </row>
    <row r="2514" spans="1:26">
      <c r="A2514" s="215" t="s">
        <v>3975</v>
      </c>
      <c r="B2514" s="207">
        <v>853</v>
      </c>
      <c r="C2514" s="215" t="s">
        <v>6010</v>
      </c>
      <c r="D2514" s="215" t="s">
        <v>11921</v>
      </c>
      <c r="E2514" s="215" t="s">
        <v>11921</v>
      </c>
      <c r="F2514" s="215" t="s">
        <v>160</v>
      </c>
      <c r="G2514" s="215" t="s">
        <v>11690</v>
      </c>
      <c r="H2514" s="215" t="s">
        <v>6548</v>
      </c>
      <c r="I2514" s="300"/>
      <c r="J2514" s="300"/>
      <c r="K2514" s="300"/>
      <c r="L2514" s="300"/>
      <c r="M2514" s="300"/>
      <c r="N2514" s="300"/>
      <c r="O2514" s="300"/>
      <c r="P2514" s="300"/>
      <c r="Q2514" s="300"/>
      <c r="R2514" s="300"/>
      <c r="S2514" s="300"/>
      <c r="T2514" s="300"/>
      <c r="U2514" s="300"/>
      <c r="V2514" s="300"/>
      <c r="W2514" s="300"/>
      <c r="X2514" s="300"/>
      <c r="Y2514" s="300"/>
      <c r="Z2514" s="300"/>
    </row>
    <row r="2515" spans="1:26">
      <c r="A2515" s="215" t="s">
        <v>3275</v>
      </c>
      <c r="B2515" s="207">
        <v>854</v>
      </c>
      <c r="C2515" s="215" t="s">
        <v>5403</v>
      </c>
      <c r="D2515" s="215" t="s">
        <v>11922</v>
      </c>
      <c r="E2515" s="215" t="s">
        <v>11922</v>
      </c>
      <c r="F2515" s="215" t="s">
        <v>160</v>
      </c>
      <c r="G2515" s="215" t="s">
        <v>11690</v>
      </c>
      <c r="H2515" s="215" t="s">
        <v>6548</v>
      </c>
      <c r="I2515" s="300"/>
      <c r="J2515" s="300"/>
      <c r="K2515" s="300"/>
      <c r="L2515" s="300"/>
      <c r="M2515" s="300"/>
      <c r="N2515" s="300"/>
      <c r="O2515" s="300"/>
      <c r="P2515" s="300"/>
      <c r="Q2515" s="300"/>
      <c r="R2515" s="300"/>
      <c r="S2515" s="300"/>
      <c r="T2515" s="300"/>
      <c r="U2515" s="300"/>
      <c r="V2515" s="300"/>
      <c r="W2515" s="300"/>
      <c r="X2515" s="300"/>
      <c r="Y2515" s="300"/>
      <c r="Z2515" s="300"/>
    </row>
    <row r="2516" spans="1:26">
      <c r="A2516" s="215" t="s">
        <v>2830</v>
      </c>
      <c r="B2516" s="207">
        <v>855</v>
      </c>
      <c r="C2516" s="215" t="s">
        <v>4994</v>
      </c>
      <c r="D2516" s="215" t="s">
        <v>11923</v>
      </c>
      <c r="E2516" s="215" t="s">
        <v>11923</v>
      </c>
      <c r="F2516" s="215" t="s">
        <v>160</v>
      </c>
      <c r="G2516" s="215" t="s">
        <v>11690</v>
      </c>
      <c r="H2516" s="215" t="s">
        <v>6548</v>
      </c>
      <c r="I2516" s="300"/>
      <c r="J2516" s="300"/>
      <c r="K2516" s="300"/>
      <c r="L2516" s="300"/>
      <c r="M2516" s="300"/>
      <c r="N2516" s="300"/>
      <c r="O2516" s="300"/>
      <c r="P2516" s="300"/>
      <c r="Q2516" s="300"/>
      <c r="R2516" s="300"/>
      <c r="S2516" s="300"/>
      <c r="T2516" s="300"/>
      <c r="U2516" s="300"/>
      <c r="V2516" s="300"/>
      <c r="W2516" s="300"/>
      <c r="X2516" s="300"/>
      <c r="Y2516" s="300"/>
      <c r="Z2516" s="300"/>
    </row>
    <row r="2517" spans="1:26">
      <c r="A2517" s="215" t="s">
        <v>4393</v>
      </c>
      <c r="B2517" s="207">
        <v>856</v>
      </c>
      <c r="C2517" s="215" t="s">
        <v>6334</v>
      </c>
      <c r="D2517" s="215" t="s">
        <v>11924</v>
      </c>
      <c r="E2517" s="215" t="s">
        <v>11924</v>
      </c>
      <c r="F2517" s="215" t="s">
        <v>160</v>
      </c>
      <c r="G2517" s="215" t="s">
        <v>11690</v>
      </c>
      <c r="H2517" s="215" t="s">
        <v>6548</v>
      </c>
      <c r="I2517" s="300"/>
      <c r="J2517" s="300"/>
      <c r="K2517" s="300"/>
      <c r="L2517" s="300"/>
      <c r="M2517" s="300"/>
      <c r="N2517" s="300"/>
      <c r="O2517" s="300"/>
      <c r="P2517" s="300"/>
      <c r="Q2517" s="300"/>
      <c r="R2517" s="300"/>
      <c r="S2517" s="300"/>
      <c r="T2517" s="300"/>
      <c r="U2517" s="300"/>
      <c r="V2517" s="300"/>
      <c r="W2517" s="300"/>
      <c r="X2517" s="300"/>
      <c r="Y2517" s="300"/>
      <c r="Z2517" s="300"/>
    </row>
    <row r="2518" spans="1:26">
      <c r="A2518" s="215" t="s">
        <v>3005</v>
      </c>
      <c r="B2518" s="207">
        <v>857</v>
      </c>
      <c r="C2518" s="215" t="s">
        <v>5145</v>
      </c>
      <c r="D2518" s="215" t="s">
        <v>11925</v>
      </c>
      <c r="E2518" s="215" t="s">
        <v>11926</v>
      </c>
      <c r="F2518" s="215" t="s">
        <v>160</v>
      </c>
      <c r="G2518" s="215" t="s">
        <v>11690</v>
      </c>
      <c r="H2518" s="215" t="s">
        <v>6548</v>
      </c>
      <c r="I2518" s="300"/>
      <c r="J2518" s="300"/>
      <c r="K2518" s="300"/>
      <c r="L2518" s="300"/>
      <c r="M2518" s="300"/>
      <c r="N2518" s="300"/>
      <c r="O2518" s="300"/>
      <c r="P2518" s="300"/>
      <c r="Q2518" s="300"/>
      <c r="R2518" s="300"/>
      <c r="S2518" s="300"/>
      <c r="T2518" s="300"/>
      <c r="U2518" s="300"/>
      <c r="V2518" s="300"/>
      <c r="W2518" s="300"/>
      <c r="X2518" s="300"/>
      <c r="Y2518" s="300"/>
      <c r="Z2518" s="300"/>
    </row>
    <row r="2519" spans="1:26">
      <c r="A2519" s="215" t="s">
        <v>3647</v>
      </c>
      <c r="B2519" s="207">
        <v>858</v>
      </c>
      <c r="C2519" s="215" t="s">
        <v>11927</v>
      </c>
      <c r="D2519" s="215" t="s">
        <v>11928</v>
      </c>
      <c r="E2519" s="215" t="s">
        <v>11928</v>
      </c>
      <c r="F2519" s="215" t="s">
        <v>160</v>
      </c>
      <c r="G2519" s="215" t="s">
        <v>11690</v>
      </c>
      <c r="H2519" s="215" t="s">
        <v>6497</v>
      </c>
      <c r="I2519" s="300"/>
      <c r="J2519" s="300"/>
      <c r="K2519" s="300"/>
      <c r="L2519" s="300"/>
      <c r="M2519" s="300"/>
      <c r="N2519" s="300"/>
      <c r="O2519" s="300"/>
      <c r="P2519" s="300"/>
      <c r="Q2519" s="300"/>
      <c r="R2519" s="300"/>
      <c r="S2519" s="300"/>
      <c r="T2519" s="300"/>
      <c r="U2519" s="300"/>
      <c r="V2519" s="300"/>
      <c r="W2519" s="300"/>
      <c r="X2519" s="300"/>
      <c r="Y2519" s="300"/>
      <c r="Z2519" s="300"/>
    </row>
    <row r="2520" spans="1:26">
      <c r="A2520" s="215" t="s">
        <v>3878</v>
      </c>
      <c r="B2520" s="207">
        <v>859</v>
      </c>
      <c r="C2520" s="215" t="s">
        <v>11929</v>
      </c>
      <c r="D2520" s="215" t="s">
        <v>11930</v>
      </c>
      <c r="E2520" s="215" t="s">
        <v>11931</v>
      </c>
      <c r="F2520" s="215" t="s">
        <v>160</v>
      </c>
      <c r="G2520" s="215" t="s">
        <v>11690</v>
      </c>
      <c r="H2520" s="215" t="s">
        <v>6500</v>
      </c>
      <c r="I2520" s="300"/>
      <c r="J2520" s="300"/>
      <c r="K2520" s="300"/>
      <c r="L2520" s="300"/>
      <c r="M2520" s="300"/>
      <c r="N2520" s="300"/>
      <c r="O2520" s="300"/>
      <c r="P2520" s="300"/>
      <c r="Q2520" s="300"/>
      <c r="R2520" s="300"/>
      <c r="S2520" s="300"/>
      <c r="T2520" s="300"/>
      <c r="U2520" s="300"/>
      <c r="V2520" s="300"/>
      <c r="W2520" s="300"/>
      <c r="X2520" s="300"/>
      <c r="Y2520" s="300"/>
      <c r="Z2520" s="300"/>
    </row>
    <row r="2521" spans="1:26">
      <c r="A2521" s="215" t="s">
        <v>3880</v>
      </c>
      <c r="B2521" s="207">
        <v>860</v>
      </c>
      <c r="C2521" s="215" t="s">
        <v>5945</v>
      </c>
      <c r="D2521" s="215" t="s">
        <v>11932</v>
      </c>
      <c r="E2521" s="215" t="s">
        <v>11932</v>
      </c>
      <c r="F2521" s="215" t="s">
        <v>160</v>
      </c>
      <c r="G2521" s="215" t="s">
        <v>11690</v>
      </c>
      <c r="H2521" s="215" t="s">
        <v>6497</v>
      </c>
      <c r="I2521" s="300"/>
      <c r="J2521" s="300"/>
      <c r="K2521" s="300"/>
      <c r="L2521" s="300"/>
      <c r="M2521" s="300"/>
      <c r="N2521" s="300"/>
      <c r="O2521" s="300"/>
      <c r="P2521" s="300"/>
      <c r="Q2521" s="300"/>
      <c r="R2521" s="300"/>
      <c r="S2521" s="300"/>
      <c r="T2521" s="300"/>
      <c r="U2521" s="300"/>
      <c r="V2521" s="300"/>
      <c r="W2521" s="300"/>
      <c r="X2521" s="300"/>
      <c r="Y2521" s="300"/>
      <c r="Z2521" s="300"/>
    </row>
    <row r="2522" spans="1:26">
      <c r="A2522" s="215" t="s">
        <v>4074</v>
      </c>
      <c r="B2522" s="207">
        <v>861</v>
      </c>
      <c r="C2522" s="215" t="s">
        <v>11933</v>
      </c>
      <c r="D2522" s="215" t="s">
        <v>11934</v>
      </c>
      <c r="E2522" s="215" t="s">
        <v>11934</v>
      </c>
      <c r="F2522" s="215" t="s">
        <v>160</v>
      </c>
      <c r="G2522" s="215" t="s">
        <v>11690</v>
      </c>
      <c r="H2522" s="215" t="s">
        <v>6504</v>
      </c>
      <c r="I2522" s="300"/>
      <c r="J2522" s="300"/>
      <c r="K2522" s="300"/>
      <c r="L2522" s="300"/>
      <c r="M2522" s="300"/>
      <c r="N2522" s="300"/>
      <c r="O2522" s="300"/>
      <c r="P2522" s="300"/>
      <c r="Q2522" s="300"/>
      <c r="R2522" s="300"/>
      <c r="S2522" s="300"/>
      <c r="T2522" s="300"/>
      <c r="U2522" s="300"/>
      <c r="V2522" s="300"/>
      <c r="W2522" s="300"/>
      <c r="X2522" s="300"/>
      <c r="Y2522" s="300"/>
      <c r="Z2522" s="300"/>
    </row>
    <row r="2523" spans="1:26">
      <c r="A2523" s="215" t="s">
        <v>2982</v>
      </c>
      <c r="B2523" s="207">
        <v>862</v>
      </c>
      <c r="C2523" s="215" t="s">
        <v>5132</v>
      </c>
      <c r="D2523" s="215" t="s">
        <v>11935</v>
      </c>
      <c r="E2523" s="215" t="s">
        <v>11935</v>
      </c>
      <c r="F2523" s="215" t="s">
        <v>160</v>
      </c>
      <c r="G2523" s="215" t="s">
        <v>11690</v>
      </c>
      <c r="H2523" s="215" t="s">
        <v>6504</v>
      </c>
      <c r="I2523" s="300"/>
      <c r="J2523" s="300"/>
      <c r="K2523" s="300"/>
      <c r="L2523" s="300"/>
      <c r="M2523" s="300"/>
      <c r="N2523" s="300"/>
      <c r="O2523" s="300"/>
      <c r="P2523" s="300"/>
      <c r="Q2523" s="300"/>
      <c r="R2523" s="300"/>
      <c r="S2523" s="300"/>
      <c r="T2523" s="300"/>
      <c r="U2523" s="300"/>
      <c r="V2523" s="300"/>
      <c r="W2523" s="300"/>
      <c r="X2523" s="300"/>
      <c r="Y2523" s="300"/>
      <c r="Z2523" s="300"/>
    </row>
    <row r="2524" spans="1:26">
      <c r="A2524" s="215" t="s">
        <v>4465</v>
      </c>
      <c r="B2524" s="207">
        <v>863</v>
      </c>
      <c r="C2524" s="215" t="s">
        <v>6392</v>
      </c>
      <c r="D2524" s="215" t="s">
        <v>11936</v>
      </c>
      <c r="E2524" s="215" t="s">
        <v>11936</v>
      </c>
      <c r="F2524" s="215" t="s">
        <v>160</v>
      </c>
      <c r="G2524" s="215" t="s">
        <v>11690</v>
      </c>
      <c r="H2524" s="215" t="s">
        <v>6497</v>
      </c>
      <c r="I2524" s="300"/>
      <c r="J2524" s="300"/>
      <c r="K2524" s="300"/>
      <c r="L2524" s="300"/>
      <c r="M2524" s="300"/>
      <c r="N2524" s="300"/>
      <c r="O2524" s="300"/>
      <c r="P2524" s="300"/>
      <c r="Q2524" s="300"/>
      <c r="R2524" s="300"/>
      <c r="S2524" s="300"/>
      <c r="T2524" s="300"/>
      <c r="U2524" s="300"/>
      <c r="V2524" s="300"/>
      <c r="W2524" s="300"/>
      <c r="X2524" s="300"/>
      <c r="Y2524" s="300"/>
      <c r="Z2524" s="300"/>
    </row>
    <row r="2525" spans="1:26">
      <c r="A2525" s="215" t="s">
        <v>4382</v>
      </c>
      <c r="B2525" s="207">
        <v>864</v>
      </c>
      <c r="C2525" s="215" t="s">
        <v>11937</v>
      </c>
      <c r="D2525" s="215" t="s">
        <v>11938</v>
      </c>
      <c r="E2525" s="215" t="s">
        <v>11939</v>
      </c>
      <c r="F2525" s="215" t="s">
        <v>160</v>
      </c>
      <c r="G2525" s="215" t="s">
        <v>11690</v>
      </c>
      <c r="H2525" s="215" t="s">
        <v>6504</v>
      </c>
      <c r="I2525" s="300"/>
      <c r="J2525" s="300"/>
      <c r="K2525" s="300"/>
      <c r="L2525" s="300"/>
      <c r="M2525" s="300"/>
      <c r="N2525" s="300"/>
      <c r="O2525" s="300"/>
      <c r="P2525" s="300"/>
      <c r="Q2525" s="300"/>
      <c r="R2525" s="300"/>
      <c r="S2525" s="300"/>
      <c r="T2525" s="300"/>
      <c r="U2525" s="300"/>
      <c r="V2525" s="300"/>
      <c r="W2525" s="300"/>
      <c r="X2525" s="300"/>
      <c r="Y2525" s="300"/>
      <c r="Z2525" s="300"/>
    </row>
    <row r="2526" spans="1:26">
      <c r="A2526" s="215" t="s">
        <v>4329</v>
      </c>
      <c r="B2526" s="207">
        <v>865</v>
      </c>
      <c r="C2526" s="215" t="s">
        <v>11940</v>
      </c>
      <c r="D2526" s="215" t="s">
        <v>11941</v>
      </c>
      <c r="E2526" s="215" t="s">
        <v>11941</v>
      </c>
      <c r="F2526" s="215" t="s">
        <v>160</v>
      </c>
      <c r="G2526" s="215" t="s">
        <v>11690</v>
      </c>
      <c r="H2526" s="215" t="s">
        <v>6497</v>
      </c>
      <c r="I2526" s="300"/>
      <c r="J2526" s="300"/>
      <c r="K2526" s="300"/>
      <c r="L2526" s="300"/>
      <c r="M2526" s="300"/>
      <c r="N2526" s="300"/>
      <c r="O2526" s="300"/>
      <c r="P2526" s="300"/>
      <c r="Q2526" s="300"/>
      <c r="R2526" s="300"/>
      <c r="S2526" s="300"/>
      <c r="T2526" s="300"/>
      <c r="U2526" s="300"/>
      <c r="V2526" s="300"/>
      <c r="W2526" s="300"/>
      <c r="X2526" s="300"/>
      <c r="Y2526" s="300"/>
      <c r="Z2526" s="300"/>
    </row>
    <row r="2527" spans="1:26">
      <c r="A2527" s="215" t="s">
        <v>4064</v>
      </c>
      <c r="B2527" s="207">
        <v>866</v>
      </c>
      <c r="C2527" s="215" t="s">
        <v>6083</v>
      </c>
      <c r="D2527" s="215" t="s">
        <v>11942</v>
      </c>
      <c r="E2527" s="215" t="s">
        <v>11942</v>
      </c>
      <c r="F2527" s="215" t="s">
        <v>160</v>
      </c>
      <c r="G2527" s="215" t="s">
        <v>11690</v>
      </c>
      <c r="H2527" s="215" t="s">
        <v>6548</v>
      </c>
      <c r="I2527" s="300"/>
      <c r="J2527" s="300"/>
      <c r="K2527" s="300"/>
      <c r="L2527" s="300"/>
      <c r="M2527" s="300"/>
      <c r="N2527" s="300"/>
      <c r="O2527" s="300"/>
      <c r="P2527" s="300"/>
      <c r="Q2527" s="300"/>
      <c r="R2527" s="300"/>
      <c r="S2527" s="300"/>
      <c r="T2527" s="300"/>
      <c r="U2527" s="300"/>
      <c r="V2527" s="300"/>
      <c r="W2527" s="300"/>
      <c r="X2527" s="300"/>
      <c r="Y2527" s="300"/>
      <c r="Z2527" s="300"/>
    </row>
    <row r="2528" spans="1:26">
      <c r="A2528" s="215" t="s">
        <v>2945</v>
      </c>
      <c r="B2528" s="207">
        <v>867</v>
      </c>
      <c r="C2528" s="215" t="s">
        <v>5102</v>
      </c>
      <c r="D2528" s="215" t="s">
        <v>11943</v>
      </c>
      <c r="E2528" s="215" t="s">
        <v>11943</v>
      </c>
      <c r="F2528" s="215" t="s">
        <v>160</v>
      </c>
      <c r="G2528" s="215" t="s">
        <v>11690</v>
      </c>
      <c r="H2528" s="215" t="s">
        <v>6497</v>
      </c>
      <c r="I2528" s="300"/>
      <c r="J2528" s="300"/>
      <c r="K2528" s="300"/>
      <c r="L2528" s="300"/>
      <c r="M2528" s="300"/>
      <c r="N2528" s="300"/>
      <c r="O2528" s="300"/>
      <c r="P2528" s="300"/>
      <c r="Q2528" s="300"/>
      <c r="R2528" s="300"/>
      <c r="S2528" s="300"/>
      <c r="T2528" s="300"/>
      <c r="U2528" s="300"/>
      <c r="V2528" s="300"/>
      <c r="W2528" s="300"/>
      <c r="X2528" s="300"/>
      <c r="Y2528" s="300"/>
      <c r="Z2528" s="300"/>
    </row>
    <row r="2529" spans="1:26">
      <c r="A2529" s="215" t="s">
        <v>3017</v>
      </c>
      <c r="B2529" s="207">
        <v>868</v>
      </c>
      <c r="C2529" s="215" t="s">
        <v>5152</v>
      </c>
      <c r="D2529" s="215" t="s">
        <v>11944</v>
      </c>
      <c r="E2529" s="215" t="s">
        <v>11945</v>
      </c>
      <c r="F2529" s="215" t="s">
        <v>160</v>
      </c>
      <c r="G2529" s="215" t="s">
        <v>11690</v>
      </c>
      <c r="H2529" s="215" t="s">
        <v>6548</v>
      </c>
      <c r="I2529" s="300"/>
      <c r="J2529" s="300"/>
      <c r="K2529" s="300"/>
      <c r="L2529" s="300"/>
      <c r="M2529" s="300"/>
      <c r="N2529" s="300"/>
      <c r="O2529" s="300"/>
      <c r="P2529" s="300"/>
      <c r="Q2529" s="300"/>
      <c r="R2529" s="300"/>
      <c r="S2529" s="300"/>
      <c r="T2529" s="300"/>
      <c r="U2529" s="300"/>
      <c r="V2529" s="300"/>
      <c r="W2529" s="300"/>
      <c r="X2529" s="300"/>
      <c r="Y2529" s="300"/>
      <c r="Z2529" s="300"/>
    </row>
    <row r="2530" spans="1:26">
      <c r="A2530" s="215" t="s">
        <v>3567</v>
      </c>
      <c r="B2530" s="207">
        <v>869</v>
      </c>
      <c r="C2530" s="215" t="s">
        <v>5675</v>
      </c>
      <c r="D2530" s="215" t="s">
        <v>11946</v>
      </c>
      <c r="E2530" s="215" t="s">
        <v>11946</v>
      </c>
      <c r="F2530" s="215" t="s">
        <v>160</v>
      </c>
      <c r="G2530" s="215" t="s">
        <v>11690</v>
      </c>
      <c r="H2530" s="215" t="s">
        <v>6497</v>
      </c>
      <c r="I2530" s="300"/>
      <c r="J2530" s="300"/>
      <c r="K2530" s="300"/>
      <c r="L2530" s="300"/>
      <c r="M2530" s="300"/>
      <c r="N2530" s="300"/>
      <c r="O2530" s="300"/>
      <c r="P2530" s="300"/>
      <c r="Q2530" s="300"/>
      <c r="R2530" s="300"/>
      <c r="S2530" s="300"/>
      <c r="T2530" s="300"/>
      <c r="U2530" s="300"/>
      <c r="V2530" s="300"/>
      <c r="W2530" s="300"/>
      <c r="X2530" s="300"/>
      <c r="Y2530" s="300"/>
      <c r="Z2530" s="300"/>
    </row>
    <row r="2531" spans="1:26">
      <c r="A2531" s="215" t="s">
        <v>3234</v>
      </c>
      <c r="B2531" s="207">
        <v>870</v>
      </c>
      <c r="C2531" s="215" t="s">
        <v>5366</v>
      </c>
      <c r="D2531" s="215" t="s">
        <v>11947</v>
      </c>
      <c r="E2531" s="215" t="s">
        <v>11948</v>
      </c>
      <c r="F2531" s="215" t="s">
        <v>160</v>
      </c>
      <c r="G2531" s="215" t="s">
        <v>11690</v>
      </c>
      <c r="H2531" s="215" t="s">
        <v>6521</v>
      </c>
      <c r="I2531" s="300"/>
      <c r="J2531" s="300"/>
      <c r="K2531" s="300"/>
      <c r="L2531" s="300"/>
      <c r="M2531" s="300"/>
      <c r="N2531" s="300"/>
      <c r="O2531" s="300"/>
      <c r="P2531" s="300"/>
      <c r="Q2531" s="300"/>
      <c r="R2531" s="300"/>
      <c r="S2531" s="300"/>
      <c r="T2531" s="300"/>
      <c r="U2531" s="300"/>
      <c r="V2531" s="300"/>
      <c r="W2531" s="300"/>
      <c r="X2531" s="300"/>
      <c r="Y2531" s="300"/>
      <c r="Z2531" s="300"/>
    </row>
    <row r="2532" spans="1:26">
      <c r="A2532" s="215" t="s">
        <v>3852</v>
      </c>
      <c r="B2532" s="207">
        <v>871</v>
      </c>
      <c r="C2532" s="215" t="s">
        <v>11949</v>
      </c>
      <c r="D2532" s="215" t="s">
        <v>11950</v>
      </c>
      <c r="E2532" s="215" t="s">
        <v>11951</v>
      </c>
      <c r="F2532" s="215" t="s">
        <v>160</v>
      </c>
      <c r="G2532" s="215" t="s">
        <v>11690</v>
      </c>
      <c r="H2532" s="215" t="s">
        <v>6500</v>
      </c>
      <c r="I2532" s="300"/>
      <c r="J2532" s="300"/>
      <c r="K2532" s="300"/>
      <c r="L2532" s="300"/>
      <c r="M2532" s="300"/>
      <c r="N2532" s="300"/>
      <c r="O2532" s="300"/>
      <c r="P2532" s="300"/>
      <c r="Q2532" s="300"/>
      <c r="R2532" s="300"/>
      <c r="S2532" s="300"/>
      <c r="T2532" s="300"/>
      <c r="U2532" s="300"/>
      <c r="V2532" s="300"/>
      <c r="W2532" s="300"/>
      <c r="X2532" s="300"/>
      <c r="Y2532" s="300"/>
      <c r="Z2532" s="300"/>
    </row>
    <row r="2533" spans="1:26">
      <c r="A2533" s="215" t="s">
        <v>4506</v>
      </c>
      <c r="B2533" s="207">
        <v>872</v>
      </c>
      <c r="C2533" s="215" t="s">
        <v>11952</v>
      </c>
      <c r="D2533" s="215" t="s">
        <v>11953</v>
      </c>
      <c r="E2533" s="215" t="s">
        <v>11954</v>
      </c>
      <c r="F2533" s="215" t="s">
        <v>160</v>
      </c>
      <c r="G2533" s="215" t="s">
        <v>11690</v>
      </c>
      <c r="H2533" s="215" t="s">
        <v>6500</v>
      </c>
      <c r="I2533" s="300"/>
      <c r="J2533" s="300"/>
      <c r="K2533" s="300"/>
      <c r="L2533" s="300"/>
      <c r="M2533" s="300"/>
      <c r="N2533" s="300"/>
      <c r="O2533" s="300"/>
      <c r="P2533" s="300"/>
      <c r="Q2533" s="300"/>
      <c r="R2533" s="300"/>
      <c r="S2533" s="300"/>
      <c r="T2533" s="300"/>
      <c r="U2533" s="300"/>
      <c r="V2533" s="300"/>
      <c r="W2533" s="300"/>
      <c r="X2533" s="300"/>
      <c r="Y2533" s="300"/>
      <c r="Z2533" s="300"/>
    </row>
    <row r="2534" spans="1:26">
      <c r="A2534" s="215" t="s">
        <v>3389</v>
      </c>
      <c r="B2534" s="207">
        <v>873</v>
      </c>
      <c r="C2534" s="215" t="s">
        <v>5512</v>
      </c>
      <c r="D2534" s="215" t="s">
        <v>11955</v>
      </c>
      <c r="E2534" s="215" t="s">
        <v>11956</v>
      </c>
      <c r="F2534" s="215" t="s">
        <v>160</v>
      </c>
      <c r="G2534" s="215" t="s">
        <v>11690</v>
      </c>
      <c r="H2534" s="215" t="s">
        <v>6504</v>
      </c>
      <c r="I2534" s="300"/>
      <c r="J2534" s="300"/>
      <c r="K2534" s="300"/>
      <c r="L2534" s="300"/>
      <c r="M2534" s="300"/>
      <c r="N2534" s="300"/>
      <c r="O2534" s="300"/>
      <c r="P2534" s="300"/>
      <c r="Q2534" s="300"/>
      <c r="R2534" s="300"/>
      <c r="S2534" s="300"/>
      <c r="T2534" s="300"/>
      <c r="U2534" s="300"/>
      <c r="V2534" s="300"/>
      <c r="W2534" s="300"/>
      <c r="X2534" s="300"/>
      <c r="Y2534" s="300"/>
      <c r="Z2534" s="300"/>
    </row>
    <row r="2535" spans="1:26">
      <c r="A2535" s="215" t="s">
        <v>4292</v>
      </c>
      <c r="B2535" s="207">
        <v>874</v>
      </c>
      <c r="C2535" s="215" t="s">
        <v>6253</v>
      </c>
      <c r="D2535" s="215" t="s">
        <v>11957</v>
      </c>
      <c r="E2535" s="215" t="s">
        <v>11958</v>
      </c>
      <c r="F2535" s="215" t="s">
        <v>160</v>
      </c>
      <c r="G2535" s="215" t="s">
        <v>11690</v>
      </c>
      <c r="H2535" s="215" t="s">
        <v>6521</v>
      </c>
      <c r="I2535" s="300"/>
      <c r="J2535" s="300"/>
      <c r="K2535" s="300"/>
      <c r="L2535" s="300"/>
      <c r="M2535" s="300"/>
      <c r="N2535" s="300"/>
      <c r="O2535" s="300"/>
      <c r="P2535" s="300"/>
      <c r="Q2535" s="300"/>
      <c r="R2535" s="300"/>
      <c r="S2535" s="300"/>
      <c r="T2535" s="300"/>
      <c r="U2535" s="300"/>
      <c r="V2535" s="300"/>
      <c r="W2535" s="300"/>
      <c r="X2535" s="300"/>
      <c r="Y2535" s="300"/>
      <c r="Z2535" s="300"/>
    </row>
    <row r="2536" spans="1:26">
      <c r="A2536" s="215" t="s">
        <v>4340</v>
      </c>
      <c r="B2536" s="207">
        <v>875</v>
      </c>
      <c r="C2536" s="215" t="s">
        <v>6292</v>
      </c>
      <c r="D2536" s="215" t="s">
        <v>11959</v>
      </c>
      <c r="E2536" s="215" t="s">
        <v>11959</v>
      </c>
      <c r="F2536" s="215" t="s">
        <v>160</v>
      </c>
      <c r="G2536" s="215" t="s">
        <v>11690</v>
      </c>
      <c r="H2536" s="215" t="s">
        <v>6500</v>
      </c>
      <c r="I2536" s="300"/>
      <c r="J2536" s="300"/>
      <c r="K2536" s="300"/>
      <c r="L2536" s="300"/>
      <c r="M2536" s="300"/>
      <c r="N2536" s="300"/>
      <c r="O2536" s="300"/>
      <c r="P2536" s="300"/>
      <c r="Q2536" s="300"/>
      <c r="R2536" s="300"/>
      <c r="S2536" s="300"/>
      <c r="T2536" s="300"/>
      <c r="U2536" s="300"/>
      <c r="V2536" s="300"/>
      <c r="W2536" s="300"/>
      <c r="X2536" s="300"/>
      <c r="Y2536" s="300"/>
      <c r="Z2536" s="300"/>
    </row>
    <row r="2537" spans="1:26">
      <c r="A2537" s="215" t="s">
        <v>4340</v>
      </c>
      <c r="B2537" s="207">
        <v>876</v>
      </c>
      <c r="C2537" s="215" t="s">
        <v>6291</v>
      </c>
      <c r="D2537" s="215" t="s">
        <v>11960</v>
      </c>
      <c r="E2537" s="215" t="s">
        <v>11960</v>
      </c>
      <c r="F2537" s="215" t="s">
        <v>160</v>
      </c>
      <c r="G2537" s="215" t="s">
        <v>11690</v>
      </c>
      <c r="H2537" s="215" t="s">
        <v>6521</v>
      </c>
      <c r="I2537" s="300"/>
      <c r="J2537" s="300"/>
      <c r="K2537" s="300"/>
      <c r="L2537" s="300"/>
      <c r="M2537" s="300"/>
      <c r="N2537" s="300"/>
      <c r="O2537" s="300"/>
      <c r="P2537" s="300"/>
      <c r="Q2537" s="300"/>
      <c r="R2537" s="300"/>
      <c r="S2537" s="300"/>
      <c r="T2537" s="300"/>
      <c r="U2537" s="300"/>
      <c r="V2537" s="300"/>
      <c r="W2537" s="300"/>
      <c r="X2537" s="300"/>
      <c r="Y2537" s="300"/>
      <c r="Z2537" s="300"/>
    </row>
    <row r="2538" spans="1:26">
      <c r="A2538" s="215" t="s">
        <v>4229</v>
      </c>
      <c r="B2538" s="207">
        <v>877</v>
      </c>
      <c r="C2538" s="215" t="s">
        <v>11961</v>
      </c>
      <c r="D2538" s="215" t="s">
        <v>11962</v>
      </c>
      <c r="E2538" s="215" t="s">
        <v>11963</v>
      </c>
      <c r="F2538" s="215" t="s">
        <v>160</v>
      </c>
      <c r="G2538" s="215" t="s">
        <v>11690</v>
      </c>
      <c r="H2538" s="215" t="s">
        <v>6504</v>
      </c>
      <c r="I2538" s="300"/>
      <c r="J2538" s="300"/>
      <c r="K2538" s="300"/>
      <c r="L2538" s="300"/>
      <c r="M2538" s="300"/>
      <c r="N2538" s="300"/>
      <c r="O2538" s="300"/>
      <c r="P2538" s="300"/>
      <c r="Q2538" s="300"/>
      <c r="R2538" s="300"/>
      <c r="S2538" s="300"/>
      <c r="T2538" s="300"/>
      <c r="U2538" s="300"/>
      <c r="V2538" s="300"/>
      <c r="W2538" s="300"/>
      <c r="X2538" s="300"/>
      <c r="Y2538" s="300"/>
      <c r="Z2538" s="300"/>
    </row>
    <row r="2539" spans="1:26">
      <c r="A2539" s="215" t="s">
        <v>3395</v>
      </c>
      <c r="B2539" s="207">
        <v>878</v>
      </c>
      <c r="C2539" s="215" t="s">
        <v>5520</v>
      </c>
      <c r="D2539" s="215" t="s">
        <v>11964</v>
      </c>
      <c r="E2539" s="215" t="s">
        <v>11965</v>
      </c>
      <c r="F2539" s="215" t="s">
        <v>160</v>
      </c>
      <c r="G2539" s="215" t="s">
        <v>11690</v>
      </c>
      <c r="H2539" s="215" t="s">
        <v>6500</v>
      </c>
      <c r="I2539" s="300"/>
      <c r="J2539" s="300"/>
      <c r="K2539" s="300"/>
      <c r="L2539" s="300"/>
      <c r="M2539" s="300"/>
      <c r="N2539" s="300"/>
      <c r="O2539" s="300"/>
      <c r="P2539" s="300"/>
      <c r="Q2539" s="300"/>
      <c r="R2539" s="300"/>
      <c r="S2539" s="300"/>
      <c r="T2539" s="300"/>
      <c r="U2539" s="300"/>
      <c r="V2539" s="300"/>
      <c r="W2539" s="300"/>
      <c r="X2539" s="300"/>
      <c r="Y2539" s="300"/>
      <c r="Z2539" s="300"/>
    </row>
    <row r="2540" spans="1:26">
      <c r="A2540" s="215"/>
      <c r="B2540" s="207">
        <v>879</v>
      </c>
      <c r="C2540" s="215" t="s">
        <v>5483</v>
      </c>
      <c r="D2540" s="215" t="s">
        <v>11966</v>
      </c>
      <c r="E2540" s="215" t="s">
        <v>11967</v>
      </c>
      <c r="F2540" s="215" t="s">
        <v>160</v>
      </c>
      <c r="G2540" s="215" t="s">
        <v>11690</v>
      </c>
      <c r="H2540" s="215" t="s">
        <v>6500</v>
      </c>
      <c r="I2540" s="300"/>
      <c r="J2540" s="300"/>
      <c r="K2540" s="300"/>
      <c r="L2540" s="300"/>
      <c r="M2540" s="300"/>
      <c r="N2540" s="300"/>
      <c r="O2540" s="300"/>
      <c r="P2540" s="300"/>
      <c r="Q2540" s="300"/>
      <c r="R2540" s="300"/>
      <c r="S2540" s="300"/>
      <c r="T2540" s="300"/>
      <c r="U2540" s="300"/>
      <c r="V2540" s="300"/>
      <c r="W2540" s="300"/>
      <c r="X2540" s="300"/>
      <c r="Y2540" s="300"/>
      <c r="Z2540" s="300"/>
    </row>
    <row r="2541" spans="1:26">
      <c r="A2541" s="215" t="s">
        <v>4580</v>
      </c>
      <c r="B2541" s="207">
        <v>880</v>
      </c>
      <c r="C2541" s="215" t="s">
        <v>6481</v>
      </c>
      <c r="D2541" s="215" t="s">
        <v>11968</v>
      </c>
      <c r="E2541" s="215" t="s">
        <v>11969</v>
      </c>
      <c r="F2541" s="215" t="s">
        <v>160</v>
      </c>
      <c r="G2541" s="215" t="s">
        <v>11690</v>
      </c>
      <c r="H2541" s="215" t="s">
        <v>6521</v>
      </c>
      <c r="I2541" s="300"/>
      <c r="J2541" s="300"/>
      <c r="K2541" s="300"/>
      <c r="L2541" s="300"/>
      <c r="M2541" s="300"/>
      <c r="N2541" s="300"/>
      <c r="O2541" s="300"/>
      <c r="P2541" s="300"/>
      <c r="Q2541" s="300"/>
      <c r="R2541" s="300"/>
      <c r="S2541" s="300"/>
      <c r="T2541" s="300"/>
      <c r="U2541" s="300"/>
      <c r="V2541" s="300"/>
      <c r="W2541" s="300"/>
      <c r="X2541" s="300"/>
      <c r="Y2541" s="300"/>
      <c r="Z2541" s="300"/>
    </row>
    <row r="2542" spans="1:26">
      <c r="A2542" s="215" t="s">
        <v>11970</v>
      </c>
      <c r="B2542" s="207">
        <v>881</v>
      </c>
      <c r="C2542" s="215" t="s">
        <v>11971</v>
      </c>
      <c r="D2542" s="215" t="s">
        <v>11972</v>
      </c>
      <c r="E2542" s="215" t="s">
        <v>11972</v>
      </c>
      <c r="F2542" s="215" t="s">
        <v>160</v>
      </c>
      <c r="G2542" s="215" t="s">
        <v>11690</v>
      </c>
      <c r="H2542" s="215" t="s">
        <v>6548</v>
      </c>
      <c r="I2542" s="300"/>
      <c r="J2542" s="300"/>
      <c r="K2542" s="300"/>
      <c r="L2542" s="300"/>
      <c r="M2542" s="300"/>
      <c r="N2542" s="300"/>
      <c r="O2542" s="300"/>
      <c r="P2542" s="300"/>
      <c r="Q2542" s="300"/>
      <c r="R2542" s="300"/>
      <c r="S2542" s="300"/>
      <c r="T2542" s="300"/>
      <c r="U2542" s="300"/>
      <c r="V2542" s="300"/>
      <c r="W2542" s="300"/>
      <c r="X2542" s="300"/>
      <c r="Y2542" s="300"/>
      <c r="Z2542" s="300"/>
    </row>
    <row r="2543" spans="1:26">
      <c r="A2543" s="215" t="s">
        <v>3220</v>
      </c>
      <c r="B2543" s="207">
        <v>882</v>
      </c>
      <c r="C2543" s="215" t="s">
        <v>5347</v>
      </c>
      <c r="D2543" s="215" t="s">
        <v>11973</v>
      </c>
      <c r="E2543" s="215" t="s">
        <v>11973</v>
      </c>
      <c r="F2543" s="215" t="s">
        <v>160</v>
      </c>
      <c r="G2543" s="215" t="s">
        <v>11690</v>
      </c>
      <c r="H2543" s="215" t="s">
        <v>6500</v>
      </c>
      <c r="I2543" s="300"/>
      <c r="J2543" s="300"/>
      <c r="K2543" s="300"/>
      <c r="L2543" s="300"/>
      <c r="M2543" s="300"/>
      <c r="N2543" s="300"/>
      <c r="O2543" s="300"/>
      <c r="P2543" s="300"/>
      <c r="Q2543" s="300"/>
      <c r="R2543" s="300"/>
      <c r="S2543" s="300"/>
      <c r="T2543" s="300"/>
      <c r="U2543" s="300"/>
      <c r="V2543" s="300"/>
      <c r="W2543" s="300"/>
      <c r="X2543" s="300"/>
      <c r="Y2543" s="300"/>
      <c r="Z2543" s="300"/>
    </row>
    <row r="2544" spans="1:26">
      <c r="A2544" s="215" t="s">
        <v>3000</v>
      </c>
      <c r="B2544" s="207">
        <v>883</v>
      </c>
      <c r="C2544" s="215" t="s">
        <v>5141</v>
      </c>
      <c r="D2544" s="215" t="s">
        <v>11974</v>
      </c>
      <c r="E2544" s="215" t="s">
        <v>11975</v>
      </c>
      <c r="F2544" s="215" t="s">
        <v>160</v>
      </c>
      <c r="G2544" s="215" t="s">
        <v>11690</v>
      </c>
      <c r="H2544" s="215" t="s">
        <v>6500</v>
      </c>
      <c r="I2544" s="300"/>
      <c r="J2544" s="300"/>
      <c r="K2544" s="300"/>
      <c r="L2544" s="300"/>
      <c r="M2544" s="300"/>
      <c r="N2544" s="300"/>
      <c r="O2544" s="300"/>
      <c r="P2544" s="300"/>
      <c r="Q2544" s="300"/>
      <c r="R2544" s="300"/>
      <c r="S2544" s="300"/>
      <c r="T2544" s="300"/>
      <c r="U2544" s="300"/>
      <c r="V2544" s="300"/>
      <c r="W2544" s="300"/>
      <c r="X2544" s="300"/>
      <c r="Y2544" s="300"/>
      <c r="Z2544" s="300"/>
    </row>
    <row r="2545" spans="1:26">
      <c r="A2545" s="215" t="s">
        <v>3617</v>
      </c>
      <c r="B2545" s="207">
        <v>884</v>
      </c>
      <c r="C2545" s="215" t="s">
        <v>5715</v>
      </c>
      <c r="D2545" s="215" t="s">
        <v>11976</v>
      </c>
      <c r="E2545" s="215" t="s">
        <v>11977</v>
      </c>
      <c r="F2545" s="215" t="s">
        <v>160</v>
      </c>
      <c r="G2545" s="215" t="s">
        <v>11690</v>
      </c>
      <c r="H2545" s="215" t="s">
        <v>6497</v>
      </c>
      <c r="I2545" s="300"/>
      <c r="J2545" s="300"/>
      <c r="K2545" s="300"/>
      <c r="L2545" s="300"/>
      <c r="M2545" s="300"/>
      <c r="N2545" s="300"/>
      <c r="O2545" s="300"/>
      <c r="P2545" s="300"/>
      <c r="Q2545" s="300"/>
      <c r="R2545" s="300"/>
      <c r="S2545" s="300"/>
      <c r="T2545" s="300"/>
      <c r="U2545" s="300"/>
      <c r="V2545" s="300"/>
      <c r="W2545" s="300"/>
      <c r="X2545" s="300"/>
      <c r="Y2545" s="300"/>
      <c r="Z2545" s="300"/>
    </row>
    <row r="2546" spans="1:26">
      <c r="A2546" s="215" t="s">
        <v>3026</v>
      </c>
      <c r="B2546" s="207">
        <v>885</v>
      </c>
      <c r="C2546" s="215" t="s">
        <v>5158</v>
      </c>
      <c r="D2546" s="215" t="s">
        <v>11978</v>
      </c>
      <c r="E2546" s="215" t="s">
        <v>11979</v>
      </c>
      <c r="F2546" s="215" t="s">
        <v>160</v>
      </c>
      <c r="G2546" s="215" t="s">
        <v>11690</v>
      </c>
      <c r="H2546" s="215" t="s">
        <v>6521</v>
      </c>
      <c r="I2546" s="300"/>
      <c r="J2546" s="300"/>
      <c r="K2546" s="300"/>
      <c r="L2546" s="300"/>
      <c r="M2546" s="300"/>
      <c r="N2546" s="300"/>
      <c r="O2546" s="300"/>
      <c r="P2546" s="300"/>
      <c r="Q2546" s="300"/>
      <c r="R2546" s="300"/>
      <c r="S2546" s="300"/>
      <c r="T2546" s="300"/>
      <c r="U2546" s="300"/>
      <c r="V2546" s="300"/>
      <c r="W2546" s="300"/>
      <c r="X2546" s="300"/>
      <c r="Y2546" s="300"/>
      <c r="Z2546" s="300"/>
    </row>
    <row r="2547" spans="1:26">
      <c r="A2547" s="215" t="s">
        <v>3844</v>
      </c>
      <c r="B2547" s="207">
        <v>886</v>
      </c>
      <c r="C2547" s="215" t="s">
        <v>5920</v>
      </c>
      <c r="D2547" s="215" t="s">
        <v>11980</v>
      </c>
      <c r="E2547" s="215" t="s">
        <v>11980</v>
      </c>
      <c r="F2547" s="215" t="s">
        <v>160</v>
      </c>
      <c r="G2547" s="215" t="s">
        <v>11690</v>
      </c>
      <c r="H2547" s="215" t="s">
        <v>6497</v>
      </c>
      <c r="I2547" s="300"/>
      <c r="J2547" s="300"/>
      <c r="K2547" s="300"/>
      <c r="L2547" s="300"/>
      <c r="M2547" s="300"/>
      <c r="N2547" s="300"/>
      <c r="O2547" s="300"/>
      <c r="P2547" s="300"/>
      <c r="Q2547" s="300"/>
      <c r="R2547" s="300"/>
      <c r="S2547" s="300"/>
      <c r="T2547" s="300"/>
      <c r="U2547" s="300"/>
      <c r="V2547" s="300"/>
      <c r="W2547" s="300"/>
      <c r="X2547" s="300"/>
      <c r="Y2547" s="300"/>
      <c r="Z2547" s="300"/>
    </row>
    <row r="2548" spans="1:26">
      <c r="A2548" s="215" t="s">
        <v>3862</v>
      </c>
      <c r="B2548" s="207">
        <v>887</v>
      </c>
      <c r="C2548" s="215" t="s">
        <v>2654</v>
      </c>
      <c r="D2548" s="215" t="s">
        <v>11981</v>
      </c>
      <c r="E2548" s="215" t="s">
        <v>11982</v>
      </c>
      <c r="F2548" s="215" t="s">
        <v>160</v>
      </c>
      <c r="G2548" s="215" t="s">
        <v>11690</v>
      </c>
      <c r="H2548" s="215" t="s">
        <v>6497</v>
      </c>
      <c r="I2548" s="300"/>
      <c r="J2548" s="300"/>
      <c r="K2548" s="300"/>
      <c r="L2548" s="300"/>
      <c r="M2548" s="300"/>
      <c r="N2548" s="300"/>
      <c r="O2548" s="300"/>
      <c r="P2548" s="300"/>
      <c r="Q2548" s="300"/>
      <c r="R2548" s="300"/>
      <c r="S2548" s="300"/>
      <c r="T2548" s="300"/>
      <c r="U2548" s="300"/>
      <c r="V2548" s="300"/>
      <c r="W2548" s="300"/>
      <c r="X2548" s="300"/>
      <c r="Y2548" s="300"/>
      <c r="Z2548" s="300"/>
    </row>
    <row r="2549" spans="1:26">
      <c r="A2549" s="215" t="s">
        <v>3276</v>
      </c>
      <c r="B2549" s="207">
        <v>888</v>
      </c>
      <c r="C2549" s="215" t="s">
        <v>5404</v>
      </c>
      <c r="D2549" s="215" t="s">
        <v>11983</v>
      </c>
      <c r="E2549" s="215" t="s">
        <v>11983</v>
      </c>
      <c r="F2549" s="215" t="s">
        <v>160</v>
      </c>
      <c r="G2549" s="215" t="s">
        <v>11690</v>
      </c>
      <c r="H2549" s="215" t="s">
        <v>6548</v>
      </c>
      <c r="I2549" s="300"/>
      <c r="J2549" s="300"/>
      <c r="K2549" s="300"/>
      <c r="L2549" s="300"/>
      <c r="M2549" s="300"/>
      <c r="N2549" s="300"/>
      <c r="O2549" s="300"/>
      <c r="P2549" s="300"/>
      <c r="Q2549" s="300"/>
      <c r="R2549" s="300"/>
      <c r="S2549" s="300"/>
      <c r="T2549" s="300"/>
      <c r="U2549" s="300"/>
      <c r="V2549" s="300"/>
      <c r="W2549" s="300"/>
      <c r="X2549" s="300"/>
      <c r="Y2549" s="300"/>
      <c r="Z2549" s="300"/>
    </row>
    <row r="2550" spans="1:26">
      <c r="A2550" s="215" t="s">
        <v>4427</v>
      </c>
      <c r="B2550" s="207">
        <v>889</v>
      </c>
      <c r="C2550" s="215" t="s">
        <v>11984</v>
      </c>
      <c r="D2550" s="215" t="s">
        <v>11985</v>
      </c>
      <c r="E2550" s="215" t="s">
        <v>11985</v>
      </c>
      <c r="F2550" s="215" t="s">
        <v>160</v>
      </c>
      <c r="G2550" s="215" t="s">
        <v>11690</v>
      </c>
      <c r="H2550" s="215" t="s">
        <v>6504</v>
      </c>
      <c r="I2550" s="300"/>
      <c r="J2550" s="300"/>
      <c r="K2550" s="300"/>
      <c r="L2550" s="300"/>
      <c r="M2550" s="300"/>
      <c r="N2550" s="300"/>
      <c r="O2550" s="300"/>
      <c r="P2550" s="300"/>
      <c r="Q2550" s="300"/>
      <c r="R2550" s="300"/>
      <c r="S2550" s="300"/>
      <c r="T2550" s="300"/>
      <c r="U2550" s="300"/>
      <c r="V2550" s="300"/>
      <c r="W2550" s="300"/>
      <c r="X2550" s="300"/>
      <c r="Y2550" s="300"/>
      <c r="Z2550" s="300"/>
    </row>
    <row r="2551" spans="1:26">
      <c r="A2551" s="215" t="s">
        <v>2940</v>
      </c>
      <c r="B2551" s="207">
        <v>890</v>
      </c>
      <c r="C2551" s="215" t="s">
        <v>5099</v>
      </c>
      <c r="D2551" s="215" t="s">
        <v>11986</v>
      </c>
      <c r="E2551" s="215" t="s">
        <v>11987</v>
      </c>
      <c r="F2551" s="215" t="s">
        <v>160</v>
      </c>
      <c r="G2551" s="215" t="s">
        <v>11690</v>
      </c>
      <c r="H2551" s="215" t="s">
        <v>6548</v>
      </c>
      <c r="I2551" s="300"/>
      <c r="J2551" s="300"/>
      <c r="K2551" s="300"/>
      <c r="L2551" s="300"/>
      <c r="M2551" s="300"/>
      <c r="N2551" s="300"/>
      <c r="O2551" s="300"/>
      <c r="P2551" s="300"/>
      <c r="Q2551" s="300"/>
      <c r="R2551" s="300"/>
      <c r="S2551" s="300"/>
      <c r="T2551" s="300"/>
      <c r="U2551" s="300"/>
      <c r="V2551" s="300"/>
      <c r="W2551" s="300"/>
      <c r="X2551" s="300"/>
      <c r="Y2551" s="300"/>
      <c r="Z2551" s="300"/>
    </row>
    <row r="2552" spans="1:26">
      <c r="A2552" s="215" t="s">
        <v>2703</v>
      </c>
      <c r="B2552" s="207">
        <v>891</v>
      </c>
      <c r="C2552" s="215" t="s">
        <v>4868</v>
      </c>
      <c r="D2552" s="215" t="s">
        <v>11988</v>
      </c>
      <c r="E2552" s="215" t="s">
        <v>11988</v>
      </c>
      <c r="F2552" s="215" t="s">
        <v>160</v>
      </c>
      <c r="G2552" s="215" t="s">
        <v>11690</v>
      </c>
      <c r="H2552" s="215" t="s">
        <v>6497</v>
      </c>
      <c r="I2552" s="300"/>
      <c r="J2552" s="300"/>
      <c r="K2552" s="300"/>
      <c r="L2552" s="300"/>
      <c r="M2552" s="300"/>
      <c r="N2552" s="300"/>
      <c r="O2552" s="300"/>
      <c r="P2552" s="300"/>
      <c r="Q2552" s="300"/>
      <c r="R2552" s="300"/>
      <c r="S2552" s="300"/>
      <c r="T2552" s="300"/>
      <c r="U2552" s="300"/>
      <c r="V2552" s="300"/>
      <c r="W2552" s="300"/>
      <c r="X2552" s="300"/>
      <c r="Y2552" s="300"/>
      <c r="Z2552" s="300"/>
    </row>
    <row r="2553" spans="1:26">
      <c r="A2553" s="215" t="s">
        <v>3882</v>
      </c>
      <c r="B2553" s="207">
        <v>892</v>
      </c>
      <c r="C2553" s="215" t="s">
        <v>5946</v>
      </c>
      <c r="D2553" s="215" t="s">
        <v>11989</v>
      </c>
      <c r="E2553" s="215" t="s">
        <v>11990</v>
      </c>
      <c r="F2553" s="215" t="s">
        <v>160</v>
      </c>
      <c r="G2553" s="215" t="s">
        <v>11690</v>
      </c>
      <c r="H2553" s="215" t="s">
        <v>6497</v>
      </c>
      <c r="I2553" s="300"/>
      <c r="J2553" s="300"/>
      <c r="K2553" s="300"/>
      <c r="L2553" s="300"/>
      <c r="M2553" s="300"/>
      <c r="N2553" s="300"/>
      <c r="O2553" s="300"/>
      <c r="P2553" s="300"/>
      <c r="Q2553" s="300"/>
      <c r="R2553" s="300"/>
      <c r="S2553" s="300"/>
      <c r="T2553" s="300"/>
      <c r="U2553" s="300"/>
      <c r="V2553" s="300"/>
      <c r="W2553" s="300"/>
      <c r="X2553" s="300"/>
      <c r="Y2553" s="300"/>
      <c r="Z2553" s="300"/>
    </row>
    <row r="2554" spans="1:26">
      <c r="A2554" s="215" t="s">
        <v>4424</v>
      </c>
      <c r="B2554" s="207">
        <v>893</v>
      </c>
      <c r="C2554" s="215" t="s">
        <v>6360</v>
      </c>
      <c r="D2554" s="215" t="s">
        <v>11991</v>
      </c>
      <c r="E2554" s="215" t="s">
        <v>11992</v>
      </c>
      <c r="F2554" s="215" t="s">
        <v>160</v>
      </c>
      <c r="G2554" s="215" t="s">
        <v>11690</v>
      </c>
      <c r="H2554" s="215" t="s">
        <v>6497</v>
      </c>
      <c r="I2554" s="300"/>
      <c r="J2554" s="300"/>
      <c r="K2554" s="300"/>
      <c r="L2554" s="300"/>
      <c r="M2554" s="300"/>
      <c r="N2554" s="300"/>
      <c r="O2554" s="300"/>
      <c r="P2554" s="300"/>
      <c r="Q2554" s="300"/>
      <c r="R2554" s="300"/>
      <c r="S2554" s="300"/>
      <c r="T2554" s="300"/>
      <c r="U2554" s="300"/>
      <c r="V2554" s="300"/>
      <c r="W2554" s="300"/>
      <c r="X2554" s="300"/>
      <c r="Y2554" s="300"/>
      <c r="Z2554" s="300"/>
    </row>
    <row r="2555" spans="1:26">
      <c r="A2555" s="215" t="s">
        <v>2904</v>
      </c>
      <c r="B2555" s="207">
        <v>894</v>
      </c>
      <c r="C2555" s="215" t="s">
        <v>5067</v>
      </c>
      <c r="D2555" s="215" t="s">
        <v>11993</v>
      </c>
      <c r="E2555" s="215" t="s">
        <v>11994</v>
      </c>
      <c r="F2555" s="215" t="s">
        <v>160</v>
      </c>
      <c r="G2555" s="215" t="s">
        <v>11690</v>
      </c>
      <c r="H2555" s="215" t="s">
        <v>6497</v>
      </c>
      <c r="I2555" s="300"/>
      <c r="J2555" s="300"/>
      <c r="K2555" s="300"/>
      <c r="L2555" s="300"/>
      <c r="M2555" s="300"/>
      <c r="N2555" s="300"/>
      <c r="O2555" s="300"/>
      <c r="P2555" s="300"/>
      <c r="Q2555" s="300"/>
      <c r="R2555" s="300"/>
      <c r="S2555" s="300"/>
      <c r="T2555" s="300"/>
      <c r="U2555" s="300"/>
      <c r="V2555" s="300"/>
      <c r="W2555" s="300"/>
      <c r="X2555" s="300"/>
      <c r="Y2555" s="300"/>
      <c r="Z2555" s="300"/>
    </row>
    <row r="2556" spans="1:26">
      <c r="A2556" s="215" t="s">
        <v>2947</v>
      </c>
      <c r="B2556" s="207">
        <v>896</v>
      </c>
      <c r="C2556" s="215" t="s">
        <v>11995</v>
      </c>
      <c r="D2556" s="215" t="s">
        <v>11996</v>
      </c>
      <c r="E2556" s="215" t="s">
        <v>11997</v>
      </c>
      <c r="F2556" s="215" t="s">
        <v>160</v>
      </c>
      <c r="G2556" s="215" t="s">
        <v>11690</v>
      </c>
      <c r="H2556" s="215" t="s">
        <v>6521</v>
      </c>
      <c r="I2556" s="300"/>
      <c r="J2556" s="300"/>
      <c r="K2556" s="300"/>
      <c r="L2556" s="300"/>
      <c r="M2556" s="300"/>
      <c r="N2556" s="300"/>
      <c r="O2556" s="300"/>
      <c r="P2556" s="300"/>
      <c r="Q2556" s="300"/>
      <c r="R2556" s="300"/>
      <c r="S2556" s="300"/>
      <c r="T2556" s="300"/>
      <c r="U2556" s="300"/>
      <c r="V2556" s="300"/>
      <c r="W2556" s="300"/>
      <c r="X2556" s="300"/>
      <c r="Y2556" s="300"/>
      <c r="Z2556" s="300"/>
    </row>
    <row r="2557" spans="1:26">
      <c r="A2557" s="215" t="s">
        <v>2954</v>
      </c>
      <c r="B2557" s="207">
        <v>897</v>
      </c>
      <c r="C2557" s="215" t="s">
        <v>5106</v>
      </c>
      <c r="D2557" s="215" t="s">
        <v>11998</v>
      </c>
      <c r="E2557" s="215" t="s">
        <v>11999</v>
      </c>
      <c r="F2557" s="215" t="s">
        <v>160</v>
      </c>
      <c r="G2557" s="215" t="s">
        <v>11690</v>
      </c>
      <c r="H2557" s="215" t="s">
        <v>6504</v>
      </c>
      <c r="I2557" s="300"/>
      <c r="J2557" s="300"/>
      <c r="K2557" s="300"/>
      <c r="L2557" s="300"/>
      <c r="M2557" s="300"/>
      <c r="N2557" s="300"/>
      <c r="O2557" s="300"/>
      <c r="P2557" s="300"/>
      <c r="Q2557" s="300"/>
      <c r="R2557" s="300"/>
      <c r="S2557" s="300"/>
      <c r="T2557" s="300"/>
      <c r="U2557" s="300"/>
      <c r="V2557" s="300"/>
      <c r="W2557" s="300"/>
      <c r="X2557" s="300"/>
      <c r="Y2557" s="300"/>
      <c r="Z2557" s="300"/>
    </row>
    <row r="2558" spans="1:26">
      <c r="A2558" s="215" t="s">
        <v>2652</v>
      </c>
      <c r="B2558" s="207">
        <v>898</v>
      </c>
      <c r="C2558" s="215" t="s">
        <v>4827</v>
      </c>
      <c r="D2558" s="215" t="s">
        <v>12000</v>
      </c>
      <c r="E2558" s="215" t="s">
        <v>12001</v>
      </c>
      <c r="F2558" s="215" t="s">
        <v>160</v>
      </c>
      <c r="G2558" s="215" t="s">
        <v>11690</v>
      </c>
      <c r="H2558" s="215" t="s">
        <v>6500</v>
      </c>
      <c r="I2558" s="300"/>
      <c r="J2558" s="300"/>
      <c r="K2558" s="300"/>
      <c r="L2558" s="300"/>
      <c r="M2558" s="300"/>
      <c r="N2558" s="300"/>
      <c r="O2558" s="300"/>
      <c r="P2558" s="300"/>
      <c r="Q2558" s="300"/>
      <c r="R2558" s="300"/>
      <c r="S2558" s="300"/>
      <c r="T2558" s="300"/>
      <c r="U2558" s="300"/>
      <c r="V2558" s="300"/>
      <c r="W2558" s="300"/>
      <c r="X2558" s="300"/>
      <c r="Y2558" s="300"/>
      <c r="Z2558" s="300"/>
    </row>
    <row r="2559" spans="1:26">
      <c r="A2559" s="215" t="s">
        <v>2966</v>
      </c>
      <c r="B2559" s="207">
        <v>899</v>
      </c>
      <c r="C2559" s="215" t="s">
        <v>12002</v>
      </c>
      <c r="D2559" s="215" t="s">
        <v>12003</v>
      </c>
      <c r="E2559" s="215" t="s">
        <v>12004</v>
      </c>
      <c r="F2559" s="215" t="s">
        <v>160</v>
      </c>
      <c r="G2559" s="215" t="s">
        <v>11690</v>
      </c>
      <c r="H2559" s="215" t="s">
        <v>6500</v>
      </c>
      <c r="I2559" s="300"/>
      <c r="J2559" s="300"/>
      <c r="K2559" s="300"/>
      <c r="L2559" s="300"/>
      <c r="M2559" s="300"/>
      <c r="N2559" s="300"/>
      <c r="O2559" s="300"/>
      <c r="P2559" s="300"/>
      <c r="Q2559" s="300"/>
      <c r="R2559" s="300"/>
      <c r="S2559" s="300"/>
      <c r="T2559" s="300"/>
      <c r="U2559" s="300"/>
      <c r="V2559" s="300"/>
      <c r="W2559" s="300"/>
      <c r="X2559" s="300"/>
      <c r="Y2559" s="300"/>
      <c r="Z2559" s="300"/>
    </row>
    <row r="2560" spans="1:26">
      <c r="A2560" s="215" t="s">
        <v>3695</v>
      </c>
      <c r="B2560" s="207">
        <v>900</v>
      </c>
      <c r="C2560" s="215" t="s">
        <v>5783</v>
      </c>
      <c r="D2560" s="215" t="s">
        <v>12005</v>
      </c>
      <c r="E2560" s="215" t="s">
        <v>12006</v>
      </c>
      <c r="F2560" s="215" t="s">
        <v>160</v>
      </c>
      <c r="G2560" s="215" t="s">
        <v>11690</v>
      </c>
      <c r="H2560" s="215" t="s">
        <v>6500</v>
      </c>
      <c r="I2560" s="300"/>
      <c r="J2560" s="300"/>
      <c r="K2560" s="300"/>
      <c r="L2560" s="300"/>
      <c r="M2560" s="300"/>
      <c r="N2560" s="300"/>
      <c r="O2560" s="300"/>
      <c r="P2560" s="300"/>
      <c r="Q2560" s="300"/>
      <c r="R2560" s="300"/>
      <c r="S2560" s="300"/>
      <c r="T2560" s="300"/>
      <c r="U2560" s="300"/>
      <c r="V2560" s="300"/>
      <c r="W2560" s="300"/>
      <c r="X2560" s="300"/>
      <c r="Y2560" s="300"/>
      <c r="Z2560" s="300"/>
    </row>
    <row r="2561" spans="1:26">
      <c r="A2561" s="215" t="s">
        <v>3743</v>
      </c>
      <c r="B2561" s="207">
        <v>901</v>
      </c>
      <c r="C2561" s="215" t="s">
        <v>5823</v>
      </c>
      <c r="D2561" s="215" t="s">
        <v>12007</v>
      </c>
      <c r="E2561" s="215" t="s">
        <v>12008</v>
      </c>
      <c r="F2561" s="215" t="s">
        <v>160</v>
      </c>
      <c r="G2561" s="215" t="s">
        <v>11690</v>
      </c>
      <c r="H2561" s="215" t="s">
        <v>6548</v>
      </c>
      <c r="I2561" s="300"/>
      <c r="J2561" s="300"/>
      <c r="K2561" s="300"/>
      <c r="L2561" s="300"/>
      <c r="M2561" s="300"/>
      <c r="N2561" s="300"/>
      <c r="O2561" s="300"/>
      <c r="P2561" s="300"/>
      <c r="Q2561" s="300"/>
      <c r="R2561" s="300"/>
      <c r="S2561" s="300"/>
      <c r="T2561" s="300"/>
      <c r="U2561" s="300"/>
      <c r="V2561" s="300"/>
      <c r="W2561" s="300"/>
      <c r="X2561" s="300"/>
      <c r="Y2561" s="300"/>
      <c r="Z2561" s="300"/>
    </row>
    <row r="2562" spans="1:26">
      <c r="A2562" s="215" t="s">
        <v>4543</v>
      </c>
      <c r="B2562" s="207">
        <v>902</v>
      </c>
      <c r="C2562" s="215" t="s">
        <v>6453</v>
      </c>
      <c r="D2562" s="215" t="s">
        <v>12009</v>
      </c>
      <c r="E2562" s="215" t="s">
        <v>12009</v>
      </c>
      <c r="F2562" s="215" t="s">
        <v>160</v>
      </c>
      <c r="G2562" s="215" t="s">
        <v>11690</v>
      </c>
      <c r="H2562" s="215" t="s">
        <v>6497</v>
      </c>
      <c r="I2562" s="300"/>
      <c r="J2562" s="300"/>
      <c r="K2562" s="300"/>
      <c r="L2562" s="300"/>
      <c r="M2562" s="300"/>
      <c r="N2562" s="300"/>
      <c r="O2562" s="300"/>
      <c r="P2562" s="300"/>
      <c r="Q2562" s="300"/>
      <c r="R2562" s="300"/>
      <c r="S2562" s="300"/>
      <c r="T2562" s="300"/>
      <c r="U2562" s="300"/>
      <c r="V2562" s="300"/>
      <c r="W2562" s="300"/>
      <c r="X2562" s="300"/>
      <c r="Y2562" s="300"/>
      <c r="Z2562" s="300"/>
    </row>
    <row r="2563" spans="1:26">
      <c r="A2563" s="215" t="s">
        <v>2949</v>
      </c>
      <c r="B2563" s="207">
        <v>903</v>
      </c>
      <c r="C2563" s="215" t="s">
        <v>12010</v>
      </c>
      <c r="D2563" s="215" t="s">
        <v>12011</v>
      </c>
      <c r="E2563" s="215" t="s">
        <v>12012</v>
      </c>
      <c r="F2563" s="215" t="s">
        <v>160</v>
      </c>
      <c r="G2563" s="215" t="s">
        <v>11690</v>
      </c>
      <c r="H2563" s="215" t="s">
        <v>6500</v>
      </c>
      <c r="I2563" s="300"/>
      <c r="J2563" s="300"/>
      <c r="K2563" s="300"/>
      <c r="L2563" s="300"/>
      <c r="M2563" s="300"/>
      <c r="N2563" s="300"/>
      <c r="O2563" s="300"/>
      <c r="P2563" s="300"/>
      <c r="Q2563" s="300"/>
      <c r="R2563" s="300"/>
      <c r="S2563" s="300"/>
      <c r="T2563" s="300"/>
      <c r="U2563" s="300"/>
      <c r="V2563" s="300"/>
      <c r="W2563" s="300"/>
      <c r="X2563" s="300"/>
      <c r="Y2563" s="300"/>
      <c r="Z2563" s="300"/>
    </row>
    <row r="2564" spans="1:26">
      <c r="A2564" s="215" t="s">
        <v>3794</v>
      </c>
      <c r="B2564" s="207">
        <v>958</v>
      </c>
      <c r="C2564" s="215" t="s">
        <v>5868</v>
      </c>
      <c r="D2564" s="215" t="s">
        <v>12013</v>
      </c>
      <c r="E2564" s="215" t="s">
        <v>12014</v>
      </c>
      <c r="F2564" s="215" t="s">
        <v>160</v>
      </c>
      <c r="G2564" s="215" t="s">
        <v>11690</v>
      </c>
      <c r="H2564" s="215" t="s">
        <v>6548</v>
      </c>
      <c r="I2564" s="300"/>
      <c r="J2564" s="300"/>
      <c r="K2564" s="300"/>
      <c r="L2564" s="300"/>
      <c r="M2564" s="300"/>
      <c r="N2564" s="300"/>
      <c r="O2564" s="300"/>
      <c r="P2564" s="300"/>
      <c r="Q2564" s="300"/>
      <c r="R2564" s="300"/>
      <c r="S2564" s="300"/>
      <c r="T2564" s="300"/>
      <c r="U2564" s="300"/>
      <c r="V2564" s="300"/>
      <c r="W2564" s="300"/>
      <c r="X2564" s="300"/>
      <c r="Y2564" s="300"/>
      <c r="Z2564" s="300"/>
    </row>
    <row r="2565" spans="1:26">
      <c r="A2565" s="215" t="s">
        <v>3115</v>
      </c>
      <c r="B2565" s="207">
        <v>959</v>
      </c>
      <c r="C2565" s="215" t="s">
        <v>12015</v>
      </c>
      <c r="D2565" s="215" t="s">
        <v>12016</v>
      </c>
      <c r="E2565" s="215" t="s">
        <v>12017</v>
      </c>
      <c r="F2565" s="215" t="s">
        <v>160</v>
      </c>
      <c r="G2565" s="215" t="s">
        <v>11690</v>
      </c>
      <c r="H2565" s="215" t="s">
        <v>6497</v>
      </c>
      <c r="I2565" s="300"/>
      <c r="J2565" s="300"/>
      <c r="K2565" s="300"/>
      <c r="L2565" s="300"/>
      <c r="M2565" s="300"/>
      <c r="N2565" s="300"/>
      <c r="O2565" s="300"/>
      <c r="P2565" s="300"/>
      <c r="Q2565" s="300"/>
      <c r="R2565" s="300"/>
      <c r="S2565" s="300"/>
      <c r="T2565" s="300"/>
      <c r="U2565" s="300"/>
      <c r="V2565" s="300"/>
      <c r="W2565" s="300"/>
      <c r="X2565" s="300"/>
      <c r="Y2565" s="300"/>
      <c r="Z2565" s="300"/>
    </row>
    <row r="2566" spans="1:26">
      <c r="A2566" s="215" t="s">
        <v>3115</v>
      </c>
      <c r="B2566" s="207">
        <v>960</v>
      </c>
      <c r="C2566" s="215" t="s">
        <v>5249</v>
      </c>
      <c r="D2566" s="215" t="s">
        <v>12018</v>
      </c>
      <c r="E2566" s="215" t="s">
        <v>12018</v>
      </c>
      <c r="F2566" s="215" t="s">
        <v>160</v>
      </c>
      <c r="G2566" s="215" t="s">
        <v>11690</v>
      </c>
      <c r="H2566" s="215" t="s">
        <v>6497</v>
      </c>
      <c r="I2566" s="300"/>
      <c r="J2566" s="300"/>
      <c r="K2566" s="300"/>
      <c r="L2566" s="300"/>
      <c r="M2566" s="300"/>
      <c r="N2566" s="300"/>
      <c r="O2566" s="300"/>
      <c r="P2566" s="300"/>
      <c r="Q2566" s="300"/>
      <c r="R2566" s="300"/>
      <c r="S2566" s="300"/>
      <c r="T2566" s="300"/>
      <c r="U2566" s="300"/>
      <c r="V2566" s="300"/>
      <c r="W2566" s="300"/>
      <c r="X2566" s="300"/>
      <c r="Y2566" s="300"/>
      <c r="Z2566" s="300"/>
    </row>
    <row r="2567" spans="1:26">
      <c r="A2567" s="215" t="s">
        <v>3658</v>
      </c>
      <c r="B2567" s="207">
        <v>1030</v>
      </c>
      <c r="C2567" s="215" t="s">
        <v>12019</v>
      </c>
      <c r="D2567" s="215" t="s">
        <v>12020</v>
      </c>
      <c r="E2567" s="215" t="s">
        <v>12020</v>
      </c>
      <c r="F2567" s="215" t="s">
        <v>160</v>
      </c>
      <c r="G2567" s="215" t="s">
        <v>11690</v>
      </c>
      <c r="H2567" s="215" t="s">
        <v>6504</v>
      </c>
      <c r="I2567" s="300"/>
      <c r="J2567" s="300"/>
      <c r="K2567" s="300"/>
      <c r="L2567" s="300"/>
      <c r="M2567" s="300"/>
      <c r="N2567" s="300"/>
      <c r="O2567" s="300"/>
      <c r="P2567" s="300"/>
      <c r="Q2567" s="300"/>
      <c r="R2567" s="300"/>
      <c r="S2567" s="300"/>
      <c r="T2567" s="300"/>
      <c r="U2567" s="300"/>
      <c r="V2567" s="300"/>
      <c r="W2567" s="300"/>
      <c r="X2567" s="300"/>
      <c r="Y2567" s="300"/>
      <c r="Z2567" s="300"/>
    </row>
    <row r="2568" spans="1:26">
      <c r="A2568" s="215" t="s">
        <v>4544</v>
      </c>
      <c r="B2568" s="207">
        <v>1031</v>
      </c>
      <c r="C2568" s="215" t="s">
        <v>6455</v>
      </c>
      <c r="D2568" s="215" t="s">
        <v>12021</v>
      </c>
      <c r="E2568" s="215" t="s">
        <v>12022</v>
      </c>
      <c r="F2568" s="215" t="s">
        <v>160</v>
      </c>
      <c r="G2568" s="215" t="s">
        <v>11690</v>
      </c>
      <c r="H2568" s="215" t="s">
        <v>6521</v>
      </c>
      <c r="I2568" s="300"/>
      <c r="J2568" s="300"/>
      <c r="K2568" s="300"/>
      <c r="L2568" s="300"/>
      <c r="M2568" s="300"/>
      <c r="N2568" s="300"/>
      <c r="O2568" s="300"/>
      <c r="P2568" s="300"/>
      <c r="Q2568" s="300"/>
      <c r="R2568" s="300"/>
      <c r="S2568" s="300"/>
      <c r="T2568" s="300"/>
      <c r="U2568" s="300"/>
      <c r="V2568" s="300"/>
      <c r="W2568" s="300"/>
      <c r="X2568" s="300"/>
      <c r="Y2568" s="300"/>
      <c r="Z2568" s="300"/>
    </row>
    <row r="2569" spans="1:26">
      <c r="A2569" s="215" t="s">
        <v>4544</v>
      </c>
      <c r="B2569" s="207">
        <v>1032</v>
      </c>
      <c r="C2569" s="215" t="s">
        <v>6454</v>
      </c>
      <c r="D2569" s="215" t="s">
        <v>12023</v>
      </c>
      <c r="E2569" s="215" t="s">
        <v>12024</v>
      </c>
      <c r="F2569" s="215" t="s">
        <v>160</v>
      </c>
      <c r="G2569" s="215" t="s">
        <v>11690</v>
      </c>
      <c r="H2569" s="215" t="s">
        <v>6500</v>
      </c>
      <c r="I2569" s="300"/>
      <c r="J2569" s="300"/>
      <c r="K2569" s="300"/>
      <c r="L2569" s="300"/>
      <c r="M2569" s="300"/>
      <c r="N2569" s="300"/>
      <c r="O2569" s="300"/>
      <c r="P2569" s="300"/>
      <c r="Q2569" s="300"/>
      <c r="R2569" s="300"/>
      <c r="S2569" s="300"/>
      <c r="T2569" s="300"/>
      <c r="U2569" s="300"/>
      <c r="V2569" s="300"/>
      <c r="W2569" s="300"/>
      <c r="X2569" s="300"/>
      <c r="Y2569" s="300"/>
      <c r="Z2569" s="300"/>
    </row>
    <row r="2570" spans="1:26">
      <c r="A2570" s="215" t="s">
        <v>4544</v>
      </c>
      <c r="B2570" s="207">
        <v>1034</v>
      </c>
      <c r="C2570" s="215" t="s">
        <v>6457</v>
      </c>
      <c r="D2570" s="215" t="s">
        <v>12025</v>
      </c>
      <c r="E2570" s="215" t="s">
        <v>12026</v>
      </c>
      <c r="F2570" s="215" t="s">
        <v>160</v>
      </c>
      <c r="G2570" s="215" t="s">
        <v>11690</v>
      </c>
      <c r="H2570" s="215" t="s">
        <v>6504</v>
      </c>
      <c r="I2570" s="300"/>
      <c r="J2570" s="300"/>
      <c r="K2570" s="300"/>
      <c r="L2570" s="300"/>
      <c r="M2570" s="300"/>
      <c r="N2570" s="300"/>
      <c r="O2570" s="300"/>
      <c r="P2570" s="300"/>
      <c r="Q2570" s="300"/>
      <c r="R2570" s="300"/>
      <c r="S2570" s="300"/>
      <c r="T2570" s="300"/>
      <c r="U2570" s="300"/>
      <c r="V2570" s="300"/>
      <c r="W2570" s="300"/>
      <c r="X2570" s="300"/>
      <c r="Y2570" s="300"/>
      <c r="Z2570" s="300"/>
    </row>
    <row r="2571" spans="1:26">
      <c r="A2571" s="215" t="s">
        <v>3652</v>
      </c>
      <c r="B2571" s="207">
        <v>1242</v>
      </c>
      <c r="C2571" s="215" t="s">
        <v>12027</v>
      </c>
      <c r="D2571" s="215" t="s">
        <v>12028</v>
      </c>
      <c r="E2571" s="215" t="s">
        <v>12029</v>
      </c>
      <c r="F2571" s="215" t="s">
        <v>160</v>
      </c>
      <c r="G2571" s="215" t="s">
        <v>11690</v>
      </c>
      <c r="H2571" s="215" t="s">
        <v>6500</v>
      </c>
      <c r="I2571" s="300"/>
      <c r="J2571" s="300"/>
      <c r="K2571" s="300"/>
      <c r="L2571" s="300"/>
      <c r="M2571" s="300"/>
      <c r="N2571" s="300"/>
      <c r="O2571" s="300"/>
      <c r="P2571" s="300"/>
      <c r="Q2571" s="300"/>
      <c r="R2571" s="300"/>
      <c r="S2571" s="300"/>
      <c r="T2571" s="300"/>
      <c r="U2571" s="300"/>
      <c r="V2571" s="300"/>
      <c r="W2571" s="300"/>
      <c r="X2571" s="300"/>
      <c r="Y2571" s="300"/>
      <c r="Z2571" s="300"/>
    </row>
    <row r="2572" spans="1:26">
      <c r="A2572" s="215" t="s">
        <v>3652</v>
      </c>
      <c r="B2572" s="207">
        <v>1243</v>
      </c>
      <c r="C2572" s="215" t="s">
        <v>12030</v>
      </c>
      <c r="D2572" s="215" t="s">
        <v>12031</v>
      </c>
      <c r="E2572" s="215" t="s">
        <v>12032</v>
      </c>
      <c r="F2572" s="215" t="s">
        <v>160</v>
      </c>
      <c r="G2572" s="215" t="s">
        <v>11690</v>
      </c>
      <c r="H2572" s="215" t="s">
        <v>6500</v>
      </c>
      <c r="I2572" s="300"/>
      <c r="J2572" s="300"/>
      <c r="K2572" s="300"/>
      <c r="L2572" s="300"/>
      <c r="M2572" s="300"/>
      <c r="N2572" s="300"/>
      <c r="O2572" s="300"/>
      <c r="P2572" s="300"/>
      <c r="Q2572" s="300"/>
      <c r="R2572" s="300"/>
      <c r="S2572" s="300"/>
      <c r="T2572" s="300"/>
      <c r="U2572" s="300"/>
      <c r="V2572" s="300"/>
      <c r="W2572" s="300"/>
      <c r="X2572" s="300"/>
      <c r="Y2572" s="300"/>
      <c r="Z2572" s="300"/>
    </row>
    <row r="2573" spans="1:26">
      <c r="A2573" s="215" t="s">
        <v>3101</v>
      </c>
      <c r="B2573" s="207">
        <v>1372</v>
      </c>
      <c r="C2573" s="215" t="s">
        <v>12033</v>
      </c>
      <c r="D2573" s="215" t="s">
        <v>12034</v>
      </c>
      <c r="E2573" s="215" t="s">
        <v>12035</v>
      </c>
      <c r="F2573" s="215" t="s">
        <v>160</v>
      </c>
      <c r="G2573" s="215" t="s">
        <v>11690</v>
      </c>
      <c r="H2573" s="215" t="s">
        <v>6504</v>
      </c>
      <c r="I2573" s="300"/>
      <c r="J2573" s="300"/>
      <c r="K2573" s="300"/>
      <c r="L2573" s="300"/>
      <c r="M2573" s="300"/>
      <c r="N2573" s="300"/>
      <c r="O2573" s="300"/>
      <c r="P2573" s="300"/>
      <c r="Q2573" s="300"/>
      <c r="R2573" s="300"/>
      <c r="S2573" s="300"/>
      <c r="T2573" s="300"/>
      <c r="U2573" s="300"/>
      <c r="V2573" s="300"/>
      <c r="W2573" s="300"/>
      <c r="X2573" s="300"/>
      <c r="Y2573" s="300"/>
      <c r="Z2573" s="300"/>
    </row>
    <row r="2574" spans="1:26">
      <c r="A2574" s="215" t="s">
        <v>3102</v>
      </c>
      <c r="B2574" s="207">
        <v>1373</v>
      </c>
      <c r="C2574" s="215" t="s">
        <v>12036</v>
      </c>
      <c r="D2574" s="215" t="s">
        <v>12037</v>
      </c>
      <c r="E2574" s="215" t="s">
        <v>12038</v>
      </c>
      <c r="F2574" s="215" t="s">
        <v>160</v>
      </c>
      <c r="G2574" s="215" t="s">
        <v>11690</v>
      </c>
      <c r="H2574" s="215" t="s">
        <v>6497</v>
      </c>
      <c r="I2574" s="300"/>
      <c r="J2574" s="300"/>
      <c r="K2574" s="300"/>
      <c r="L2574" s="300"/>
      <c r="M2574" s="300"/>
      <c r="N2574" s="300"/>
      <c r="O2574" s="300"/>
      <c r="P2574" s="300"/>
      <c r="Q2574" s="300"/>
      <c r="R2574" s="300"/>
      <c r="S2574" s="300"/>
      <c r="T2574" s="300"/>
      <c r="U2574" s="300"/>
      <c r="V2574" s="300"/>
      <c r="W2574" s="300"/>
      <c r="X2574" s="300"/>
      <c r="Y2574" s="300"/>
      <c r="Z2574" s="300"/>
    </row>
    <row r="2575" spans="1:26">
      <c r="A2575" s="215" t="s">
        <v>3102</v>
      </c>
      <c r="B2575" s="207">
        <v>1374</v>
      </c>
      <c r="C2575" s="215" t="s">
        <v>12039</v>
      </c>
      <c r="D2575" s="215" t="s">
        <v>12040</v>
      </c>
      <c r="E2575" s="215" t="s">
        <v>12041</v>
      </c>
      <c r="F2575" s="215" t="s">
        <v>160</v>
      </c>
      <c r="G2575" s="215" t="s">
        <v>11690</v>
      </c>
      <c r="H2575" s="215" t="s">
        <v>6497</v>
      </c>
      <c r="I2575" s="300"/>
      <c r="J2575" s="300"/>
      <c r="K2575" s="300"/>
      <c r="L2575" s="300"/>
      <c r="M2575" s="300"/>
      <c r="N2575" s="300"/>
      <c r="O2575" s="300"/>
      <c r="P2575" s="300"/>
      <c r="Q2575" s="300"/>
      <c r="R2575" s="300"/>
      <c r="S2575" s="300"/>
      <c r="T2575" s="300"/>
      <c r="U2575" s="300"/>
      <c r="V2575" s="300"/>
      <c r="W2575" s="300"/>
      <c r="X2575" s="300"/>
      <c r="Y2575" s="300"/>
      <c r="Z2575" s="300"/>
    </row>
    <row r="2576" spans="1:26">
      <c r="A2576" s="215" t="s">
        <v>3102</v>
      </c>
      <c r="B2576" s="207">
        <v>1375</v>
      </c>
      <c r="C2576" s="215" t="s">
        <v>12042</v>
      </c>
      <c r="D2576" s="215" t="s">
        <v>12043</v>
      </c>
      <c r="E2576" s="215" t="s">
        <v>12044</v>
      </c>
      <c r="F2576" s="215" t="s">
        <v>160</v>
      </c>
      <c r="G2576" s="215" t="s">
        <v>11690</v>
      </c>
      <c r="H2576" s="215" t="s">
        <v>6497</v>
      </c>
      <c r="I2576" s="300"/>
      <c r="J2576" s="300"/>
      <c r="K2576" s="300"/>
      <c r="L2576" s="300"/>
      <c r="M2576" s="300"/>
      <c r="N2576" s="300"/>
      <c r="O2576" s="300"/>
      <c r="P2576" s="300"/>
      <c r="Q2576" s="300"/>
      <c r="R2576" s="300"/>
      <c r="S2576" s="300"/>
      <c r="T2576" s="300"/>
      <c r="U2576" s="300"/>
      <c r="V2576" s="300"/>
      <c r="W2576" s="300"/>
      <c r="X2576" s="300"/>
      <c r="Y2576" s="300"/>
      <c r="Z2576" s="300"/>
    </row>
    <row r="2577" spans="1:26">
      <c r="A2577" s="215" t="s">
        <v>2655</v>
      </c>
      <c r="B2577" s="207">
        <v>1452</v>
      </c>
      <c r="C2577" s="215" t="s">
        <v>12045</v>
      </c>
      <c r="D2577" s="215" t="s">
        <v>12046</v>
      </c>
      <c r="E2577" s="215" t="s">
        <v>12047</v>
      </c>
      <c r="F2577" s="215" t="s">
        <v>160</v>
      </c>
      <c r="G2577" s="215" t="s">
        <v>11690</v>
      </c>
      <c r="H2577" s="215" t="s">
        <v>6497</v>
      </c>
      <c r="I2577" s="300"/>
      <c r="J2577" s="300"/>
      <c r="K2577" s="300"/>
      <c r="L2577" s="300"/>
      <c r="M2577" s="300"/>
      <c r="N2577" s="300"/>
      <c r="O2577" s="300"/>
      <c r="P2577" s="300"/>
      <c r="Q2577" s="300"/>
      <c r="R2577" s="300"/>
      <c r="S2577" s="300"/>
      <c r="T2577" s="300"/>
      <c r="U2577" s="300"/>
      <c r="V2577" s="300"/>
      <c r="W2577" s="300"/>
      <c r="X2577" s="300"/>
      <c r="Y2577" s="300"/>
      <c r="Z2577" s="300"/>
    </row>
    <row r="2578" spans="1:26">
      <c r="A2578" s="215" t="s">
        <v>2811</v>
      </c>
      <c r="B2578" s="207">
        <v>1453</v>
      </c>
      <c r="C2578" s="215" t="s">
        <v>12048</v>
      </c>
      <c r="D2578" s="215" t="s">
        <v>12049</v>
      </c>
      <c r="E2578" s="215" t="s">
        <v>12050</v>
      </c>
      <c r="F2578" s="215" t="s">
        <v>160</v>
      </c>
      <c r="G2578" s="215" t="s">
        <v>11690</v>
      </c>
      <c r="H2578" s="215" t="s">
        <v>6500</v>
      </c>
      <c r="I2578" s="300"/>
      <c r="J2578" s="300"/>
      <c r="K2578" s="300"/>
      <c r="L2578" s="300"/>
      <c r="M2578" s="300"/>
      <c r="N2578" s="300"/>
      <c r="O2578" s="300"/>
      <c r="P2578" s="300"/>
      <c r="Q2578" s="300"/>
      <c r="R2578" s="300"/>
      <c r="S2578" s="300"/>
      <c r="T2578" s="300"/>
      <c r="U2578" s="300"/>
      <c r="V2578" s="300"/>
      <c r="W2578" s="300"/>
      <c r="X2578" s="300"/>
      <c r="Y2578" s="300"/>
      <c r="Z2578" s="300"/>
    </row>
    <row r="2579" spans="1:26">
      <c r="A2579" s="215" t="s">
        <v>2708</v>
      </c>
      <c r="B2579" s="207">
        <v>1454</v>
      </c>
      <c r="C2579" s="215" t="s">
        <v>12051</v>
      </c>
      <c r="D2579" s="215" t="s">
        <v>12052</v>
      </c>
      <c r="E2579" s="215" t="s">
        <v>12052</v>
      </c>
      <c r="F2579" s="215" t="s">
        <v>160</v>
      </c>
      <c r="G2579" s="215" t="s">
        <v>11690</v>
      </c>
      <c r="H2579" s="215" t="s">
        <v>6548</v>
      </c>
      <c r="I2579" s="300"/>
      <c r="J2579" s="300"/>
      <c r="K2579" s="300"/>
      <c r="L2579" s="300"/>
      <c r="M2579" s="300"/>
      <c r="N2579" s="300"/>
      <c r="O2579" s="300"/>
      <c r="P2579" s="300"/>
      <c r="Q2579" s="300"/>
      <c r="R2579" s="300"/>
      <c r="S2579" s="300"/>
      <c r="T2579" s="300"/>
      <c r="U2579" s="300"/>
      <c r="V2579" s="300"/>
      <c r="W2579" s="300"/>
      <c r="X2579" s="300"/>
      <c r="Y2579" s="300"/>
      <c r="Z2579" s="300"/>
    </row>
    <row r="2580" spans="1:26">
      <c r="A2580" s="215" t="s">
        <v>2708</v>
      </c>
      <c r="B2580" s="207">
        <v>1455</v>
      </c>
      <c r="C2580" s="215" t="s">
        <v>12053</v>
      </c>
      <c r="D2580" s="215" t="s">
        <v>12054</v>
      </c>
      <c r="E2580" s="215" t="s">
        <v>12054</v>
      </c>
      <c r="F2580" s="215" t="s">
        <v>160</v>
      </c>
      <c r="G2580" s="215" t="s">
        <v>11690</v>
      </c>
      <c r="H2580" s="215" t="s">
        <v>6504</v>
      </c>
      <c r="I2580" s="300"/>
      <c r="J2580" s="300"/>
      <c r="K2580" s="300"/>
      <c r="L2580" s="300"/>
      <c r="M2580" s="300"/>
      <c r="N2580" s="300"/>
      <c r="O2580" s="300"/>
      <c r="P2580" s="300"/>
      <c r="Q2580" s="300"/>
      <c r="R2580" s="300"/>
      <c r="S2580" s="300"/>
      <c r="T2580" s="300"/>
      <c r="U2580" s="300"/>
      <c r="V2580" s="300"/>
      <c r="W2580" s="300"/>
      <c r="X2580" s="300"/>
      <c r="Y2580" s="300"/>
      <c r="Z2580" s="300"/>
    </row>
    <row r="2581" spans="1:26">
      <c r="A2581" s="215" t="s">
        <v>2953</v>
      </c>
      <c r="B2581" s="207">
        <v>1456</v>
      </c>
      <c r="C2581" s="215" t="s">
        <v>12055</v>
      </c>
      <c r="D2581" s="215" t="s">
        <v>12056</v>
      </c>
      <c r="E2581" s="215" t="s">
        <v>12057</v>
      </c>
      <c r="F2581" s="215" t="s">
        <v>160</v>
      </c>
      <c r="G2581" s="215" t="s">
        <v>11690</v>
      </c>
      <c r="H2581" s="215" t="s">
        <v>6504</v>
      </c>
      <c r="I2581" s="300"/>
      <c r="J2581" s="300"/>
      <c r="K2581" s="300"/>
      <c r="L2581" s="300"/>
      <c r="M2581" s="300"/>
      <c r="N2581" s="300"/>
      <c r="O2581" s="300"/>
      <c r="P2581" s="300"/>
      <c r="Q2581" s="300"/>
      <c r="R2581" s="300"/>
      <c r="S2581" s="300"/>
      <c r="T2581" s="300"/>
      <c r="U2581" s="300"/>
      <c r="V2581" s="300"/>
      <c r="W2581" s="300"/>
      <c r="X2581" s="300"/>
      <c r="Y2581" s="300"/>
      <c r="Z2581" s="300"/>
    </row>
    <row r="2582" spans="1:26">
      <c r="A2582" s="215" t="s">
        <v>3200</v>
      </c>
      <c r="B2582" s="207">
        <v>1458</v>
      </c>
      <c r="C2582" s="215" t="s">
        <v>12058</v>
      </c>
      <c r="D2582" s="215" t="s">
        <v>12059</v>
      </c>
      <c r="E2582" s="215" t="s">
        <v>12060</v>
      </c>
      <c r="F2582" s="215" t="s">
        <v>160</v>
      </c>
      <c r="G2582" s="215" t="s">
        <v>11690</v>
      </c>
      <c r="H2582" s="215" t="s">
        <v>6504</v>
      </c>
      <c r="I2582" s="300"/>
      <c r="J2582" s="300"/>
      <c r="K2582" s="300"/>
      <c r="L2582" s="300"/>
      <c r="M2582" s="300"/>
      <c r="N2582" s="300"/>
      <c r="O2582" s="300"/>
      <c r="P2582" s="300"/>
      <c r="Q2582" s="300"/>
      <c r="R2582" s="300"/>
      <c r="S2582" s="300"/>
      <c r="T2582" s="300"/>
      <c r="U2582" s="300"/>
      <c r="V2582" s="300"/>
      <c r="W2582" s="300"/>
      <c r="X2582" s="300"/>
      <c r="Y2582" s="300"/>
      <c r="Z2582" s="300"/>
    </row>
    <row r="2583" spans="1:26">
      <c r="A2583" s="215" t="s">
        <v>3209</v>
      </c>
      <c r="B2583" s="207">
        <v>1459</v>
      </c>
      <c r="C2583" s="215" t="s">
        <v>12061</v>
      </c>
      <c r="D2583" s="215" t="s">
        <v>12062</v>
      </c>
      <c r="E2583" s="215" t="s">
        <v>12063</v>
      </c>
      <c r="F2583" s="215" t="s">
        <v>160</v>
      </c>
      <c r="G2583" s="215" t="s">
        <v>11690</v>
      </c>
      <c r="H2583" s="215" t="s">
        <v>6497</v>
      </c>
      <c r="I2583" s="300"/>
      <c r="J2583" s="300"/>
      <c r="K2583" s="300"/>
      <c r="L2583" s="300"/>
      <c r="M2583" s="300"/>
      <c r="N2583" s="300"/>
      <c r="O2583" s="300"/>
      <c r="P2583" s="300"/>
      <c r="Q2583" s="300"/>
      <c r="R2583" s="300"/>
      <c r="S2583" s="300"/>
      <c r="T2583" s="300"/>
      <c r="U2583" s="300"/>
      <c r="V2583" s="300"/>
      <c r="W2583" s="300"/>
      <c r="X2583" s="300"/>
      <c r="Y2583" s="300"/>
      <c r="Z2583" s="300"/>
    </row>
    <row r="2584" spans="1:26">
      <c r="A2584" s="215" t="s">
        <v>2690</v>
      </c>
      <c r="B2584" s="207">
        <v>1463</v>
      </c>
      <c r="C2584" s="215" t="s">
        <v>12064</v>
      </c>
      <c r="D2584" s="215" t="s">
        <v>12065</v>
      </c>
      <c r="E2584" s="215" t="s">
        <v>12065</v>
      </c>
      <c r="F2584" s="215" t="s">
        <v>160</v>
      </c>
      <c r="G2584" s="215" t="s">
        <v>11690</v>
      </c>
      <c r="H2584" s="215" t="s">
        <v>6497</v>
      </c>
      <c r="I2584" s="300"/>
      <c r="J2584" s="300"/>
      <c r="K2584" s="300"/>
      <c r="L2584" s="300"/>
      <c r="M2584" s="300"/>
      <c r="N2584" s="300"/>
      <c r="O2584" s="300"/>
      <c r="P2584" s="300"/>
      <c r="Q2584" s="300"/>
      <c r="R2584" s="300"/>
      <c r="S2584" s="300"/>
      <c r="T2584" s="300"/>
      <c r="U2584" s="300"/>
      <c r="V2584" s="300"/>
      <c r="W2584" s="300"/>
      <c r="X2584" s="300"/>
      <c r="Y2584" s="300"/>
      <c r="Z2584" s="300"/>
    </row>
    <row r="2585" spans="1:26">
      <c r="A2585" s="215" t="s">
        <v>3647</v>
      </c>
      <c r="B2585" s="207">
        <v>1464</v>
      </c>
      <c r="C2585" s="215" t="s">
        <v>12066</v>
      </c>
      <c r="D2585" s="215" t="s">
        <v>12067</v>
      </c>
      <c r="E2585" s="215" t="s">
        <v>12067</v>
      </c>
      <c r="F2585" s="215" t="s">
        <v>160</v>
      </c>
      <c r="G2585" s="215" t="s">
        <v>11690</v>
      </c>
      <c r="H2585" s="215" t="s">
        <v>6497</v>
      </c>
      <c r="I2585" s="300"/>
      <c r="J2585" s="300"/>
      <c r="K2585" s="300"/>
      <c r="L2585" s="300"/>
      <c r="M2585" s="300"/>
      <c r="N2585" s="300"/>
      <c r="O2585" s="300"/>
      <c r="P2585" s="300"/>
      <c r="Q2585" s="300"/>
      <c r="R2585" s="300"/>
      <c r="S2585" s="300"/>
      <c r="T2585" s="300"/>
      <c r="U2585" s="300"/>
      <c r="V2585" s="300"/>
      <c r="W2585" s="300"/>
      <c r="X2585" s="300"/>
      <c r="Y2585" s="300"/>
      <c r="Z2585" s="300"/>
    </row>
    <row r="2586" spans="1:26">
      <c r="A2586" s="215" t="s">
        <v>3878</v>
      </c>
      <c r="B2586" s="207">
        <v>1465</v>
      </c>
      <c r="C2586" s="215" t="s">
        <v>12068</v>
      </c>
      <c r="D2586" s="215" t="s">
        <v>12069</v>
      </c>
      <c r="E2586" s="215" t="s">
        <v>12070</v>
      </c>
      <c r="F2586" s="215" t="s">
        <v>160</v>
      </c>
      <c r="G2586" s="215" t="s">
        <v>11690</v>
      </c>
      <c r="H2586" s="215" t="s">
        <v>6497</v>
      </c>
      <c r="I2586" s="300"/>
      <c r="J2586" s="300"/>
      <c r="K2586" s="300"/>
      <c r="L2586" s="300"/>
      <c r="M2586" s="300"/>
      <c r="N2586" s="300"/>
      <c r="O2586" s="300"/>
      <c r="P2586" s="300"/>
      <c r="Q2586" s="300"/>
      <c r="R2586" s="300"/>
      <c r="S2586" s="300"/>
      <c r="T2586" s="300"/>
      <c r="U2586" s="300"/>
      <c r="V2586" s="300"/>
      <c r="W2586" s="300"/>
      <c r="X2586" s="300"/>
      <c r="Y2586" s="300"/>
      <c r="Z2586" s="300"/>
    </row>
    <row r="2587" spans="1:26">
      <c r="A2587" s="215" t="s">
        <v>3878</v>
      </c>
      <c r="B2587" s="207">
        <v>1466</v>
      </c>
      <c r="C2587" s="215" t="s">
        <v>12071</v>
      </c>
      <c r="D2587" s="215" t="s">
        <v>12072</v>
      </c>
      <c r="E2587" s="215" t="s">
        <v>12073</v>
      </c>
      <c r="F2587" s="215" t="s">
        <v>160</v>
      </c>
      <c r="G2587" s="215" t="s">
        <v>11690</v>
      </c>
      <c r="H2587" s="215" t="s">
        <v>6497</v>
      </c>
      <c r="I2587" s="300"/>
      <c r="J2587" s="300"/>
      <c r="K2587" s="300"/>
      <c r="L2587" s="300"/>
      <c r="M2587" s="300"/>
      <c r="N2587" s="300"/>
      <c r="O2587" s="300"/>
      <c r="P2587" s="300"/>
      <c r="Q2587" s="300"/>
      <c r="R2587" s="300"/>
      <c r="S2587" s="300"/>
      <c r="T2587" s="300"/>
      <c r="U2587" s="300"/>
      <c r="V2587" s="300"/>
      <c r="W2587" s="300"/>
      <c r="X2587" s="300"/>
      <c r="Y2587" s="300"/>
      <c r="Z2587" s="300"/>
    </row>
    <row r="2588" spans="1:26">
      <c r="A2588" s="215" t="s">
        <v>4074</v>
      </c>
      <c r="B2588" s="207">
        <v>1468</v>
      </c>
      <c r="C2588" s="215" t="s">
        <v>12074</v>
      </c>
      <c r="D2588" s="215" t="s">
        <v>12075</v>
      </c>
      <c r="E2588" s="215" t="s">
        <v>12075</v>
      </c>
      <c r="F2588" s="215" t="s">
        <v>160</v>
      </c>
      <c r="G2588" s="215" t="s">
        <v>11690</v>
      </c>
      <c r="H2588" s="215" t="s">
        <v>6504</v>
      </c>
      <c r="I2588" s="300"/>
      <c r="J2588" s="300"/>
      <c r="K2588" s="300"/>
      <c r="L2588" s="300"/>
      <c r="M2588" s="300"/>
      <c r="N2588" s="300"/>
      <c r="O2588" s="300"/>
      <c r="P2588" s="300"/>
      <c r="Q2588" s="300"/>
      <c r="R2588" s="300"/>
      <c r="S2588" s="300"/>
      <c r="T2588" s="300"/>
      <c r="U2588" s="300"/>
      <c r="V2588" s="300"/>
      <c r="W2588" s="300"/>
      <c r="X2588" s="300"/>
      <c r="Y2588" s="300"/>
      <c r="Z2588" s="300"/>
    </row>
    <row r="2589" spans="1:26">
      <c r="A2589" s="215" t="s">
        <v>4074</v>
      </c>
      <c r="B2589" s="207">
        <v>1469</v>
      </c>
      <c r="C2589" s="215" t="s">
        <v>12076</v>
      </c>
      <c r="D2589" s="215" t="s">
        <v>12077</v>
      </c>
      <c r="E2589" s="215" t="s">
        <v>12077</v>
      </c>
      <c r="F2589" s="215" t="s">
        <v>160</v>
      </c>
      <c r="G2589" s="215" t="s">
        <v>11690</v>
      </c>
      <c r="H2589" s="215" t="s">
        <v>6504</v>
      </c>
      <c r="I2589" s="300"/>
      <c r="J2589" s="300"/>
      <c r="K2589" s="300"/>
      <c r="L2589" s="300"/>
      <c r="M2589" s="300"/>
      <c r="N2589" s="300"/>
      <c r="O2589" s="300"/>
      <c r="P2589" s="300"/>
      <c r="Q2589" s="300"/>
      <c r="R2589" s="300"/>
      <c r="S2589" s="300"/>
      <c r="T2589" s="300"/>
      <c r="U2589" s="300"/>
      <c r="V2589" s="300"/>
      <c r="W2589" s="300"/>
      <c r="X2589" s="300"/>
      <c r="Y2589" s="300"/>
      <c r="Z2589" s="300"/>
    </row>
    <row r="2590" spans="1:26">
      <c r="A2590" s="215" t="s">
        <v>4382</v>
      </c>
      <c r="B2590" s="207">
        <v>1470</v>
      </c>
      <c r="C2590" s="215" t="s">
        <v>6326</v>
      </c>
      <c r="D2590" s="215" t="s">
        <v>12078</v>
      </c>
      <c r="E2590" s="215" t="s">
        <v>12078</v>
      </c>
      <c r="F2590" s="215" t="s">
        <v>160</v>
      </c>
      <c r="G2590" s="215" t="s">
        <v>11690</v>
      </c>
      <c r="H2590" s="215" t="s">
        <v>6497</v>
      </c>
      <c r="I2590" s="300"/>
      <c r="J2590" s="300"/>
      <c r="K2590" s="300"/>
      <c r="L2590" s="300"/>
      <c r="M2590" s="300"/>
      <c r="N2590" s="300"/>
      <c r="O2590" s="300"/>
      <c r="P2590" s="300"/>
      <c r="Q2590" s="300"/>
      <c r="R2590" s="300"/>
      <c r="S2590" s="300"/>
      <c r="T2590" s="300"/>
      <c r="U2590" s="300"/>
      <c r="V2590" s="300"/>
      <c r="W2590" s="300"/>
      <c r="X2590" s="300"/>
      <c r="Y2590" s="300"/>
      <c r="Z2590" s="300"/>
    </row>
    <row r="2591" spans="1:26">
      <c r="A2591" s="215" t="s">
        <v>4382</v>
      </c>
      <c r="B2591" s="207">
        <v>1471</v>
      </c>
      <c r="C2591" s="215" t="s">
        <v>12079</v>
      </c>
      <c r="D2591" s="215" t="s">
        <v>12080</v>
      </c>
      <c r="E2591" s="215" t="s">
        <v>12081</v>
      </c>
      <c r="F2591" s="215" t="s">
        <v>160</v>
      </c>
      <c r="G2591" s="215" t="s">
        <v>11690</v>
      </c>
      <c r="H2591" s="215" t="s">
        <v>6504</v>
      </c>
      <c r="I2591" s="300"/>
      <c r="J2591" s="300"/>
      <c r="K2591" s="300"/>
      <c r="L2591" s="300"/>
      <c r="M2591" s="300"/>
      <c r="N2591" s="300"/>
      <c r="O2591" s="300"/>
      <c r="P2591" s="300"/>
      <c r="Q2591" s="300"/>
      <c r="R2591" s="300"/>
      <c r="S2591" s="300"/>
      <c r="T2591" s="300"/>
      <c r="U2591" s="300"/>
      <c r="V2591" s="300"/>
      <c r="W2591" s="300"/>
      <c r="X2591" s="300"/>
      <c r="Y2591" s="300"/>
      <c r="Z2591" s="300"/>
    </row>
    <row r="2592" spans="1:26">
      <c r="A2592" s="215" t="s">
        <v>4382</v>
      </c>
      <c r="B2592" s="207">
        <v>1472</v>
      </c>
      <c r="C2592" s="215" t="s">
        <v>12082</v>
      </c>
      <c r="D2592" s="215" t="s">
        <v>12083</v>
      </c>
      <c r="E2592" s="215" t="s">
        <v>12084</v>
      </c>
      <c r="F2592" s="215" t="s">
        <v>160</v>
      </c>
      <c r="G2592" s="215" t="s">
        <v>11690</v>
      </c>
      <c r="H2592" s="215" t="s">
        <v>6504</v>
      </c>
      <c r="I2592" s="300"/>
      <c r="J2592" s="300"/>
      <c r="K2592" s="300"/>
      <c r="L2592" s="300"/>
      <c r="M2592" s="300"/>
      <c r="N2592" s="300"/>
      <c r="O2592" s="300"/>
      <c r="P2592" s="300"/>
      <c r="Q2592" s="300"/>
      <c r="R2592" s="300"/>
      <c r="S2592" s="300"/>
      <c r="T2592" s="300"/>
      <c r="U2592" s="300"/>
      <c r="V2592" s="300"/>
      <c r="W2592" s="300"/>
      <c r="X2592" s="300"/>
      <c r="Y2592" s="300"/>
      <c r="Z2592" s="300"/>
    </row>
    <row r="2593" spans="1:26">
      <c r="A2593" s="215" t="s">
        <v>4382</v>
      </c>
      <c r="B2593" s="207">
        <v>1473</v>
      </c>
      <c r="C2593" s="215" t="s">
        <v>6327</v>
      </c>
      <c r="D2593" s="215" t="s">
        <v>12085</v>
      </c>
      <c r="E2593" s="215" t="s">
        <v>12086</v>
      </c>
      <c r="F2593" s="215" t="s">
        <v>160</v>
      </c>
      <c r="G2593" s="215" t="s">
        <v>11690</v>
      </c>
      <c r="H2593" s="215" t="s">
        <v>6504</v>
      </c>
      <c r="I2593" s="300"/>
      <c r="J2593" s="300"/>
      <c r="K2593" s="300"/>
      <c r="L2593" s="300"/>
      <c r="M2593" s="300"/>
      <c r="N2593" s="300"/>
      <c r="O2593" s="300"/>
      <c r="P2593" s="300"/>
      <c r="Q2593" s="300"/>
      <c r="R2593" s="300"/>
      <c r="S2593" s="300"/>
      <c r="T2593" s="300"/>
      <c r="U2593" s="300"/>
      <c r="V2593" s="300"/>
      <c r="W2593" s="300"/>
      <c r="X2593" s="300"/>
      <c r="Y2593" s="300"/>
      <c r="Z2593" s="300"/>
    </row>
    <row r="2594" spans="1:26">
      <c r="A2594" s="215" t="s">
        <v>3852</v>
      </c>
      <c r="B2594" s="207">
        <v>1524</v>
      </c>
      <c r="C2594" s="215" t="s">
        <v>12087</v>
      </c>
      <c r="D2594" s="215" t="s">
        <v>12088</v>
      </c>
      <c r="E2594" s="215" t="s">
        <v>12089</v>
      </c>
      <c r="F2594" s="215" t="s">
        <v>160</v>
      </c>
      <c r="G2594" s="215" t="s">
        <v>11690</v>
      </c>
      <c r="H2594" s="215" t="s">
        <v>6500</v>
      </c>
      <c r="I2594" s="300"/>
      <c r="J2594" s="300"/>
      <c r="K2594" s="300"/>
      <c r="L2594" s="300"/>
      <c r="M2594" s="300"/>
      <c r="N2594" s="300"/>
      <c r="O2594" s="300"/>
      <c r="P2594" s="300"/>
      <c r="Q2594" s="300"/>
      <c r="R2594" s="300"/>
      <c r="S2594" s="300"/>
      <c r="T2594" s="300"/>
      <c r="U2594" s="300"/>
      <c r="V2594" s="300"/>
      <c r="W2594" s="300"/>
      <c r="X2594" s="300"/>
      <c r="Y2594" s="300"/>
      <c r="Z2594" s="300"/>
    </row>
    <row r="2595" spans="1:26">
      <c r="A2595" s="215" t="s">
        <v>3621</v>
      </c>
      <c r="B2595" s="207">
        <v>1526</v>
      </c>
      <c r="C2595" s="215" t="s">
        <v>12090</v>
      </c>
      <c r="D2595" s="215" t="s">
        <v>12091</v>
      </c>
      <c r="E2595" s="215" t="s">
        <v>12092</v>
      </c>
      <c r="F2595" s="215" t="s">
        <v>160</v>
      </c>
      <c r="G2595" s="215" t="s">
        <v>11690</v>
      </c>
      <c r="H2595" s="215" t="s">
        <v>6500</v>
      </c>
      <c r="I2595" s="300"/>
      <c r="J2595" s="300"/>
      <c r="K2595" s="300"/>
      <c r="L2595" s="300"/>
      <c r="M2595" s="300"/>
      <c r="N2595" s="300"/>
      <c r="O2595" s="300"/>
      <c r="P2595" s="300"/>
      <c r="Q2595" s="300"/>
      <c r="R2595" s="300"/>
      <c r="S2595" s="300"/>
      <c r="T2595" s="300"/>
      <c r="U2595" s="300"/>
      <c r="V2595" s="300"/>
      <c r="W2595" s="300"/>
      <c r="X2595" s="300"/>
      <c r="Y2595" s="300"/>
      <c r="Z2595" s="300"/>
    </row>
    <row r="2596" spans="1:26">
      <c r="A2596" s="215" t="s">
        <v>3387</v>
      </c>
      <c r="B2596" s="207">
        <v>1527</v>
      </c>
      <c r="C2596" s="215" t="s">
        <v>12093</v>
      </c>
      <c r="D2596" s="215" t="s">
        <v>12094</v>
      </c>
      <c r="E2596" s="215" t="s">
        <v>12095</v>
      </c>
      <c r="F2596" s="215" t="s">
        <v>160</v>
      </c>
      <c r="G2596" s="215" t="s">
        <v>11690</v>
      </c>
      <c r="H2596" s="215" t="s">
        <v>6504</v>
      </c>
      <c r="I2596" s="300"/>
      <c r="J2596" s="300"/>
      <c r="K2596" s="300"/>
      <c r="L2596" s="300"/>
      <c r="M2596" s="300"/>
      <c r="N2596" s="300"/>
      <c r="O2596" s="300"/>
      <c r="P2596" s="300"/>
      <c r="Q2596" s="300"/>
      <c r="R2596" s="300"/>
      <c r="S2596" s="300"/>
      <c r="T2596" s="300"/>
      <c r="U2596" s="300"/>
      <c r="V2596" s="300"/>
      <c r="W2596" s="300"/>
      <c r="X2596" s="300"/>
      <c r="Y2596" s="300"/>
      <c r="Z2596" s="300"/>
    </row>
    <row r="2597" spans="1:26">
      <c r="A2597" s="215" t="s">
        <v>3387</v>
      </c>
      <c r="B2597" s="207">
        <v>1528</v>
      </c>
      <c r="C2597" s="215" t="s">
        <v>12096</v>
      </c>
      <c r="D2597" s="215" t="s">
        <v>12097</v>
      </c>
      <c r="E2597" s="215" t="s">
        <v>12098</v>
      </c>
      <c r="F2597" s="215" t="s">
        <v>160</v>
      </c>
      <c r="G2597" s="215" t="s">
        <v>11690</v>
      </c>
      <c r="H2597" s="215" t="s">
        <v>6504</v>
      </c>
      <c r="I2597" s="300"/>
      <c r="J2597" s="300"/>
      <c r="K2597" s="300"/>
      <c r="L2597" s="300"/>
      <c r="M2597" s="300"/>
      <c r="N2597" s="300"/>
      <c r="O2597" s="300"/>
      <c r="P2597" s="300"/>
      <c r="Q2597" s="300"/>
      <c r="R2597" s="300"/>
      <c r="S2597" s="300"/>
      <c r="T2597" s="300"/>
      <c r="U2597" s="300"/>
      <c r="V2597" s="300"/>
      <c r="W2597" s="300"/>
      <c r="X2597" s="300"/>
      <c r="Y2597" s="300"/>
      <c r="Z2597" s="300"/>
    </row>
    <row r="2598" spans="1:26">
      <c r="A2598" s="215" t="s">
        <v>3955</v>
      </c>
      <c r="B2598" s="207">
        <v>1529</v>
      </c>
      <c r="C2598" s="215" t="s">
        <v>12099</v>
      </c>
      <c r="D2598" s="215" t="s">
        <v>12100</v>
      </c>
      <c r="E2598" s="215" t="s">
        <v>12101</v>
      </c>
      <c r="F2598" s="215" t="s">
        <v>160</v>
      </c>
      <c r="G2598" s="215" t="s">
        <v>11690</v>
      </c>
      <c r="H2598" s="215" t="s">
        <v>6497</v>
      </c>
      <c r="I2598" s="300"/>
      <c r="J2598" s="300"/>
      <c r="K2598" s="300"/>
      <c r="L2598" s="300"/>
      <c r="M2598" s="300"/>
      <c r="N2598" s="300"/>
      <c r="O2598" s="300"/>
      <c r="P2598" s="300"/>
      <c r="Q2598" s="300"/>
      <c r="R2598" s="300"/>
      <c r="S2598" s="300"/>
      <c r="T2598" s="300"/>
      <c r="U2598" s="300"/>
      <c r="V2598" s="300"/>
      <c r="W2598" s="300"/>
      <c r="X2598" s="300"/>
      <c r="Y2598" s="300"/>
      <c r="Z2598" s="300"/>
    </row>
    <row r="2599" spans="1:26">
      <c r="A2599" s="215" t="s">
        <v>3955</v>
      </c>
      <c r="B2599" s="207">
        <v>1530</v>
      </c>
      <c r="C2599" s="215" t="s">
        <v>12102</v>
      </c>
      <c r="D2599" s="215" t="s">
        <v>12103</v>
      </c>
      <c r="E2599" s="215" t="s">
        <v>12104</v>
      </c>
      <c r="F2599" s="215" t="s">
        <v>160</v>
      </c>
      <c r="G2599" s="215" t="s">
        <v>11690</v>
      </c>
      <c r="H2599" s="215" t="s">
        <v>6497</v>
      </c>
      <c r="I2599" s="300"/>
      <c r="J2599" s="300"/>
      <c r="K2599" s="300"/>
      <c r="L2599" s="300"/>
      <c r="M2599" s="300"/>
      <c r="N2599" s="300"/>
      <c r="O2599" s="300"/>
      <c r="P2599" s="300"/>
      <c r="Q2599" s="300"/>
      <c r="R2599" s="300"/>
      <c r="S2599" s="300"/>
      <c r="T2599" s="300"/>
      <c r="U2599" s="300"/>
      <c r="V2599" s="300"/>
      <c r="W2599" s="300"/>
      <c r="X2599" s="300"/>
      <c r="Y2599" s="300"/>
      <c r="Z2599" s="300"/>
    </row>
    <row r="2600" spans="1:26">
      <c r="A2600" s="215" t="s">
        <v>3955</v>
      </c>
      <c r="B2600" s="207">
        <v>1531</v>
      </c>
      <c r="C2600" s="215" t="s">
        <v>12105</v>
      </c>
      <c r="D2600" s="215" t="s">
        <v>12106</v>
      </c>
      <c r="E2600" s="215" t="s">
        <v>12107</v>
      </c>
      <c r="F2600" s="215" t="s">
        <v>160</v>
      </c>
      <c r="G2600" s="215" t="s">
        <v>11690</v>
      </c>
      <c r="H2600" s="215" t="s">
        <v>6497</v>
      </c>
      <c r="I2600" s="300"/>
      <c r="J2600" s="300"/>
      <c r="K2600" s="300"/>
      <c r="L2600" s="300"/>
      <c r="M2600" s="300"/>
      <c r="N2600" s="300"/>
      <c r="O2600" s="300"/>
      <c r="P2600" s="300"/>
      <c r="Q2600" s="300"/>
      <c r="R2600" s="300"/>
      <c r="S2600" s="300"/>
      <c r="T2600" s="300"/>
      <c r="U2600" s="300"/>
      <c r="V2600" s="300"/>
      <c r="W2600" s="300"/>
      <c r="X2600" s="300"/>
      <c r="Y2600" s="300"/>
      <c r="Z2600" s="300"/>
    </row>
    <row r="2601" spans="1:26">
      <c r="A2601" s="215" t="s">
        <v>3869</v>
      </c>
      <c r="B2601" s="207">
        <v>1533</v>
      </c>
      <c r="C2601" s="215" t="s">
        <v>12108</v>
      </c>
      <c r="D2601" s="215" t="s">
        <v>12109</v>
      </c>
      <c r="E2601" s="215" t="s">
        <v>12110</v>
      </c>
      <c r="F2601" s="215" t="s">
        <v>160</v>
      </c>
      <c r="G2601" s="215" t="s">
        <v>11690</v>
      </c>
      <c r="H2601" s="215" t="s">
        <v>6497</v>
      </c>
      <c r="I2601" s="300"/>
      <c r="J2601" s="300"/>
      <c r="K2601" s="300"/>
      <c r="L2601" s="300"/>
      <c r="M2601" s="300"/>
      <c r="N2601" s="300"/>
      <c r="O2601" s="300"/>
      <c r="P2601" s="300"/>
      <c r="Q2601" s="300"/>
      <c r="R2601" s="300"/>
      <c r="S2601" s="300"/>
      <c r="T2601" s="300"/>
      <c r="U2601" s="300"/>
      <c r="V2601" s="300"/>
      <c r="W2601" s="300"/>
      <c r="X2601" s="300"/>
      <c r="Y2601" s="300"/>
      <c r="Z2601" s="300"/>
    </row>
    <row r="2602" spans="1:26">
      <c r="A2602" s="215" t="s">
        <v>4333</v>
      </c>
      <c r="B2602" s="207">
        <v>1534</v>
      </c>
      <c r="C2602" s="215" t="s">
        <v>6285</v>
      </c>
      <c r="D2602" s="215" t="s">
        <v>12111</v>
      </c>
      <c r="E2602" s="215" t="s">
        <v>12111</v>
      </c>
      <c r="F2602" s="215" t="s">
        <v>160</v>
      </c>
      <c r="G2602" s="215" t="s">
        <v>11690</v>
      </c>
      <c r="H2602" s="215" t="s">
        <v>6548</v>
      </c>
      <c r="I2602" s="300"/>
      <c r="J2602" s="300"/>
      <c r="K2602" s="300"/>
      <c r="L2602" s="300"/>
      <c r="M2602" s="300"/>
      <c r="N2602" s="300"/>
      <c r="O2602" s="300"/>
      <c r="P2602" s="300"/>
      <c r="Q2602" s="300"/>
      <c r="R2602" s="300"/>
      <c r="S2602" s="300"/>
      <c r="T2602" s="300"/>
      <c r="U2602" s="300"/>
      <c r="V2602" s="300"/>
      <c r="W2602" s="300"/>
      <c r="X2602" s="300"/>
      <c r="Y2602" s="300"/>
      <c r="Z2602" s="300"/>
    </row>
    <row r="2603" spans="1:26">
      <c r="A2603" s="215" t="s">
        <v>3848</v>
      </c>
      <c r="B2603" s="207">
        <v>1535</v>
      </c>
      <c r="C2603" s="215" t="s">
        <v>12112</v>
      </c>
      <c r="D2603" s="215" t="s">
        <v>12113</v>
      </c>
      <c r="E2603" s="215" t="s">
        <v>12114</v>
      </c>
      <c r="F2603" s="215" t="s">
        <v>160</v>
      </c>
      <c r="G2603" s="215" t="s">
        <v>11690</v>
      </c>
      <c r="H2603" s="215" t="s">
        <v>6497</v>
      </c>
      <c r="I2603" s="300"/>
      <c r="J2603" s="300"/>
      <c r="K2603" s="300"/>
      <c r="L2603" s="300"/>
      <c r="M2603" s="300"/>
      <c r="N2603" s="300"/>
      <c r="O2603" s="300"/>
      <c r="P2603" s="300"/>
      <c r="Q2603" s="300"/>
      <c r="R2603" s="300"/>
      <c r="S2603" s="300"/>
      <c r="T2603" s="300"/>
      <c r="U2603" s="300"/>
      <c r="V2603" s="300"/>
      <c r="W2603" s="300"/>
      <c r="X2603" s="300"/>
      <c r="Y2603" s="300"/>
      <c r="Z2603" s="300"/>
    </row>
    <row r="2604" spans="1:26">
      <c r="A2604" s="215" t="s">
        <v>2949</v>
      </c>
      <c r="B2604" s="207">
        <v>1536</v>
      </c>
      <c r="C2604" s="215" t="s">
        <v>12115</v>
      </c>
      <c r="D2604" s="215" t="s">
        <v>12116</v>
      </c>
      <c r="E2604" s="215" t="s">
        <v>12117</v>
      </c>
      <c r="F2604" s="215" t="s">
        <v>160</v>
      </c>
      <c r="G2604" s="215" t="s">
        <v>11690</v>
      </c>
      <c r="H2604" s="215" t="s">
        <v>6504</v>
      </c>
      <c r="I2604" s="300"/>
      <c r="J2604" s="300"/>
      <c r="K2604" s="300"/>
      <c r="L2604" s="300"/>
      <c r="M2604" s="300"/>
      <c r="N2604" s="300"/>
      <c r="O2604" s="300"/>
      <c r="P2604" s="300"/>
      <c r="Q2604" s="300"/>
      <c r="R2604" s="300"/>
      <c r="S2604" s="300"/>
      <c r="T2604" s="300"/>
      <c r="U2604" s="300"/>
      <c r="V2604" s="300"/>
      <c r="W2604" s="300"/>
      <c r="X2604" s="300"/>
      <c r="Y2604" s="300"/>
      <c r="Z2604" s="300"/>
    </row>
    <row r="2605" spans="1:26">
      <c r="A2605" s="215" t="s">
        <v>4455</v>
      </c>
      <c r="B2605" s="207">
        <v>1537</v>
      </c>
      <c r="C2605" s="215" t="s">
        <v>12118</v>
      </c>
      <c r="D2605" s="215" t="s">
        <v>12119</v>
      </c>
      <c r="E2605" s="215" t="s">
        <v>12120</v>
      </c>
      <c r="F2605" s="215" t="s">
        <v>160</v>
      </c>
      <c r="G2605" s="215" t="s">
        <v>11690</v>
      </c>
      <c r="H2605" s="215" t="s">
        <v>6548</v>
      </c>
      <c r="I2605" s="300"/>
      <c r="J2605" s="300"/>
      <c r="K2605" s="300"/>
      <c r="L2605" s="300"/>
      <c r="M2605" s="300"/>
      <c r="N2605" s="300"/>
      <c r="O2605" s="300"/>
      <c r="P2605" s="300"/>
      <c r="Q2605" s="300"/>
      <c r="R2605" s="300"/>
      <c r="S2605" s="300"/>
      <c r="T2605" s="300"/>
      <c r="U2605" s="300"/>
      <c r="V2605" s="300"/>
      <c r="W2605" s="300"/>
      <c r="X2605" s="300"/>
      <c r="Y2605" s="300"/>
      <c r="Z2605" s="300"/>
    </row>
    <row r="2606" spans="1:26">
      <c r="A2606" s="215" t="s">
        <v>4253</v>
      </c>
      <c r="B2606" s="207">
        <v>1538</v>
      </c>
      <c r="C2606" s="215" t="s">
        <v>12121</v>
      </c>
      <c r="D2606" s="215" t="s">
        <v>12122</v>
      </c>
      <c r="E2606" s="215" t="s">
        <v>12123</v>
      </c>
      <c r="F2606" s="215" t="s">
        <v>160</v>
      </c>
      <c r="G2606" s="215" t="s">
        <v>11690</v>
      </c>
      <c r="H2606" s="215" t="s">
        <v>6500</v>
      </c>
      <c r="I2606" s="300"/>
      <c r="J2606" s="300"/>
      <c r="K2606" s="300"/>
      <c r="L2606" s="300"/>
      <c r="M2606" s="300"/>
      <c r="N2606" s="300"/>
      <c r="O2606" s="300"/>
      <c r="P2606" s="300"/>
      <c r="Q2606" s="300"/>
      <c r="R2606" s="300"/>
      <c r="S2606" s="300"/>
      <c r="T2606" s="300"/>
      <c r="U2606" s="300"/>
      <c r="V2606" s="300"/>
      <c r="W2606" s="300"/>
      <c r="X2606" s="300"/>
      <c r="Y2606" s="300"/>
      <c r="Z2606" s="300"/>
    </row>
    <row r="2607" spans="1:26">
      <c r="A2607" s="215" t="s">
        <v>4253</v>
      </c>
      <c r="B2607" s="207">
        <v>1539</v>
      </c>
      <c r="C2607" s="215" t="s">
        <v>12124</v>
      </c>
      <c r="D2607" s="215" t="s">
        <v>12125</v>
      </c>
      <c r="E2607" s="215" t="s">
        <v>12126</v>
      </c>
      <c r="F2607" s="215" t="s">
        <v>160</v>
      </c>
      <c r="G2607" s="215" t="s">
        <v>11690</v>
      </c>
      <c r="H2607" s="215" t="s">
        <v>6500</v>
      </c>
      <c r="I2607" s="300"/>
      <c r="J2607" s="300"/>
      <c r="K2607" s="300"/>
      <c r="L2607" s="300"/>
      <c r="M2607" s="300"/>
      <c r="N2607" s="300"/>
      <c r="O2607" s="300"/>
      <c r="P2607" s="300"/>
      <c r="Q2607" s="300"/>
      <c r="R2607" s="300"/>
      <c r="S2607" s="300"/>
      <c r="T2607" s="300"/>
      <c r="U2607" s="300"/>
      <c r="V2607" s="300"/>
      <c r="W2607" s="300"/>
      <c r="X2607" s="300"/>
      <c r="Y2607" s="300"/>
      <c r="Z2607" s="300"/>
    </row>
    <row r="2608" spans="1:26">
      <c r="A2608" s="215" t="s">
        <v>4229</v>
      </c>
      <c r="B2608" s="207">
        <v>1540</v>
      </c>
      <c r="C2608" s="215" t="s">
        <v>12127</v>
      </c>
      <c r="D2608" s="215" t="s">
        <v>12128</v>
      </c>
      <c r="E2608" s="215" t="s">
        <v>12129</v>
      </c>
      <c r="F2608" s="215" t="s">
        <v>160</v>
      </c>
      <c r="G2608" s="215" t="s">
        <v>11690</v>
      </c>
      <c r="H2608" s="215" t="s">
        <v>6500</v>
      </c>
      <c r="I2608" s="300"/>
      <c r="J2608" s="300"/>
      <c r="K2608" s="300"/>
      <c r="L2608" s="300"/>
      <c r="M2608" s="300"/>
      <c r="N2608" s="300"/>
      <c r="O2608" s="300"/>
      <c r="P2608" s="300"/>
      <c r="Q2608" s="300"/>
      <c r="R2608" s="300"/>
      <c r="S2608" s="300"/>
      <c r="T2608" s="300"/>
      <c r="U2608" s="300"/>
      <c r="V2608" s="300"/>
      <c r="W2608" s="300"/>
      <c r="X2608" s="300"/>
      <c r="Y2608" s="300"/>
      <c r="Z2608" s="300"/>
    </row>
    <row r="2609" spans="1:26">
      <c r="A2609" s="215" t="s">
        <v>2947</v>
      </c>
      <c r="B2609" s="207">
        <v>1541</v>
      </c>
      <c r="C2609" s="215" t="s">
        <v>12130</v>
      </c>
      <c r="D2609" s="215" t="s">
        <v>12131</v>
      </c>
      <c r="E2609" s="215" t="s">
        <v>12132</v>
      </c>
      <c r="F2609" s="215" t="s">
        <v>160</v>
      </c>
      <c r="G2609" s="215" t="s">
        <v>11690</v>
      </c>
      <c r="H2609" s="215" t="s">
        <v>6521</v>
      </c>
      <c r="I2609" s="300"/>
      <c r="J2609" s="300"/>
      <c r="K2609" s="300"/>
      <c r="L2609" s="300"/>
      <c r="M2609" s="300"/>
      <c r="N2609" s="300"/>
      <c r="O2609" s="300"/>
      <c r="P2609" s="300"/>
      <c r="Q2609" s="300"/>
      <c r="R2609" s="300"/>
      <c r="S2609" s="300"/>
      <c r="T2609" s="300"/>
      <c r="U2609" s="300"/>
      <c r="V2609" s="300"/>
      <c r="W2609" s="300"/>
      <c r="X2609" s="300"/>
      <c r="Y2609" s="300"/>
      <c r="Z2609" s="300"/>
    </row>
    <row r="2610" spans="1:26">
      <c r="A2610" s="215" t="s">
        <v>2947</v>
      </c>
      <c r="B2610" s="207">
        <v>1542</v>
      </c>
      <c r="C2610" s="215" t="s">
        <v>12133</v>
      </c>
      <c r="D2610" s="215" t="s">
        <v>12134</v>
      </c>
      <c r="E2610" s="215" t="s">
        <v>12135</v>
      </c>
      <c r="F2610" s="215" t="s">
        <v>160</v>
      </c>
      <c r="G2610" s="215" t="s">
        <v>11690</v>
      </c>
      <c r="H2610" s="215" t="s">
        <v>6521</v>
      </c>
      <c r="I2610" s="300"/>
      <c r="J2610" s="300"/>
      <c r="K2610" s="300"/>
      <c r="L2610" s="300"/>
      <c r="M2610" s="300"/>
      <c r="N2610" s="300"/>
      <c r="O2610" s="300"/>
      <c r="P2610" s="300"/>
      <c r="Q2610" s="300"/>
      <c r="R2610" s="300"/>
      <c r="S2610" s="300"/>
      <c r="T2610" s="300"/>
      <c r="U2610" s="300"/>
      <c r="V2610" s="300"/>
      <c r="W2610" s="300"/>
      <c r="X2610" s="300"/>
      <c r="Y2610" s="300"/>
      <c r="Z2610" s="300"/>
    </row>
    <row r="2611" spans="1:26">
      <c r="A2611" s="215" t="s">
        <v>3623</v>
      </c>
      <c r="B2611" s="207">
        <v>1543</v>
      </c>
      <c r="C2611" s="215" t="s">
        <v>5719</v>
      </c>
      <c r="D2611" s="215" t="s">
        <v>12136</v>
      </c>
      <c r="E2611" s="215" t="s">
        <v>12136</v>
      </c>
      <c r="F2611" s="215" t="s">
        <v>160</v>
      </c>
      <c r="G2611" s="215" t="s">
        <v>11690</v>
      </c>
      <c r="H2611" s="215" t="s">
        <v>6521</v>
      </c>
      <c r="I2611" s="300"/>
      <c r="J2611" s="300"/>
      <c r="K2611" s="300"/>
      <c r="L2611" s="300"/>
      <c r="M2611" s="300"/>
      <c r="N2611" s="300"/>
      <c r="O2611" s="300"/>
      <c r="P2611" s="300"/>
      <c r="Q2611" s="300"/>
      <c r="R2611" s="300"/>
      <c r="S2611" s="300"/>
      <c r="T2611" s="300"/>
      <c r="U2611" s="300"/>
      <c r="V2611" s="300"/>
      <c r="W2611" s="300"/>
      <c r="X2611" s="300"/>
      <c r="Y2611" s="300"/>
      <c r="Z2611" s="300"/>
    </row>
    <row r="2612" spans="1:26">
      <c r="A2612" s="215" t="s">
        <v>2966</v>
      </c>
      <c r="B2612" s="207">
        <v>1544</v>
      </c>
      <c r="C2612" s="215" t="s">
        <v>12137</v>
      </c>
      <c r="D2612" s="215" t="s">
        <v>12138</v>
      </c>
      <c r="E2612" s="215" t="s">
        <v>12138</v>
      </c>
      <c r="F2612" s="215" t="s">
        <v>160</v>
      </c>
      <c r="G2612" s="215" t="s">
        <v>11690</v>
      </c>
      <c r="H2612" s="215" t="s">
        <v>6500</v>
      </c>
      <c r="I2612" s="300"/>
      <c r="J2612" s="300"/>
      <c r="K2612" s="300"/>
      <c r="L2612" s="300"/>
      <c r="M2612" s="300"/>
      <c r="N2612" s="300"/>
      <c r="O2612" s="300"/>
      <c r="P2612" s="300"/>
      <c r="Q2612" s="300"/>
      <c r="R2612" s="300"/>
      <c r="S2612" s="300"/>
      <c r="T2612" s="300"/>
      <c r="U2612" s="300"/>
      <c r="V2612" s="300"/>
      <c r="W2612" s="300"/>
      <c r="X2612" s="300"/>
      <c r="Y2612" s="300"/>
      <c r="Z2612" s="300"/>
    </row>
    <row r="2613" spans="1:26">
      <c r="A2613" s="215" t="s">
        <v>2713</v>
      </c>
      <c r="B2613" s="207">
        <v>1547</v>
      </c>
      <c r="C2613" s="215" t="s">
        <v>12139</v>
      </c>
      <c r="D2613" s="215" t="s">
        <v>12140</v>
      </c>
      <c r="E2613" s="215" t="s">
        <v>12141</v>
      </c>
      <c r="F2613" s="215" t="s">
        <v>160</v>
      </c>
      <c r="G2613" s="215" t="s">
        <v>11690</v>
      </c>
      <c r="H2613" s="215" t="s">
        <v>6497</v>
      </c>
      <c r="I2613" s="300"/>
      <c r="J2613" s="300"/>
      <c r="K2613" s="300"/>
      <c r="L2613" s="300"/>
      <c r="M2613" s="300"/>
      <c r="N2613" s="300"/>
      <c r="O2613" s="300"/>
      <c r="P2613" s="300"/>
      <c r="Q2613" s="300"/>
      <c r="R2613" s="300"/>
      <c r="S2613" s="300"/>
      <c r="T2613" s="300"/>
      <c r="U2613" s="300"/>
      <c r="V2613" s="300"/>
      <c r="W2613" s="300"/>
      <c r="X2613" s="300"/>
      <c r="Y2613" s="300"/>
      <c r="Z2613" s="300"/>
    </row>
    <row r="2614" spans="1:26">
      <c r="A2614" s="215" t="s">
        <v>3460</v>
      </c>
      <c r="B2614" s="207">
        <v>1548</v>
      </c>
      <c r="C2614" s="215" t="s">
        <v>5576</v>
      </c>
      <c r="D2614" s="215" t="s">
        <v>12142</v>
      </c>
      <c r="E2614" s="215" t="s">
        <v>12142</v>
      </c>
      <c r="F2614" s="215" t="s">
        <v>160</v>
      </c>
      <c r="G2614" s="215" t="s">
        <v>11690</v>
      </c>
      <c r="H2614" s="215" t="s">
        <v>6548</v>
      </c>
      <c r="I2614" s="300"/>
      <c r="J2614" s="300"/>
      <c r="K2614" s="300"/>
      <c r="L2614" s="300"/>
      <c r="M2614" s="300"/>
      <c r="N2614" s="300"/>
      <c r="O2614" s="300"/>
      <c r="P2614" s="300"/>
      <c r="Q2614" s="300"/>
      <c r="R2614" s="300"/>
      <c r="S2614" s="300"/>
      <c r="T2614" s="300"/>
      <c r="U2614" s="300"/>
      <c r="V2614" s="300"/>
      <c r="W2614" s="300"/>
      <c r="X2614" s="300"/>
      <c r="Y2614" s="300"/>
      <c r="Z2614" s="300"/>
    </row>
    <row r="2615" spans="1:26">
      <c r="A2615" s="215" t="s">
        <v>3980</v>
      </c>
      <c r="B2615" s="207">
        <v>1549</v>
      </c>
      <c r="C2615" s="215" t="s">
        <v>6015</v>
      </c>
      <c r="D2615" s="215" t="s">
        <v>12143</v>
      </c>
      <c r="E2615" s="215" t="s">
        <v>12143</v>
      </c>
      <c r="F2615" s="215" t="s">
        <v>160</v>
      </c>
      <c r="G2615" s="215" t="s">
        <v>11690</v>
      </c>
      <c r="H2615" s="215" t="s">
        <v>6548</v>
      </c>
      <c r="I2615" s="300"/>
      <c r="J2615" s="300"/>
      <c r="K2615" s="300"/>
      <c r="L2615" s="300"/>
      <c r="M2615" s="300"/>
      <c r="N2615" s="300"/>
      <c r="O2615" s="300"/>
      <c r="P2615" s="300"/>
      <c r="Q2615" s="300"/>
      <c r="R2615" s="300"/>
      <c r="S2615" s="300"/>
      <c r="T2615" s="300"/>
      <c r="U2615" s="300"/>
      <c r="V2615" s="300"/>
      <c r="W2615" s="300"/>
      <c r="X2615" s="300"/>
      <c r="Y2615" s="300"/>
      <c r="Z2615" s="300"/>
    </row>
    <row r="2616" spans="1:26">
      <c r="A2616" s="215" t="s">
        <v>4427</v>
      </c>
      <c r="B2616" s="207">
        <v>1550</v>
      </c>
      <c r="C2616" s="215" t="s">
        <v>12144</v>
      </c>
      <c r="D2616" s="215" t="s">
        <v>12145</v>
      </c>
      <c r="E2616" s="215" t="s">
        <v>12145</v>
      </c>
      <c r="F2616" s="215" t="s">
        <v>160</v>
      </c>
      <c r="G2616" s="215" t="s">
        <v>11690</v>
      </c>
      <c r="H2616" s="215" t="s">
        <v>6504</v>
      </c>
      <c r="I2616" s="300"/>
      <c r="J2616" s="300"/>
      <c r="K2616" s="300"/>
      <c r="L2616" s="300"/>
      <c r="M2616" s="300"/>
      <c r="N2616" s="300"/>
      <c r="O2616" s="300"/>
      <c r="P2616" s="300"/>
      <c r="Q2616" s="300"/>
      <c r="R2616" s="300"/>
      <c r="S2616" s="300"/>
      <c r="T2616" s="300"/>
      <c r="U2616" s="300"/>
      <c r="V2616" s="300"/>
      <c r="W2616" s="300"/>
      <c r="X2616" s="300"/>
      <c r="Y2616" s="300"/>
      <c r="Z2616" s="300"/>
    </row>
    <row r="2617" spans="1:26">
      <c r="A2617" s="215" t="s">
        <v>12146</v>
      </c>
      <c r="B2617" s="207">
        <v>1571</v>
      </c>
      <c r="C2617" s="215" t="s">
        <v>6143</v>
      </c>
      <c r="D2617" s="215" t="s">
        <v>12147</v>
      </c>
      <c r="E2617" s="215" t="s">
        <v>12148</v>
      </c>
      <c r="F2617" s="215" t="s">
        <v>160</v>
      </c>
      <c r="G2617" s="215" t="s">
        <v>11690</v>
      </c>
      <c r="H2617" s="215" t="s">
        <v>6497</v>
      </c>
      <c r="I2617" s="300"/>
      <c r="J2617" s="300"/>
      <c r="K2617" s="300"/>
      <c r="L2617" s="300"/>
      <c r="M2617" s="300"/>
      <c r="N2617" s="300"/>
      <c r="O2617" s="300"/>
      <c r="P2617" s="300"/>
      <c r="Q2617" s="300"/>
      <c r="R2617" s="300"/>
      <c r="S2617" s="300"/>
      <c r="T2617" s="300"/>
      <c r="U2617" s="300"/>
      <c r="V2617" s="300"/>
      <c r="W2617" s="300"/>
      <c r="X2617" s="300"/>
      <c r="Y2617" s="300"/>
      <c r="Z2617" s="300"/>
    </row>
    <row r="2618" spans="1:26">
      <c r="A2618" s="215" t="s">
        <v>2795</v>
      </c>
      <c r="B2618" s="207">
        <v>1678</v>
      </c>
      <c r="C2618" s="215" t="s">
        <v>4958</v>
      </c>
      <c r="D2618" s="215" t="s">
        <v>12149</v>
      </c>
      <c r="E2618" s="215" t="s">
        <v>12150</v>
      </c>
      <c r="F2618" s="215" t="s">
        <v>12151</v>
      </c>
      <c r="G2618" s="215" t="s">
        <v>12152</v>
      </c>
      <c r="H2618" s="215" t="s">
        <v>6500</v>
      </c>
      <c r="I2618" s="300"/>
      <c r="J2618" s="300"/>
      <c r="K2618" s="300"/>
      <c r="L2618" s="300"/>
      <c r="M2618" s="300"/>
      <c r="N2618" s="300"/>
      <c r="O2618" s="300"/>
      <c r="P2618" s="300"/>
      <c r="Q2618" s="300"/>
      <c r="R2618" s="300"/>
      <c r="S2618" s="300"/>
      <c r="T2618" s="300"/>
      <c r="U2618" s="300"/>
      <c r="V2618" s="300"/>
      <c r="W2618" s="300"/>
      <c r="X2618" s="300"/>
      <c r="Y2618" s="300"/>
      <c r="Z2618" s="300"/>
    </row>
    <row r="2619" spans="1:26">
      <c r="A2619" s="215" t="s">
        <v>3879</v>
      </c>
      <c r="B2619" s="207">
        <v>1439</v>
      </c>
      <c r="C2619" s="215" t="s">
        <v>5944</v>
      </c>
      <c r="D2619" s="215" t="s">
        <v>12153</v>
      </c>
      <c r="E2619" s="215" t="s">
        <v>12153</v>
      </c>
      <c r="F2619" s="215" t="s">
        <v>12154</v>
      </c>
      <c r="G2619" s="215" t="s">
        <v>12155</v>
      </c>
      <c r="H2619" s="215" t="s">
        <v>6504</v>
      </c>
      <c r="I2619" s="300"/>
      <c r="J2619" s="300"/>
      <c r="K2619" s="300"/>
      <c r="L2619" s="300"/>
      <c r="M2619" s="300"/>
      <c r="N2619" s="300"/>
      <c r="O2619" s="300"/>
      <c r="P2619" s="300"/>
      <c r="Q2619" s="300"/>
      <c r="R2619" s="300"/>
      <c r="S2619" s="300"/>
      <c r="T2619" s="300"/>
      <c r="U2619" s="300"/>
      <c r="V2619" s="300"/>
      <c r="W2619" s="300"/>
      <c r="X2619" s="300"/>
      <c r="Y2619" s="300"/>
      <c r="Z2619" s="300"/>
    </row>
    <row r="2620" spans="1:26">
      <c r="A2620" s="215" t="s">
        <v>12156</v>
      </c>
      <c r="B2620" s="207">
        <v>2486</v>
      </c>
      <c r="C2620" s="215" t="s">
        <v>4897</v>
      </c>
      <c r="D2620" s="215" t="s">
        <v>12157</v>
      </c>
      <c r="E2620" s="215" t="s">
        <v>12158</v>
      </c>
      <c r="F2620" s="215" t="s">
        <v>12154</v>
      </c>
      <c r="G2620" s="215" t="s">
        <v>12155</v>
      </c>
      <c r="H2620" s="215" t="s">
        <v>6500</v>
      </c>
      <c r="I2620" s="300"/>
      <c r="J2620" s="300"/>
      <c r="K2620" s="300"/>
      <c r="L2620" s="300"/>
      <c r="M2620" s="300"/>
      <c r="N2620" s="300"/>
      <c r="O2620" s="300"/>
      <c r="P2620" s="300"/>
      <c r="Q2620" s="300"/>
      <c r="R2620" s="300"/>
      <c r="S2620" s="300"/>
      <c r="T2620" s="300"/>
      <c r="U2620" s="300"/>
      <c r="V2620" s="300"/>
      <c r="W2620" s="300"/>
      <c r="X2620" s="300"/>
      <c r="Y2620" s="300"/>
      <c r="Z2620" s="300"/>
    </row>
    <row r="2621" spans="1:26">
      <c r="A2621" s="215" t="s">
        <v>4508</v>
      </c>
      <c r="B2621" s="207">
        <v>297</v>
      </c>
      <c r="C2621" s="215" t="s">
        <v>12159</v>
      </c>
      <c r="D2621" s="215" t="s">
        <v>12160</v>
      </c>
      <c r="E2621" s="215" t="s">
        <v>12161</v>
      </c>
      <c r="F2621" s="215" t="s">
        <v>12162</v>
      </c>
      <c r="G2621" s="215" t="s">
        <v>12163</v>
      </c>
      <c r="H2621" s="215" t="s">
        <v>6521</v>
      </c>
      <c r="I2621" s="300"/>
      <c r="J2621" s="300"/>
      <c r="K2621" s="300"/>
      <c r="L2621" s="300"/>
      <c r="M2621" s="300"/>
      <c r="N2621" s="300"/>
      <c r="O2621" s="300"/>
      <c r="P2621" s="300"/>
      <c r="Q2621" s="300"/>
      <c r="R2621" s="300"/>
      <c r="S2621" s="300"/>
      <c r="T2621" s="300"/>
      <c r="U2621" s="300"/>
      <c r="V2621" s="300"/>
      <c r="W2621" s="300"/>
      <c r="X2621" s="300"/>
      <c r="Y2621" s="300"/>
      <c r="Z2621" s="300"/>
    </row>
    <row r="2622" spans="1:26">
      <c r="A2622" s="215" t="s">
        <v>4442</v>
      </c>
      <c r="B2622" s="207">
        <v>303</v>
      </c>
      <c r="C2622" s="215" t="s">
        <v>6374</v>
      </c>
      <c r="D2622" s="215" t="s">
        <v>12164</v>
      </c>
      <c r="E2622" s="215" t="s">
        <v>12164</v>
      </c>
      <c r="F2622" s="215" t="s">
        <v>12162</v>
      </c>
      <c r="G2622" s="215" t="s">
        <v>12163</v>
      </c>
      <c r="H2622" s="215" t="s">
        <v>6497</v>
      </c>
      <c r="I2622" s="300"/>
      <c r="J2622" s="300"/>
      <c r="K2622" s="300"/>
      <c r="L2622" s="300"/>
      <c r="M2622" s="300"/>
      <c r="N2622" s="300"/>
      <c r="O2622" s="300"/>
      <c r="P2622" s="300"/>
      <c r="Q2622" s="300"/>
      <c r="R2622" s="300"/>
      <c r="S2622" s="300"/>
      <c r="T2622" s="300"/>
      <c r="U2622" s="300"/>
      <c r="V2622" s="300"/>
      <c r="W2622" s="300"/>
      <c r="X2622" s="300"/>
      <c r="Y2622" s="300"/>
      <c r="Z2622" s="300"/>
    </row>
    <row r="2623" spans="1:26">
      <c r="A2623" s="215" t="s">
        <v>4502</v>
      </c>
      <c r="B2623" s="207">
        <v>310</v>
      </c>
      <c r="C2623" s="215" t="s">
        <v>12165</v>
      </c>
      <c r="D2623" s="215" t="s">
        <v>12166</v>
      </c>
      <c r="E2623" s="215" t="s">
        <v>12166</v>
      </c>
      <c r="F2623" s="215" t="s">
        <v>12162</v>
      </c>
      <c r="G2623" s="215" t="s">
        <v>12163</v>
      </c>
      <c r="H2623" s="215" t="s">
        <v>6500</v>
      </c>
      <c r="I2623" s="300"/>
      <c r="J2623" s="300"/>
      <c r="K2623" s="300"/>
      <c r="L2623" s="300"/>
      <c r="M2623" s="300"/>
      <c r="N2623" s="300"/>
      <c r="O2623" s="300"/>
      <c r="P2623" s="300"/>
      <c r="Q2623" s="300"/>
      <c r="R2623" s="300"/>
      <c r="S2623" s="300"/>
      <c r="T2623" s="300"/>
      <c r="U2623" s="300"/>
      <c r="V2623" s="300"/>
      <c r="W2623" s="300"/>
      <c r="X2623" s="300"/>
      <c r="Y2623" s="300"/>
      <c r="Z2623" s="300"/>
    </row>
    <row r="2624" spans="1:26">
      <c r="A2624" s="215" t="s">
        <v>4125</v>
      </c>
      <c r="B2624" s="207">
        <v>312</v>
      </c>
      <c r="C2624" s="215" t="s">
        <v>6120</v>
      </c>
      <c r="D2624" s="215" t="s">
        <v>12167</v>
      </c>
      <c r="E2624" s="215" t="s">
        <v>12168</v>
      </c>
      <c r="F2624" s="215" t="s">
        <v>12162</v>
      </c>
      <c r="G2624" s="215" t="s">
        <v>12163</v>
      </c>
      <c r="H2624" s="215" t="s">
        <v>6497</v>
      </c>
      <c r="I2624" s="300"/>
      <c r="J2624" s="300"/>
      <c r="K2624" s="300"/>
      <c r="L2624" s="300"/>
      <c r="M2624" s="300"/>
      <c r="N2624" s="300"/>
      <c r="O2624" s="300"/>
      <c r="P2624" s="300"/>
      <c r="Q2624" s="300"/>
      <c r="R2624" s="300"/>
      <c r="S2624" s="300"/>
      <c r="T2624" s="300"/>
      <c r="U2624" s="300"/>
      <c r="V2624" s="300"/>
      <c r="W2624" s="300"/>
      <c r="X2624" s="300"/>
      <c r="Y2624" s="300"/>
      <c r="Z2624" s="300"/>
    </row>
    <row r="2625" spans="1:26">
      <c r="A2625" s="215" t="s">
        <v>2730</v>
      </c>
      <c r="B2625" s="207">
        <v>317</v>
      </c>
      <c r="C2625" s="215" t="s">
        <v>4887</v>
      </c>
      <c r="D2625" s="215" t="s">
        <v>12169</v>
      </c>
      <c r="E2625" s="215" t="s">
        <v>12170</v>
      </c>
      <c r="F2625" s="215" t="s">
        <v>12162</v>
      </c>
      <c r="G2625" s="215" t="s">
        <v>12163</v>
      </c>
      <c r="H2625" s="215" t="s">
        <v>6497</v>
      </c>
      <c r="I2625" s="300"/>
      <c r="J2625" s="300"/>
      <c r="K2625" s="300"/>
      <c r="L2625" s="300"/>
      <c r="M2625" s="300"/>
      <c r="N2625" s="300"/>
      <c r="O2625" s="300"/>
      <c r="P2625" s="300"/>
      <c r="Q2625" s="300"/>
      <c r="R2625" s="300"/>
      <c r="S2625" s="300"/>
      <c r="T2625" s="300"/>
      <c r="U2625" s="300"/>
      <c r="V2625" s="300"/>
      <c r="W2625" s="300"/>
      <c r="X2625" s="300"/>
      <c r="Y2625" s="300"/>
      <c r="Z2625" s="300"/>
    </row>
    <row r="2626" spans="1:26">
      <c r="A2626" s="215" t="s">
        <v>3595</v>
      </c>
      <c r="B2626" s="207">
        <v>319</v>
      </c>
      <c r="C2626" s="215" t="s">
        <v>5695</v>
      </c>
      <c r="D2626" s="215" t="s">
        <v>12171</v>
      </c>
      <c r="E2626" s="215" t="s">
        <v>12172</v>
      </c>
      <c r="F2626" s="215" t="s">
        <v>12162</v>
      </c>
      <c r="G2626" s="215" t="s">
        <v>12163</v>
      </c>
      <c r="H2626" s="215" t="s">
        <v>6497</v>
      </c>
      <c r="I2626" s="300"/>
      <c r="J2626" s="300"/>
      <c r="K2626" s="300"/>
      <c r="L2626" s="300"/>
      <c r="M2626" s="300"/>
      <c r="N2626" s="300"/>
      <c r="O2626" s="300"/>
      <c r="P2626" s="300"/>
      <c r="Q2626" s="300"/>
      <c r="R2626" s="300"/>
      <c r="S2626" s="300"/>
      <c r="T2626" s="300"/>
      <c r="U2626" s="300"/>
      <c r="V2626" s="300"/>
      <c r="W2626" s="300"/>
      <c r="X2626" s="300"/>
      <c r="Y2626" s="300"/>
      <c r="Z2626" s="300"/>
    </row>
    <row r="2627" spans="1:26">
      <c r="A2627" s="215" t="s">
        <v>3125</v>
      </c>
      <c r="B2627" s="207">
        <v>321</v>
      </c>
      <c r="C2627" s="215" t="s">
        <v>12173</v>
      </c>
      <c r="D2627" s="215" t="s">
        <v>12174</v>
      </c>
      <c r="E2627" s="215" t="s">
        <v>12175</v>
      </c>
      <c r="F2627" s="215" t="s">
        <v>12162</v>
      </c>
      <c r="G2627" s="215" t="s">
        <v>12163</v>
      </c>
      <c r="H2627" s="215" t="s">
        <v>6504</v>
      </c>
      <c r="I2627" s="300"/>
      <c r="J2627" s="300"/>
      <c r="K2627" s="300"/>
      <c r="L2627" s="300"/>
      <c r="M2627" s="300"/>
      <c r="N2627" s="300"/>
      <c r="O2627" s="300"/>
      <c r="P2627" s="300"/>
      <c r="Q2627" s="300"/>
      <c r="R2627" s="300"/>
      <c r="S2627" s="300"/>
      <c r="T2627" s="300"/>
      <c r="U2627" s="300"/>
      <c r="V2627" s="300"/>
      <c r="W2627" s="300"/>
      <c r="X2627" s="300"/>
      <c r="Y2627" s="300"/>
      <c r="Z2627" s="300"/>
    </row>
    <row r="2628" spans="1:26">
      <c r="A2628" s="215" t="s">
        <v>4507</v>
      </c>
      <c r="B2628" s="207">
        <v>324</v>
      </c>
      <c r="C2628" s="215" t="s">
        <v>6425</v>
      </c>
      <c r="D2628" s="215" t="s">
        <v>12176</v>
      </c>
      <c r="E2628" s="215" t="s">
        <v>12177</v>
      </c>
      <c r="F2628" s="215" t="s">
        <v>12162</v>
      </c>
      <c r="G2628" s="215" t="s">
        <v>12163</v>
      </c>
      <c r="H2628" s="215" t="s">
        <v>6504</v>
      </c>
      <c r="I2628" s="300"/>
      <c r="J2628" s="300"/>
      <c r="K2628" s="300"/>
      <c r="L2628" s="300"/>
      <c r="M2628" s="300"/>
      <c r="N2628" s="300"/>
      <c r="O2628" s="300"/>
      <c r="P2628" s="300"/>
      <c r="Q2628" s="300"/>
      <c r="R2628" s="300"/>
      <c r="S2628" s="300"/>
      <c r="T2628" s="300"/>
      <c r="U2628" s="300"/>
      <c r="V2628" s="300"/>
      <c r="W2628" s="300"/>
      <c r="X2628" s="300"/>
      <c r="Y2628" s="300"/>
      <c r="Z2628" s="300"/>
    </row>
    <row r="2629" spans="1:26">
      <c r="A2629" s="215" t="s">
        <v>4534</v>
      </c>
      <c r="B2629" s="207">
        <v>325</v>
      </c>
      <c r="C2629" s="215" t="s">
        <v>12178</v>
      </c>
      <c r="D2629" s="215" t="s">
        <v>12179</v>
      </c>
      <c r="E2629" s="215" t="s">
        <v>12180</v>
      </c>
      <c r="F2629" s="215" t="s">
        <v>12162</v>
      </c>
      <c r="G2629" s="215" t="s">
        <v>12163</v>
      </c>
      <c r="H2629" s="215" t="s">
        <v>6504</v>
      </c>
      <c r="I2629" s="300"/>
      <c r="J2629" s="300"/>
      <c r="K2629" s="300"/>
      <c r="L2629" s="300"/>
      <c r="M2629" s="300"/>
      <c r="N2629" s="300"/>
      <c r="O2629" s="300"/>
      <c r="P2629" s="300"/>
      <c r="Q2629" s="300"/>
      <c r="R2629" s="300"/>
      <c r="S2629" s="300"/>
      <c r="T2629" s="300"/>
      <c r="U2629" s="300"/>
      <c r="V2629" s="300"/>
      <c r="W2629" s="300"/>
      <c r="X2629" s="300"/>
      <c r="Y2629" s="300"/>
      <c r="Z2629" s="300"/>
    </row>
    <row r="2630" spans="1:26">
      <c r="A2630" s="215" t="s">
        <v>12181</v>
      </c>
      <c r="B2630" s="207">
        <v>326</v>
      </c>
      <c r="C2630" s="215" t="s">
        <v>6462</v>
      </c>
      <c r="D2630" s="215" t="s">
        <v>12182</v>
      </c>
      <c r="E2630" s="215" t="s">
        <v>12182</v>
      </c>
      <c r="F2630" s="215" t="s">
        <v>12162</v>
      </c>
      <c r="G2630" s="215" t="s">
        <v>12163</v>
      </c>
      <c r="H2630" s="215" t="s">
        <v>6521</v>
      </c>
      <c r="I2630" s="300"/>
      <c r="J2630" s="300"/>
      <c r="K2630" s="300"/>
      <c r="L2630" s="300"/>
      <c r="M2630" s="300"/>
      <c r="N2630" s="300"/>
      <c r="O2630" s="300"/>
      <c r="P2630" s="300"/>
      <c r="Q2630" s="300"/>
      <c r="R2630" s="300"/>
      <c r="S2630" s="300"/>
      <c r="T2630" s="300"/>
      <c r="U2630" s="300"/>
      <c r="V2630" s="300"/>
      <c r="W2630" s="300"/>
      <c r="X2630" s="300"/>
      <c r="Y2630" s="300"/>
      <c r="Z2630" s="300"/>
    </row>
    <row r="2631" spans="1:26">
      <c r="A2631" s="215" t="s">
        <v>2879</v>
      </c>
      <c r="B2631" s="207">
        <v>681</v>
      </c>
      <c r="C2631" s="215" t="s">
        <v>5046</v>
      </c>
      <c r="D2631" s="215" t="s">
        <v>12183</v>
      </c>
      <c r="E2631" s="215" t="s">
        <v>12183</v>
      </c>
      <c r="F2631" s="215" t="s">
        <v>12162</v>
      </c>
      <c r="G2631" s="215" t="s">
        <v>12163</v>
      </c>
      <c r="H2631" s="215" t="s">
        <v>6504</v>
      </c>
      <c r="I2631" s="300"/>
      <c r="J2631" s="300"/>
      <c r="K2631" s="300"/>
      <c r="L2631" s="300"/>
      <c r="M2631" s="300"/>
      <c r="N2631" s="300"/>
      <c r="O2631" s="300"/>
      <c r="P2631" s="300"/>
      <c r="Q2631" s="300"/>
      <c r="R2631" s="300"/>
      <c r="S2631" s="300"/>
      <c r="T2631" s="300"/>
      <c r="U2631" s="300"/>
      <c r="V2631" s="300"/>
      <c r="W2631" s="300"/>
      <c r="X2631" s="300"/>
      <c r="Y2631" s="300"/>
      <c r="Z2631" s="300"/>
    </row>
    <row r="2632" spans="1:26">
      <c r="A2632" s="215" t="s">
        <v>7182</v>
      </c>
      <c r="B2632" s="207">
        <v>683</v>
      </c>
      <c r="C2632" s="215" t="s">
        <v>12184</v>
      </c>
      <c r="D2632" s="215" t="s">
        <v>12185</v>
      </c>
      <c r="E2632" s="215" t="s">
        <v>12186</v>
      </c>
      <c r="F2632" s="215" t="s">
        <v>12162</v>
      </c>
      <c r="G2632" s="215" t="s">
        <v>12163</v>
      </c>
      <c r="H2632" s="215" t="s">
        <v>6504</v>
      </c>
      <c r="I2632" s="300"/>
      <c r="J2632" s="300"/>
      <c r="K2632" s="300"/>
      <c r="L2632" s="300"/>
      <c r="M2632" s="300"/>
      <c r="N2632" s="300"/>
      <c r="O2632" s="300"/>
      <c r="P2632" s="300"/>
      <c r="Q2632" s="300"/>
      <c r="R2632" s="300"/>
      <c r="S2632" s="300"/>
      <c r="T2632" s="300"/>
      <c r="U2632" s="300"/>
      <c r="V2632" s="300"/>
      <c r="W2632" s="300"/>
      <c r="X2632" s="300"/>
      <c r="Y2632" s="300"/>
      <c r="Z2632" s="300"/>
    </row>
    <row r="2633" spans="1:26">
      <c r="A2633" s="215" t="s">
        <v>3886</v>
      </c>
      <c r="B2633" s="207">
        <v>685</v>
      </c>
      <c r="C2633" s="215" t="s">
        <v>12187</v>
      </c>
      <c r="D2633" s="215" t="s">
        <v>12188</v>
      </c>
      <c r="E2633" s="215" t="s">
        <v>12189</v>
      </c>
      <c r="F2633" s="215" t="s">
        <v>12162</v>
      </c>
      <c r="G2633" s="215" t="s">
        <v>12163</v>
      </c>
      <c r="H2633" s="215" t="s">
        <v>6497</v>
      </c>
      <c r="I2633" s="300"/>
      <c r="J2633" s="300"/>
      <c r="K2633" s="300"/>
      <c r="L2633" s="300"/>
      <c r="M2633" s="300"/>
      <c r="N2633" s="300"/>
      <c r="O2633" s="300"/>
      <c r="P2633" s="300"/>
      <c r="Q2633" s="300"/>
      <c r="R2633" s="300"/>
      <c r="S2633" s="300"/>
      <c r="T2633" s="300"/>
      <c r="U2633" s="300"/>
      <c r="V2633" s="300"/>
      <c r="W2633" s="300"/>
      <c r="X2633" s="300"/>
      <c r="Y2633" s="300"/>
      <c r="Z2633" s="300"/>
    </row>
    <row r="2634" spans="1:26">
      <c r="A2634" s="215" t="s">
        <v>6970</v>
      </c>
      <c r="B2634" s="207">
        <v>1961</v>
      </c>
      <c r="C2634" s="215" t="s">
        <v>12190</v>
      </c>
      <c r="D2634" s="215" t="s">
        <v>12191</v>
      </c>
      <c r="E2634" s="215" t="s">
        <v>12192</v>
      </c>
      <c r="F2634" s="215" t="s">
        <v>12162</v>
      </c>
      <c r="G2634" s="215" t="s">
        <v>12163</v>
      </c>
      <c r="H2634" s="215" t="s">
        <v>6497</v>
      </c>
      <c r="I2634" s="300"/>
      <c r="J2634" s="300"/>
      <c r="K2634" s="300"/>
      <c r="L2634" s="300"/>
      <c r="M2634" s="300"/>
      <c r="N2634" s="300"/>
      <c r="O2634" s="300"/>
      <c r="P2634" s="300"/>
      <c r="Q2634" s="300"/>
      <c r="R2634" s="300"/>
      <c r="S2634" s="300"/>
      <c r="T2634" s="300"/>
      <c r="U2634" s="300"/>
      <c r="V2634" s="300"/>
      <c r="W2634" s="300"/>
      <c r="X2634" s="300"/>
      <c r="Y2634" s="300"/>
      <c r="Z2634" s="300"/>
    </row>
    <row r="2635" spans="1:26">
      <c r="A2635" s="215" t="s">
        <v>3919</v>
      </c>
      <c r="B2635" s="207">
        <v>1963</v>
      </c>
      <c r="C2635" s="215" t="s">
        <v>12193</v>
      </c>
      <c r="D2635" s="215" t="s">
        <v>12194</v>
      </c>
      <c r="E2635" s="215" t="s">
        <v>12195</v>
      </c>
      <c r="F2635" s="215" t="s">
        <v>12162</v>
      </c>
      <c r="G2635" s="215" t="s">
        <v>12163</v>
      </c>
      <c r="H2635" s="215" t="s">
        <v>6521</v>
      </c>
      <c r="I2635" s="300"/>
      <c r="J2635" s="300"/>
      <c r="K2635" s="300"/>
      <c r="L2635" s="300"/>
      <c r="M2635" s="300"/>
      <c r="N2635" s="300"/>
      <c r="O2635" s="300"/>
      <c r="P2635" s="300"/>
      <c r="Q2635" s="300"/>
      <c r="R2635" s="300"/>
      <c r="S2635" s="300"/>
      <c r="T2635" s="300"/>
      <c r="U2635" s="300"/>
      <c r="V2635" s="300"/>
      <c r="W2635" s="300"/>
      <c r="X2635" s="300"/>
      <c r="Y2635" s="300"/>
      <c r="Z2635" s="300"/>
    </row>
    <row r="2636" spans="1:26">
      <c r="A2636" s="215" t="s">
        <v>3907</v>
      </c>
      <c r="B2636" s="207">
        <v>1966</v>
      </c>
      <c r="C2636" s="215" t="s">
        <v>5962</v>
      </c>
      <c r="D2636" s="215" t="s">
        <v>12196</v>
      </c>
      <c r="E2636" s="215" t="s">
        <v>12196</v>
      </c>
      <c r="F2636" s="215" t="s">
        <v>12162</v>
      </c>
      <c r="G2636" s="215" t="s">
        <v>12163</v>
      </c>
      <c r="H2636" s="215" t="s">
        <v>6497</v>
      </c>
      <c r="I2636" s="300"/>
      <c r="J2636" s="300"/>
      <c r="K2636" s="300"/>
      <c r="L2636" s="300"/>
      <c r="M2636" s="300"/>
      <c r="N2636" s="300"/>
      <c r="O2636" s="300"/>
      <c r="P2636" s="300"/>
      <c r="Q2636" s="300"/>
      <c r="R2636" s="300"/>
      <c r="S2636" s="300"/>
      <c r="T2636" s="300"/>
      <c r="U2636" s="300"/>
      <c r="V2636" s="300"/>
      <c r="W2636" s="300"/>
      <c r="X2636" s="300"/>
      <c r="Y2636" s="300"/>
      <c r="Z2636" s="300"/>
    </row>
    <row r="2637" spans="1:26">
      <c r="A2637" s="215" t="s">
        <v>3887</v>
      </c>
      <c r="B2637" s="207">
        <v>1967</v>
      </c>
      <c r="C2637" s="215" t="s">
        <v>5949</v>
      </c>
      <c r="D2637" s="215" t="s">
        <v>12197</v>
      </c>
      <c r="E2637" s="215" t="s">
        <v>12197</v>
      </c>
      <c r="F2637" s="215" t="s">
        <v>12162</v>
      </c>
      <c r="G2637" s="215" t="s">
        <v>12163</v>
      </c>
      <c r="H2637" s="215" t="s">
        <v>6521</v>
      </c>
      <c r="I2637" s="300"/>
      <c r="J2637" s="300"/>
      <c r="K2637" s="300"/>
      <c r="L2637" s="300"/>
      <c r="M2637" s="300"/>
      <c r="N2637" s="300"/>
      <c r="O2637" s="300"/>
      <c r="P2637" s="300"/>
      <c r="Q2637" s="300"/>
      <c r="R2637" s="300"/>
      <c r="S2637" s="300"/>
      <c r="T2637" s="300"/>
      <c r="U2637" s="300"/>
      <c r="V2637" s="300"/>
      <c r="W2637" s="300"/>
      <c r="X2637" s="300"/>
      <c r="Y2637" s="300"/>
      <c r="Z2637" s="300"/>
    </row>
    <row r="2638" spans="1:26">
      <c r="A2638" s="215" t="s">
        <v>4493</v>
      </c>
      <c r="B2638" s="207">
        <v>1977</v>
      </c>
      <c r="C2638" s="215" t="s">
        <v>12198</v>
      </c>
      <c r="D2638" s="215" t="s">
        <v>12199</v>
      </c>
      <c r="E2638" s="215" t="s">
        <v>12200</v>
      </c>
      <c r="F2638" s="215" t="s">
        <v>12162</v>
      </c>
      <c r="G2638" s="215" t="s">
        <v>12163</v>
      </c>
      <c r="H2638" s="215" t="s">
        <v>6521</v>
      </c>
      <c r="I2638" s="300"/>
      <c r="J2638" s="300"/>
      <c r="K2638" s="300"/>
      <c r="L2638" s="300"/>
      <c r="M2638" s="300"/>
      <c r="N2638" s="300"/>
      <c r="O2638" s="300"/>
      <c r="P2638" s="300"/>
      <c r="Q2638" s="300"/>
      <c r="R2638" s="300"/>
      <c r="S2638" s="300"/>
      <c r="T2638" s="300"/>
      <c r="U2638" s="300"/>
      <c r="V2638" s="300"/>
      <c r="W2638" s="300"/>
      <c r="X2638" s="300"/>
      <c r="Y2638" s="300"/>
      <c r="Z2638" s="300"/>
    </row>
    <row r="2639" spans="1:26">
      <c r="A2639" s="215" t="s">
        <v>4071</v>
      </c>
      <c r="B2639" s="207">
        <v>1978</v>
      </c>
      <c r="C2639" s="215" t="s">
        <v>12201</v>
      </c>
      <c r="D2639" s="215" t="s">
        <v>12202</v>
      </c>
      <c r="E2639" s="215" t="s">
        <v>12203</v>
      </c>
      <c r="F2639" s="215" t="s">
        <v>12162</v>
      </c>
      <c r="G2639" s="215" t="s">
        <v>12163</v>
      </c>
      <c r="H2639" s="215" t="s">
        <v>6521</v>
      </c>
      <c r="I2639" s="300"/>
      <c r="J2639" s="300"/>
      <c r="K2639" s="300"/>
      <c r="L2639" s="300"/>
      <c r="M2639" s="300"/>
      <c r="N2639" s="300"/>
      <c r="O2639" s="300"/>
      <c r="P2639" s="300"/>
      <c r="Q2639" s="300"/>
      <c r="R2639" s="300"/>
      <c r="S2639" s="300"/>
      <c r="T2639" s="300"/>
      <c r="U2639" s="300"/>
      <c r="V2639" s="300"/>
      <c r="W2639" s="300"/>
      <c r="X2639" s="300"/>
      <c r="Y2639" s="300"/>
      <c r="Z2639" s="300"/>
    </row>
    <row r="2640" spans="1:26">
      <c r="A2640" s="215" t="s">
        <v>3596</v>
      </c>
      <c r="B2640" s="207">
        <v>1979</v>
      </c>
      <c r="C2640" s="215" t="s">
        <v>12204</v>
      </c>
      <c r="D2640" s="215" t="s">
        <v>12205</v>
      </c>
      <c r="E2640" s="215" t="s">
        <v>12206</v>
      </c>
      <c r="F2640" s="215" t="s">
        <v>12162</v>
      </c>
      <c r="G2640" s="215" t="s">
        <v>12163</v>
      </c>
      <c r="H2640" s="215" t="s">
        <v>6521</v>
      </c>
      <c r="I2640" s="300"/>
      <c r="J2640" s="300"/>
      <c r="K2640" s="300"/>
      <c r="L2640" s="300"/>
      <c r="M2640" s="300"/>
      <c r="N2640" s="300"/>
      <c r="O2640" s="300"/>
      <c r="P2640" s="300"/>
      <c r="Q2640" s="300"/>
      <c r="R2640" s="300"/>
      <c r="S2640" s="300"/>
      <c r="T2640" s="300"/>
      <c r="U2640" s="300"/>
      <c r="V2640" s="300"/>
      <c r="W2640" s="300"/>
      <c r="X2640" s="300"/>
      <c r="Y2640" s="300"/>
      <c r="Z2640" s="300"/>
    </row>
    <row r="2641" spans="1:26">
      <c r="A2641" s="215" t="s">
        <v>6976</v>
      </c>
      <c r="B2641" s="207">
        <v>1981</v>
      </c>
      <c r="C2641" s="215" t="s">
        <v>12207</v>
      </c>
      <c r="D2641" s="215" t="s">
        <v>12208</v>
      </c>
      <c r="E2641" s="215" t="s">
        <v>12209</v>
      </c>
      <c r="F2641" s="215" t="s">
        <v>12162</v>
      </c>
      <c r="G2641" s="215" t="s">
        <v>12163</v>
      </c>
      <c r="H2641" s="215" t="s">
        <v>6521</v>
      </c>
      <c r="I2641" s="300"/>
      <c r="J2641" s="300"/>
      <c r="K2641" s="300"/>
      <c r="L2641" s="300"/>
      <c r="M2641" s="300"/>
      <c r="N2641" s="300"/>
      <c r="O2641" s="300"/>
      <c r="P2641" s="300"/>
      <c r="Q2641" s="300"/>
      <c r="R2641" s="300"/>
      <c r="S2641" s="300"/>
      <c r="T2641" s="300"/>
      <c r="U2641" s="300"/>
      <c r="V2641" s="300"/>
      <c r="W2641" s="300"/>
      <c r="X2641" s="300"/>
      <c r="Y2641" s="300"/>
      <c r="Z2641" s="300"/>
    </row>
    <row r="2642" spans="1:26">
      <c r="A2642" s="215" t="s">
        <v>3153</v>
      </c>
      <c r="B2642" s="207">
        <v>524</v>
      </c>
      <c r="C2642" s="215" t="s">
        <v>12210</v>
      </c>
      <c r="D2642" s="215" t="s">
        <v>12211</v>
      </c>
      <c r="E2642" s="215" t="s">
        <v>12212</v>
      </c>
      <c r="F2642" s="215" t="s">
        <v>12213</v>
      </c>
      <c r="G2642" s="215" t="s">
        <v>12214</v>
      </c>
      <c r="H2642" s="215" t="s">
        <v>6497</v>
      </c>
      <c r="I2642" s="300"/>
      <c r="J2642" s="300"/>
      <c r="K2642" s="300"/>
      <c r="L2642" s="300"/>
      <c r="M2642" s="300"/>
      <c r="N2642" s="300"/>
      <c r="O2642" s="300"/>
      <c r="P2642" s="300"/>
      <c r="Q2642" s="300"/>
      <c r="R2642" s="300"/>
      <c r="S2642" s="300"/>
      <c r="T2642" s="300"/>
      <c r="U2642" s="300"/>
      <c r="V2642" s="300"/>
      <c r="W2642" s="300"/>
      <c r="X2642" s="300"/>
      <c r="Y2642" s="300"/>
      <c r="Z2642" s="300"/>
    </row>
    <row r="2643" spans="1:26">
      <c r="A2643" s="215"/>
      <c r="B2643" s="207">
        <v>527</v>
      </c>
      <c r="C2643" s="215" t="s">
        <v>12215</v>
      </c>
      <c r="D2643" s="215" t="s">
        <v>12216</v>
      </c>
      <c r="E2643" s="215" t="s">
        <v>12217</v>
      </c>
      <c r="F2643" s="215" t="s">
        <v>12213</v>
      </c>
      <c r="G2643" s="215" t="s">
        <v>12214</v>
      </c>
      <c r="H2643" s="215" t="s">
        <v>6497</v>
      </c>
      <c r="I2643" s="300"/>
      <c r="J2643" s="300"/>
      <c r="K2643" s="300"/>
      <c r="L2643" s="300"/>
      <c r="M2643" s="300"/>
      <c r="N2643" s="300"/>
      <c r="O2643" s="300"/>
      <c r="P2643" s="300"/>
      <c r="Q2643" s="300"/>
      <c r="R2643" s="300"/>
      <c r="S2643" s="300"/>
      <c r="T2643" s="300"/>
      <c r="U2643" s="300"/>
      <c r="V2643" s="300"/>
      <c r="W2643" s="300"/>
      <c r="X2643" s="300"/>
      <c r="Y2643" s="300"/>
      <c r="Z2643" s="300"/>
    </row>
    <row r="2644" spans="1:26">
      <c r="A2644" s="215" t="s">
        <v>3572</v>
      </c>
      <c r="B2644" s="207">
        <v>531</v>
      </c>
      <c r="C2644" s="215" t="s">
        <v>5623</v>
      </c>
      <c r="D2644" s="215" t="s">
        <v>12218</v>
      </c>
      <c r="E2644" s="215" t="s">
        <v>12219</v>
      </c>
      <c r="F2644" s="215" t="s">
        <v>12213</v>
      </c>
      <c r="G2644" s="215" t="s">
        <v>12214</v>
      </c>
      <c r="H2644" s="215" t="s">
        <v>6500</v>
      </c>
      <c r="I2644" s="300"/>
      <c r="J2644" s="300"/>
      <c r="K2644" s="300"/>
      <c r="L2644" s="300"/>
      <c r="M2644" s="300"/>
      <c r="N2644" s="300"/>
      <c r="O2644" s="300"/>
      <c r="P2644" s="300"/>
      <c r="Q2644" s="300"/>
      <c r="R2644" s="300"/>
      <c r="S2644" s="300"/>
      <c r="T2644" s="300"/>
      <c r="U2644" s="300"/>
      <c r="V2644" s="300"/>
      <c r="W2644" s="300"/>
      <c r="X2644" s="300"/>
      <c r="Y2644" s="300"/>
      <c r="Z2644" s="300"/>
    </row>
    <row r="2645" spans="1:26">
      <c r="A2645" s="215" t="s">
        <v>3531</v>
      </c>
      <c r="B2645" s="207">
        <v>532</v>
      </c>
      <c r="C2645" s="215" t="s">
        <v>12220</v>
      </c>
      <c r="D2645" s="215" t="s">
        <v>12221</v>
      </c>
      <c r="E2645" s="215" t="s">
        <v>12222</v>
      </c>
      <c r="F2645" s="215" t="s">
        <v>12213</v>
      </c>
      <c r="G2645" s="215" t="s">
        <v>12214</v>
      </c>
      <c r="H2645" s="215" t="s">
        <v>6500</v>
      </c>
      <c r="I2645" s="300"/>
      <c r="J2645" s="300"/>
      <c r="K2645" s="300"/>
      <c r="L2645" s="300"/>
      <c r="M2645" s="300"/>
      <c r="N2645" s="300"/>
      <c r="O2645" s="300"/>
      <c r="P2645" s="300"/>
      <c r="Q2645" s="300"/>
      <c r="R2645" s="300"/>
      <c r="S2645" s="300"/>
      <c r="T2645" s="300"/>
      <c r="U2645" s="300"/>
      <c r="V2645" s="300"/>
      <c r="W2645" s="300"/>
      <c r="X2645" s="300"/>
      <c r="Y2645" s="300"/>
      <c r="Z2645" s="300"/>
    </row>
    <row r="2646" spans="1:26">
      <c r="A2646" s="215" t="s">
        <v>4570</v>
      </c>
      <c r="B2646" s="207">
        <v>541</v>
      </c>
      <c r="C2646" s="215" t="s">
        <v>12223</v>
      </c>
      <c r="D2646" s="215" t="s">
        <v>12224</v>
      </c>
      <c r="E2646" s="215" t="s">
        <v>12225</v>
      </c>
      <c r="F2646" s="215" t="s">
        <v>12213</v>
      </c>
      <c r="G2646" s="215" t="s">
        <v>12214</v>
      </c>
      <c r="H2646" s="215" t="s">
        <v>6500</v>
      </c>
      <c r="I2646" s="300"/>
      <c r="J2646" s="300"/>
      <c r="K2646" s="300"/>
      <c r="L2646" s="300"/>
      <c r="M2646" s="300"/>
      <c r="N2646" s="300"/>
      <c r="O2646" s="300"/>
      <c r="P2646" s="300"/>
      <c r="Q2646" s="300"/>
      <c r="R2646" s="300"/>
      <c r="S2646" s="300"/>
      <c r="T2646" s="300"/>
      <c r="U2646" s="300"/>
      <c r="V2646" s="300"/>
      <c r="W2646" s="300"/>
      <c r="X2646" s="300"/>
      <c r="Y2646" s="300"/>
      <c r="Z2646" s="300"/>
    </row>
    <row r="2647" spans="1:26">
      <c r="A2647" s="215" t="s">
        <v>3393</v>
      </c>
      <c r="B2647" s="207">
        <v>2196</v>
      </c>
      <c r="C2647" s="215" t="s">
        <v>12226</v>
      </c>
      <c r="D2647" s="215" t="s">
        <v>12227</v>
      </c>
      <c r="E2647" s="215" t="s">
        <v>12228</v>
      </c>
      <c r="F2647" s="215" t="s">
        <v>12213</v>
      </c>
      <c r="G2647" s="215" t="s">
        <v>12214</v>
      </c>
      <c r="H2647" s="215" t="s">
        <v>6504</v>
      </c>
      <c r="I2647" s="300"/>
      <c r="J2647" s="300"/>
      <c r="K2647" s="300"/>
      <c r="L2647" s="300"/>
      <c r="M2647" s="300"/>
      <c r="N2647" s="300"/>
      <c r="O2647" s="300"/>
      <c r="P2647" s="300"/>
      <c r="Q2647" s="300"/>
      <c r="R2647" s="300"/>
      <c r="S2647" s="300"/>
      <c r="T2647" s="300"/>
      <c r="U2647" s="300"/>
      <c r="V2647" s="300"/>
      <c r="W2647" s="300"/>
      <c r="X2647" s="300"/>
      <c r="Y2647" s="300"/>
      <c r="Z2647" s="300"/>
    </row>
    <row r="2648" spans="1:26">
      <c r="A2648" s="215" t="s">
        <v>3531</v>
      </c>
      <c r="B2648" s="207">
        <v>2197</v>
      </c>
      <c r="C2648" s="215" t="s">
        <v>12229</v>
      </c>
      <c r="D2648" s="215" t="s">
        <v>12230</v>
      </c>
      <c r="E2648" s="215" t="s">
        <v>12230</v>
      </c>
      <c r="F2648" s="215" t="s">
        <v>12213</v>
      </c>
      <c r="G2648" s="215" t="s">
        <v>12214</v>
      </c>
      <c r="H2648" s="215" t="s">
        <v>6500</v>
      </c>
      <c r="I2648" s="300"/>
      <c r="J2648" s="300"/>
      <c r="K2648" s="300"/>
      <c r="L2648" s="300"/>
      <c r="M2648" s="300"/>
      <c r="N2648" s="300"/>
      <c r="O2648" s="300"/>
      <c r="P2648" s="300"/>
      <c r="Q2648" s="300"/>
      <c r="R2648" s="300"/>
      <c r="S2648" s="300"/>
      <c r="T2648" s="300"/>
      <c r="U2648" s="300"/>
      <c r="V2648" s="300"/>
      <c r="W2648" s="300"/>
      <c r="X2648" s="300"/>
      <c r="Y2648" s="300"/>
      <c r="Z2648" s="300"/>
    </row>
    <row r="2649" spans="1:26">
      <c r="A2649" s="215" t="s">
        <v>2962</v>
      </c>
      <c r="B2649" s="207">
        <v>2229</v>
      </c>
      <c r="C2649" s="215" t="s">
        <v>12231</v>
      </c>
      <c r="D2649" s="215" t="s">
        <v>12232</v>
      </c>
      <c r="E2649" s="215" t="s">
        <v>12233</v>
      </c>
      <c r="F2649" s="215" t="s">
        <v>12213</v>
      </c>
      <c r="G2649" s="215" t="s">
        <v>12214</v>
      </c>
      <c r="H2649" s="215" t="s">
        <v>6500</v>
      </c>
      <c r="I2649" s="300"/>
      <c r="J2649" s="300"/>
      <c r="K2649" s="300"/>
      <c r="L2649" s="300"/>
      <c r="M2649" s="300"/>
      <c r="N2649" s="300"/>
      <c r="O2649" s="300"/>
      <c r="P2649" s="300"/>
      <c r="Q2649" s="300"/>
      <c r="R2649" s="300"/>
      <c r="S2649" s="300"/>
      <c r="T2649" s="300"/>
      <c r="U2649" s="300"/>
      <c r="V2649" s="300"/>
      <c r="W2649" s="300"/>
      <c r="X2649" s="300"/>
      <c r="Y2649" s="300"/>
      <c r="Z2649" s="300"/>
    </row>
    <row r="2650" spans="1:26">
      <c r="A2650" s="215" t="s">
        <v>3154</v>
      </c>
      <c r="B2650" s="207">
        <v>2230</v>
      </c>
      <c r="C2650" s="215" t="s">
        <v>12234</v>
      </c>
      <c r="D2650" s="215" t="s">
        <v>12235</v>
      </c>
      <c r="E2650" s="215" t="s">
        <v>12236</v>
      </c>
      <c r="F2650" s="215" t="s">
        <v>12213</v>
      </c>
      <c r="G2650" s="215" t="s">
        <v>12214</v>
      </c>
      <c r="H2650" s="215" t="s">
        <v>6497</v>
      </c>
      <c r="I2650" s="300"/>
      <c r="J2650" s="300"/>
      <c r="K2650" s="300"/>
      <c r="L2650" s="300"/>
      <c r="M2650" s="300"/>
      <c r="N2650" s="300"/>
      <c r="O2650" s="300"/>
      <c r="P2650" s="300"/>
      <c r="Q2650" s="300"/>
      <c r="R2650" s="300"/>
      <c r="S2650" s="300"/>
      <c r="T2650" s="300"/>
      <c r="U2650" s="300"/>
      <c r="V2650" s="300"/>
      <c r="W2650" s="300"/>
      <c r="X2650" s="300"/>
      <c r="Y2650" s="300"/>
      <c r="Z2650" s="300"/>
    </row>
    <row r="2651" spans="1:26">
      <c r="A2651" s="215" t="s">
        <v>3156</v>
      </c>
      <c r="B2651" s="207">
        <v>2231</v>
      </c>
      <c r="C2651" s="215" t="s">
        <v>12237</v>
      </c>
      <c r="D2651" s="215" t="s">
        <v>12238</v>
      </c>
      <c r="E2651" s="215" t="s">
        <v>12239</v>
      </c>
      <c r="F2651" s="215" t="s">
        <v>12213</v>
      </c>
      <c r="G2651" s="215" t="s">
        <v>12214</v>
      </c>
      <c r="H2651" s="215" t="s">
        <v>6504</v>
      </c>
      <c r="I2651" s="300"/>
      <c r="J2651" s="300"/>
      <c r="K2651" s="300"/>
      <c r="L2651" s="300"/>
      <c r="M2651" s="300"/>
      <c r="N2651" s="300"/>
      <c r="O2651" s="300"/>
      <c r="P2651" s="300"/>
      <c r="Q2651" s="300"/>
      <c r="R2651" s="300"/>
      <c r="S2651" s="300"/>
      <c r="T2651" s="300"/>
      <c r="U2651" s="300"/>
      <c r="V2651" s="300"/>
      <c r="W2651" s="300"/>
      <c r="X2651" s="300"/>
      <c r="Y2651" s="300"/>
      <c r="Z2651" s="300"/>
    </row>
    <row r="2652" spans="1:26">
      <c r="A2652" s="215" t="s">
        <v>2959</v>
      </c>
      <c r="B2652" s="207">
        <v>2238</v>
      </c>
      <c r="C2652" s="215" t="s">
        <v>5111</v>
      </c>
      <c r="D2652" s="215" t="s">
        <v>12240</v>
      </c>
      <c r="E2652" s="215" t="s">
        <v>12241</v>
      </c>
      <c r="F2652" s="215" t="s">
        <v>12213</v>
      </c>
      <c r="G2652" s="215" t="s">
        <v>12214</v>
      </c>
      <c r="H2652" s="215" t="s">
        <v>6521</v>
      </c>
      <c r="I2652" s="300"/>
      <c r="J2652" s="300"/>
      <c r="K2652" s="300"/>
      <c r="L2652" s="300"/>
      <c r="M2652" s="300"/>
      <c r="N2652" s="300"/>
      <c r="O2652" s="300"/>
      <c r="P2652" s="300"/>
      <c r="Q2652" s="300"/>
      <c r="R2652" s="300"/>
      <c r="S2652" s="300"/>
      <c r="T2652" s="300"/>
      <c r="U2652" s="300"/>
      <c r="V2652" s="300"/>
      <c r="W2652" s="300"/>
      <c r="X2652" s="300"/>
      <c r="Y2652" s="300"/>
      <c r="Z2652" s="300"/>
    </row>
    <row r="2653" spans="1:26">
      <c r="A2653" s="215" t="s">
        <v>2974</v>
      </c>
      <c r="B2653" s="207">
        <v>2239</v>
      </c>
      <c r="C2653" s="215" t="s">
        <v>5124</v>
      </c>
      <c r="D2653" s="215" t="s">
        <v>12242</v>
      </c>
      <c r="E2653" s="215" t="s">
        <v>12243</v>
      </c>
      <c r="F2653" s="215" t="s">
        <v>12213</v>
      </c>
      <c r="G2653" s="215" t="s">
        <v>12214</v>
      </c>
      <c r="H2653" s="215" t="s">
        <v>6500</v>
      </c>
      <c r="I2653" s="300"/>
      <c r="J2653" s="300"/>
      <c r="K2653" s="300"/>
      <c r="L2653" s="300"/>
      <c r="M2653" s="300"/>
      <c r="N2653" s="300"/>
      <c r="O2653" s="300"/>
      <c r="P2653" s="300"/>
      <c r="Q2653" s="300"/>
      <c r="R2653" s="300"/>
      <c r="S2653" s="300"/>
      <c r="T2653" s="300"/>
      <c r="U2653" s="300"/>
      <c r="V2653" s="300"/>
      <c r="W2653" s="300"/>
      <c r="X2653" s="300"/>
      <c r="Y2653" s="300"/>
      <c r="Z2653" s="300"/>
    </row>
    <row r="2654" spans="1:26">
      <c r="A2654" s="215" t="s">
        <v>3543</v>
      </c>
      <c r="B2654" s="207">
        <v>2240</v>
      </c>
      <c r="C2654" s="215" t="s">
        <v>12244</v>
      </c>
      <c r="D2654" s="215" t="s">
        <v>12245</v>
      </c>
      <c r="E2654" s="215" t="s">
        <v>12246</v>
      </c>
      <c r="F2654" s="215" t="s">
        <v>12213</v>
      </c>
      <c r="G2654" s="215" t="s">
        <v>12214</v>
      </c>
      <c r="H2654" s="215" t="s">
        <v>6500</v>
      </c>
      <c r="I2654" s="300"/>
      <c r="J2654" s="300"/>
      <c r="K2654" s="300"/>
      <c r="L2654" s="300"/>
      <c r="M2654" s="300"/>
      <c r="N2654" s="300"/>
      <c r="O2654" s="300"/>
      <c r="P2654" s="300"/>
      <c r="Q2654" s="300"/>
      <c r="R2654" s="300"/>
      <c r="S2654" s="300"/>
      <c r="T2654" s="300"/>
      <c r="U2654" s="300"/>
      <c r="V2654" s="300"/>
      <c r="W2654" s="300"/>
      <c r="X2654" s="300"/>
      <c r="Y2654" s="300"/>
      <c r="Z2654" s="300"/>
    </row>
    <row r="2655" spans="1:26">
      <c r="A2655" s="215" t="s">
        <v>3528</v>
      </c>
      <c r="B2655" s="207">
        <v>2242</v>
      </c>
      <c r="C2655" s="215" t="s">
        <v>5640</v>
      </c>
      <c r="D2655" s="215" t="s">
        <v>12247</v>
      </c>
      <c r="E2655" s="215" t="s">
        <v>12248</v>
      </c>
      <c r="F2655" s="215" t="s">
        <v>12213</v>
      </c>
      <c r="G2655" s="215" t="s">
        <v>12214</v>
      </c>
      <c r="H2655" s="215" t="s">
        <v>6500</v>
      </c>
      <c r="I2655" s="300"/>
      <c r="J2655" s="300"/>
      <c r="K2655" s="300"/>
      <c r="L2655" s="300"/>
      <c r="M2655" s="300"/>
      <c r="N2655" s="300"/>
      <c r="O2655" s="300"/>
      <c r="P2655" s="300"/>
      <c r="Q2655" s="300"/>
      <c r="R2655" s="300"/>
      <c r="S2655" s="300"/>
      <c r="T2655" s="300"/>
      <c r="U2655" s="300"/>
      <c r="V2655" s="300"/>
      <c r="W2655" s="300"/>
      <c r="X2655" s="300"/>
      <c r="Y2655" s="300"/>
      <c r="Z2655" s="300"/>
    </row>
    <row r="2656" spans="1:26">
      <c r="A2656" s="215"/>
      <c r="B2656" s="207">
        <v>2243</v>
      </c>
      <c r="C2656" s="215" t="s">
        <v>12249</v>
      </c>
      <c r="D2656" s="215" t="s">
        <v>12250</v>
      </c>
      <c r="E2656" s="215" t="s">
        <v>12251</v>
      </c>
      <c r="F2656" s="215" t="s">
        <v>12213</v>
      </c>
      <c r="G2656" s="215" t="s">
        <v>12214</v>
      </c>
      <c r="H2656" s="215" t="s">
        <v>6500</v>
      </c>
      <c r="I2656" s="300"/>
      <c r="J2656" s="300"/>
      <c r="K2656" s="300"/>
      <c r="L2656" s="300"/>
      <c r="M2656" s="300"/>
      <c r="N2656" s="300"/>
      <c r="O2656" s="300"/>
      <c r="P2656" s="300"/>
      <c r="Q2656" s="300"/>
      <c r="R2656" s="300"/>
      <c r="S2656" s="300"/>
      <c r="T2656" s="300"/>
      <c r="U2656" s="300"/>
      <c r="V2656" s="300"/>
      <c r="W2656" s="300"/>
      <c r="X2656" s="300"/>
      <c r="Y2656" s="300"/>
      <c r="Z2656" s="300"/>
    </row>
    <row r="2657" spans="1:26">
      <c r="A2657" s="215" t="s">
        <v>7888</v>
      </c>
      <c r="B2657" s="207">
        <v>2244</v>
      </c>
      <c r="C2657" s="215" t="s">
        <v>12252</v>
      </c>
      <c r="D2657" s="215" t="s">
        <v>12253</v>
      </c>
      <c r="E2657" s="215" t="s">
        <v>12254</v>
      </c>
      <c r="F2657" s="215" t="s">
        <v>12213</v>
      </c>
      <c r="G2657" s="215" t="s">
        <v>12214</v>
      </c>
      <c r="H2657" s="215" t="s">
        <v>6500</v>
      </c>
      <c r="I2657" s="300"/>
      <c r="J2657" s="300"/>
      <c r="K2657" s="300"/>
      <c r="L2657" s="300"/>
      <c r="M2657" s="300"/>
      <c r="N2657" s="300"/>
      <c r="O2657" s="300"/>
      <c r="P2657" s="300"/>
      <c r="Q2657" s="300"/>
      <c r="R2657" s="300"/>
      <c r="S2657" s="300"/>
      <c r="T2657" s="300"/>
      <c r="U2657" s="300"/>
      <c r="V2657" s="300"/>
      <c r="W2657" s="300"/>
      <c r="X2657" s="300"/>
      <c r="Y2657" s="300"/>
      <c r="Z2657" s="300"/>
    </row>
    <row r="2658" spans="1:26">
      <c r="A2658" s="215" t="s">
        <v>3004</v>
      </c>
      <c r="B2658" s="207">
        <v>2246</v>
      </c>
      <c r="C2658" s="215" t="s">
        <v>5143</v>
      </c>
      <c r="D2658" s="215" t="s">
        <v>12255</v>
      </c>
      <c r="E2658" s="215" t="s">
        <v>3174</v>
      </c>
      <c r="F2658" s="215" t="s">
        <v>12213</v>
      </c>
      <c r="G2658" s="215" t="s">
        <v>12214</v>
      </c>
      <c r="H2658" s="215" t="s">
        <v>6500</v>
      </c>
      <c r="I2658" s="300"/>
      <c r="J2658" s="300"/>
      <c r="K2658" s="300"/>
      <c r="L2658" s="300"/>
      <c r="M2658" s="300"/>
      <c r="N2658" s="300"/>
      <c r="O2658" s="300"/>
      <c r="P2658" s="300"/>
      <c r="Q2658" s="300"/>
      <c r="R2658" s="300"/>
      <c r="S2658" s="300"/>
      <c r="T2658" s="300"/>
      <c r="U2658" s="300"/>
      <c r="V2658" s="300"/>
      <c r="W2658" s="300"/>
      <c r="X2658" s="300"/>
      <c r="Y2658" s="300"/>
      <c r="Z2658" s="300"/>
    </row>
    <row r="2659" spans="1:26">
      <c r="A2659" s="215" t="s">
        <v>3818</v>
      </c>
      <c r="B2659" s="207">
        <v>2247</v>
      </c>
      <c r="C2659" s="215" t="s">
        <v>12256</v>
      </c>
      <c r="D2659" s="215" t="s">
        <v>12257</v>
      </c>
      <c r="E2659" s="215" t="s">
        <v>12258</v>
      </c>
      <c r="F2659" s="215" t="s">
        <v>12213</v>
      </c>
      <c r="G2659" s="215" t="s">
        <v>12214</v>
      </c>
      <c r="H2659" s="215" t="s">
        <v>6521</v>
      </c>
      <c r="I2659" s="300"/>
      <c r="J2659" s="300"/>
      <c r="K2659" s="300"/>
      <c r="L2659" s="300"/>
      <c r="M2659" s="300"/>
      <c r="N2659" s="300"/>
      <c r="O2659" s="300"/>
      <c r="P2659" s="300"/>
      <c r="Q2659" s="300"/>
      <c r="R2659" s="300"/>
      <c r="S2659" s="300"/>
      <c r="T2659" s="300"/>
      <c r="U2659" s="300"/>
      <c r="V2659" s="300"/>
      <c r="W2659" s="300"/>
      <c r="X2659" s="300"/>
      <c r="Y2659" s="300"/>
      <c r="Z2659" s="300"/>
    </row>
    <row r="2660" spans="1:26">
      <c r="A2660" s="215" t="s">
        <v>3912</v>
      </c>
      <c r="B2660" s="207">
        <v>2248</v>
      </c>
      <c r="C2660" s="215" t="s">
        <v>12259</v>
      </c>
      <c r="D2660" s="215" t="s">
        <v>12260</v>
      </c>
      <c r="E2660" s="215" t="s">
        <v>12261</v>
      </c>
      <c r="F2660" s="215" t="s">
        <v>12213</v>
      </c>
      <c r="G2660" s="215" t="s">
        <v>12214</v>
      </c>
      <c r="H2660" s="215" t="s">
        <v>6521</v>
      </c>
      <c r="I2660" s="300"/>
      <c r="J2660" s="300"/>
      <c r="K2660" s="300"/>
      <c r="L2660" s="300"/>
      <c r="M2660" s="300"/>
      <c r="N2660" s="300"/>
      <c r="O2660" s="300"/>
      <c r="P2660" s="300"/>
      <c r="Q2660" s="300"/>
      <c r="R2660" s="300"/>
      <c r="S2660" s="300"/>
      <c r="T2660" s="300"/>
      <c r="U2660" s="300"/>
      <c r="V2660" s="300"/>
      <c r="W2660" s="300"/>
      <c r="X2660" s="300"/>
      <c r="Y2660" s="300"/>
      <c r="Z2660" s="300"/>
    </row>
    <row r="2661" spans="1:26">
      <c r="A2661" s="215"/>
      <c r="B2661" s="207">
        <v>2250</v>
      </c>
      <c r="C2661" s="215" t="s">
        <v>5229</v>
      </c>
      <c r="D2661" s="215" t="s">
        <v>12262</v>
      </c>
      <c r="E2661" s="215" t="s">
        <v>3817</v>
      </c>
      <c r="F2661" s="215" t="s">
        <v>12213</v>
      </c>
      <c r="G2661" s="215" t="s">
        <v>12214</v>
      </c>
      <c r="H2661" s="215" t="s">
        <v>6521</v>
      </c>
      <c r="I2661" s="300"/>
      <c r="J2661" s="300"/>
      <c r="K2661" s="300"/>
      <c r="L2661" s="300"/>
      <c r="M2661" s="300"/>
      <c r="N2661" s="300"/>
      <c r="O2661" s="300"/>
      <c r="P2661" s="300"/>
      <c r="Q2661" s="300"/>
      <c r="R2661" s="300"/>
      <c r="S2661" s="300"/>
      <c r="T2661" s="300"/>
      <c r="U2661" s="300"/>
      <c r="V2661" s="300"/>
      <c r="W2661" s="300"/>
      <c r="X2661" s="300"/>
      <c r="Y2661" s="300"/>
      <c r="Z2661" s="300"/>
    </row>
    <row r="2662" spans="1:26">
      <c r="A2662" s="215" t="s">
        <v>2852</v>
      </c>
      <c r="B2662" s="207">
        <v>2140</v>
      </c>
      <c r="C2662" s="215" t="s">
        <v>5016</v>
      </c>
      <c r="D2662" s="215" t="s">
        <v>12263</v>
      </c>
      <c r="E2662" s="215" t="s">
        <v>12263</v>
      </c>
      <c r="F2662" s="215" t="s">
        <v>12264</v>
      </c>
      <c r="G2662" s="215" t="s">
        <v>12265</v>
      </c>
      <c r="H2662" s="215" t="s">
        <v>6497</v>
      </c>
      <c r="I2662" s="300"/>
      <c r="J2662" s="300"/>
      <c r="K2662" s="300"/>
      <c r="L2662" s="300"/>
      <c r="M2662" s="300"/>
      <c r="N2662" s="300"/>
      <c r="O2662" s="300"/>
      <c r="P2662" s="300"/>
      <c r="Q2662" s="300"/>
      <c r="R2662" s="300"/>
      <c r="S2662" s="300"/>
      <c r="T2662" s="300"/>
      <c r="U2662" s="300"/>
      <c r="V2662" s="300"/>
      <c r="W2662" s="300"/>
      <c r="X2662" s="300"/>
      <c r="Y2662" s="300"/>
      <c r="Z2662" s="300"/>
    </row>
    <row r="2663" spans="1:26">
      <c r="A2663" s="215" t="s">
        <v>2681</v>
      </c>
      <c r="B2663" s="207">
        <v>2141</v>
      </c>
      <c r="C2663" s="215" t="s">
        <v>4853</v>
      </c>
      <c r="D2663" s="215" t="s">
        <v>12266</v>
      </c>
      <c r="E2663" s="215" t="s">
        <v>12266</v>
      </c>
      <c r="F2663" s="215" t="s">
        <v>12264</v>
      </c>
      <c r="G2663" s="215" t="s">
        <v>12265</v>
      </c>
      <c r="H2663" s="215" t="s">
        <v>6548</v>
      </c>
      <c r="I2663" s="300"/>
      <c r="J2663" s="300"/>
      <c r="K2663" s="300"/>
      <c r="L2663" s="300"/>
      <c r="M2663" s="300"/>
      <c r="N2663" s="300"/>
      <c r="O2663" s="300"/>
      <c r="P2663" s="300"/>
      <c r="Q2663" s="300"/>
      <c r="R2663" s="300"/>
      <c r="S2663" s="300"/>
      <c r="T2663" s="300"/>
      <c r="U2663" s="300"/>
      <c r="V2663" s="300"/>
      <c r="W2663" s="300"/>
      <c r="X2663" s="300"/>
      <c r="Y2663" s="300"/>
      <c r="Z2663" s="300"/>
    </row>
    <row r="2664" spans="1:26">
      <c r="A2664" s="215"/>
      <c r="B2664" s="207">
        <v>2142</v>
      </c>
      <c r="C2664" s="215" t="s">
        <v>12267</v>
      </c>
      <c r="D2664" s="215" t="s">
        <v>12268</v>
      </c>
      <c r="E2664" s="215" t="s">
        <v>12268</v>
      </c>
      <c r="F2664" s="215" t="s">
        <v>12264</v>
      </c>
      <c r="G2664" s="215" t="s">
        <v>12265</v>
      </c>
      <c r="H2664" s="215" t="s">
        <v>6497</v>
      </c>
      <c r="I2664" s="300"/>
      <c r="J2664" s="300"/>
      <c r="K2664" s="300"/>
      <c r="L2664" s="300"/>
      <c r="M2664" s="300"/>
      <c r="N2664" s="300"/>
      <c r="O2664" s="300"/>
      <c r="P2664" s="300"/>
      <c r="Q2664" s="300"/>
      <c r="R2664" s="300"/>
      <c r="S2664" s="300"/>
      <c r="T2664" s="300"/>
      <c r="U2664" s="300"/>
      <c r="V2664" s="300"/>
      <c r="W2664" s="300"/>
      <c r="X2664" s="300"/>
      <c r="Y2664" s="300"/>
      <c r="Z2664" s="300"/>
    </row>
    <row r="2665" spans="1:26">
      <c r="A2665" s="215"/>
      <c r="B2665" s="207">
        <v>2143</v>
      </c>
      <c r="C2665" s="215" t="s">
        <v>12269</v>
      </c>
      <c r="D2665" s="215" t="s">
        <v>12270</v>
      </c>
      <c r="E2665" s="215" t="s">
        <v>12269</v>
      </c>
      <c r="F2665" s="215" t="s">
        <v>12264</v>
      </c>
      <c r="G2665" s="215" t="s">
        <v>12265</v>
      </c>
      <c r="H2665" s="215" t="s">
        <v>6497</v>
      </c>
      <c r="I2665" s="300"/>
      <c r="J2665" s="300"/>
      <c r="K2665" s="300"/>
      <c r="L2665" s="300"/>
      <c r="M2665" s="300"/>
      <c r="N2665" s="300"/>
      <c r="O2665" s="300"/>
      <c r="P2665" s="300"/>
      <c r="Q2665" s="300"/>
      <c r="R2665" s="300"/>
      <c r="S2665" s="300"/>
      <c r="T2665" s="300"/>
      <c r="U2665" s="300"/>
      <c r="V2665" s="300"/>
      <c r="W2665" s="300"/>
      <c r="X2665" s="300"/>
      <c r="Y2665" s="300"/>
      <c r="Z2665" s="300"/>
    </row>
    <row r="2666" spans="1:26">
      <c r="A2666" s="215"/>
      <c r="B2666" s="207">
        <v>2144</v>
      </c>
      <c r="C2666" s="215" t="s">
        <v>12271</v>
      </c>
      <c r="D2666" s="215" t="s">
        <v>12272</v>
      </c>
      <c r="E2666" s="215" t="s">
        <v>12272</v>
      </c>
      <c r="F2666" s="215" t="s">
        <v>12264</v>
      </c>
      <c r="G2666" s="215" t="s">
        <v>12265</v>
      </c>
      <c r="H2666" s="215" t="s">
        <v>6497</v>
      </c>
      <c r="I2666" s="300"/>
      <c r="J2666" s="300"/>
      <c r="K2666" s="300"/>
      <c r="L2666" s="300"/>
      <c r="M2666" s="300"/>
      <c r="N2666" s="300"/>
      <c r="O2666" s="300"/>
      <c r="P2666" s="300"/>
      <c r="Q2666" s="300"/>
      <c r="R2666" s="300"/>
      <c r="S2666" s="300"/>
      <c r="T2666" s="300"/>
      <c r="U2666" s="300"/>
      <c r="V2666" s="300"/>
      <c r="W2666" s="300"/>
      <c r="X2666" s="300"/>
      <c r="Y2666" s="300"/>
      <c r="Z2666" s="300"/>
    </row>
    <row r="2667" spans="1:26">
      <c r="A2667" s="215" t="s">
        <v>4009</v>
      </c>
      <c r="B2667" s="207">
        <v>2145</v>
      </c>
      <c r="C2667" s="215" t="s">
        <v>6036</v>
      </c>
      <c r="D2667" s="215" t="s">
        <v>12273</v>
      </c>
      <c r="E2667" s="215" t="s">
        <v>12274</v>
      </c>
      <c r="F2667" s="215" t="s">
        <v>12264</v>
      </c>
      <c r="G2667" s="215" t="s">
        <v>12265</v>
      </c>
      <c r="H2667" s="215" t="s">
        <v>6504</v>
      </c>
      <c r="I2667" s="300"/>
      <c r="J2667" s="300"/>
      <c r="K2667" s="300"/>
      <c r="L2667" s="300"/>
      <c r="M2667" s="300"/>
      <c r="N2667" s="300"/>
      <c r="O2667" s="300"/>
      <c r="P2667" s="300"/>
      <c r="Q2667" s="300"/>
      <c r="R2667" s="300"/>
      <c r="S2667" s="300"/>
      <c r="T2667" s="300"/>
      <c r="U2667" s="300"/>
      <c r="V2667" s="300"/>
      <c r="W2667" s="300"/>
      <c r="X2667" s="300"/>
      <c r="Y2667" s="300"/>
      <c r="Z2667" s="300"/>
    </row>
    <row r="2668" spans="1:26">
      <c r="A2668" s="215" t="s">
        <v>3574</v>
      </c>
      <c r="B2668" s="207">
        <v>2146</v>
      </c>
      <c r="C2668" s="215" t="s">
        <v>5679</v>
      </c>
      <c r="D2668" s="215" t="s">
        <v>12275</v>
      </c>
      <c r="E2668" s="215" t="s">
        <v>12275</v>
      </c>
      <c r="F2668" s="215" t="s">
        <v>12264</v>
      </c>
      <c r="G2668" s="215" t="s">
        <v>12265</v>
      </c>
      <c r="H2668" s="215" t="s">
        <v>6497</v>
      </c>
      <c r="I2668" s="300"/>
      <c r="J2668" s="300"/>
      <c r="K2668" s="300"/>
      <c r="L2668" s="300"/>
      <c r="M2668" s="300"/>
      <c r="N2668" s="300"/>
      <c r="O2668" s="300"/>
      <c r="P2668" s="300"/>
      <c r="Q2668" s="300"/>
      <c r="R2668" s="300"/>
      <c r="S2668" s="300"/>
      <c r="T2668" s="300"/>
      <c r="U2668" s="300"/>
      <c r="V2668" s="300"/>
      <c r="W2668" s="300"/>
      <c r="X2668" s="300"/>
      <c r="Y2668" s="300"/>
      <c r="Z2668" s="300"/>
    </row>
    <row r="2669" spans="1:26">
      <c r="A2669" s="215" t="s">
        <v>3820</v>
      </c>
      <c r="B2669" s="207">
        <v>2147</v>
      </c>
      <c r="C2669" s="215" t="s">
        <v>5895</v>
      </c>
      <c r="D2669" s="215" t="s">
        <v>12276</v>
      </c>
      <c r="E2669" s="215" t="s">
        <v>12277</v>
      </c>
      <c r="F2669" s="215" t="s">
        <v>12264</v>
      </c>
      <c r="G2669" s="215" t="s">
        <v>12265</v>
      </c>
      <c r="H2669" s="215" t="s">
        <v>6497</v>
      </c>
      <c r="I2669" s="300"/>
      <c r="J2669" s="300"/>
      <c r="K2669" s="300"/>
      <c r="L2669" s="300"/>
      <c r="M2669" s="300"/>
      <c r="N2669" s="300"/>
      <c r="O2669" s="300"/>
      <c r="P2669" s="300"/>
      <c r="Q2669" s="300"/>
      <c r="R2669" s="300"/>
      <c r="S2669" s="300"/>
      <c r="T2669" s="300"/>
      <c r="U2669" s="300"/>
      <c r="V2669" s="300"/>
      <c r="W2669" s="300"/>
      <c r="X2669" s="300"/>
      <c r="Y2669" s="300"/>
      <c r="Z2669" s="300"/>
    </row>
    <row r="2670" spans="1:26">
      <c r="A2670" s="215"/>
      <c r="B2670" s="207">
        <v>2148</v>
      </c>
      <c r="C2670" s="215" t="s">
        <v>12278</v>
      </c>
      <c r="D2670" s="215" t="s">
        <v>12279</v>
      </c>
      <c r="E2670" s="215" t="s">
        <v>12279</v>
      </c>
      <c r="F2670" s="215" t="s">
        <v>12264</v>
      </c>
      <c r="G2670" s="215" t="s">
        <v>12265</v>
      </c>
      <c r="H2670" s="215" t="s">
        <v>6497</v>
      </c>
      <c r="I2670" s="300"/>
      <c r="J2670" s="300"/>
      <c r="K2670" s="300"/>
      <c r="L2670" s="300"/>
      <c r="M2670" s="300"/>
      <c r="N2670" s="300"/>
      <c r="O2670" s="300"/>
      <c r="P2670" s="300"/>
      <c r="Q2670" s="300"/>
      <c r="R2670" s="300"/>
      <c r="S2670" s="300"/>
      <c r="T2670" s="300"/>
      <c r="U2670" s="300"/>
      <c r="V2670" s="300"/>
      <c r="W2670" s="300"/>
      <c r="X2670" s="300"/>
      <c r="Y2670" s="300"/>
      <c r="Z2670" s="300"/>
    </row>
    <row r="2671" spans="1:26">
      <c r="A2671" s="215"/>
      <c r="B2671" s="207">
        <v>2149</v>
      </c>
      <c r="C2671" s="215" t="s">
        <v>12280</v>
      </c>
      <c r="D2671" s="215" t="s">
        <v>12281</v>
      </c>
      <c r="E2671" s="215" t="s">
        <v>12281</v>
      </c>
      <c r="F2671" s="215" t="s">
        <v>12264</v>
      </c>
      <c r="G2671" s="215" t="s">
        <v>12265</v>
      </c>
      <c r="H2671" s="215" t="s">
        <v>6497</v>
      </c>
      <c r="I2671" s="300"/>
      <c r="J2671" s="300"/>
      <c r="K2671" s="300"/>
      <c r="L2671" s="300"/>
      <c r="M2671" s="300"/>
      <c r="N2671" s="300"/>
      <c r="O2671" s="300"/>
      <c r="P2671" s="300"/>
      <c r="Q2671" s="300"/>
      <c r="R2671" s="300"/>
      <c r="S2671" s="300"/>
      <c r="T2671" s="300"/>
      <c r="U2671" s="300"/>
      <c r="V2671" s="300"/>
      <c r="W2671" s="300"/>
      <c r="X2671" s="300"/>
      <c r="Y2671" s="300"/>
      <c r="Z2671" s="300"/>
    </row>
    <row r="2672" spans="1:26">
      <c r="A2672" s="215"/>
      <c r="B2672" s="207">
        <v>2150</v>
      </c>
      <c r="C2672" s="215" t="s">
        <v>6240</v>
      </c>
      <c r="D2672" s="215" t="s">
        <v>12282</v>
      </c>
      <c r="E2672" s="215" t="s">
        <v>12282</v>
      </c>
      <c r="F2672" s="215" t="s">
        <v>12264</v>
      </c>
      <c r="G2672" s="215" t="s">
        <v>12265</v>
      </c>
      <c r="H2672" s="215" t="s">
        <v>6497</v>
      </c>
      <c r="I2672" s="300"/>
      <c r="J2672" s="300"/>
      <c r="K2672" s="300"/>
      <c r="L2672" s="300"/>
      <c r="M2672" s="300"/>
      <c r="N2672" s="300"/>
      <c r="O2672" s="300"/>
      <c r="P2672" s="300"/>
      <c r="Q2672" s="300"/>
      <c r="R2672" s="300"/>
      <c r="S2672" s="300"/>
      <c r="T2672" s="300"/>
      <c r="U2672" s="300"/>
      <c r="V2672" s="300"/>
      <c r="W2672" s="300"/>
      <c r="X2672" s="300"/>
      <c r="Y2672" s="300"/>
      <c r="Z2672" s="300"/>
    </row>
    <row r="2673" spans="1:26">
      <c r="A2673" s="215"/>
      <c r="B2673" s="207">
        <v>2151</v>
      </c>
      <c r="C2673" s="215" t="s">
        <v>12283</v>
      </c>
      <c r="D2673" s="215" t="s">
        <v>12284</v>
      </c>
      <c r="E2673" s="215" t="s">
        <v>12284</v>
      </c>
      <c r="F2673" s="215" t="s">
        <v>12264</v>
      </c>
      <c r="G2673" s="215" t="s">
        <v>12265</v>
      </c>
      <c r="H2673" s="215" t="s">
        <v>6497</v>
      </c>
      <c r="I2673" s="300"/>
      <c r="J2673" s="300"/>
      <c r="K2673" s="300"/>
      <c r="L2673" s="300"/>
      <c r="M2673" s="300"/>
      <c r="N2673" s="300"/>
      <c r="O2673" s="300"/>
      <c r="P2673" s="300"/>
      <c r="Q2673" s="300"/>
      <c r="R2673" s="300"/>
      <c r="S2673" s="300"/>
      <c r="T2673" s="300"/>
      <c r="U2673" s="300"/>
      <c r="V2673" s="300"/>
      <c r="W2673" s="300"/>
      <c r="X2673" s="300"/>
      <c r="Y2673" s="300"/>
      <c r="Z2673" s="300"/>
    </row>
    <row r="2674" spans="1:26">
      <c r="A2674" s="215"/>
      <c r="B2674" s="207">
        <v>2152</v>
      </c>
      <c r="C2674" s="215" t="s">
        <v>12285</v>
      </c>
      <c r="D2674" s="215" t="s">
        <v>12286</v>
      </c>
      <c r="E2674" s="215" t="s">
        <v>12286</v>
      </c>
      <c r="F2674" s="215" t="s">
        <v>12264</v>
      </c>
      <c r="G2674" s="215" t="s">
        <v>12265</v>
      </c>
      <c r="H2674" s="215" t="s">
        <v>6497</v>
      </c>
      <c r="I2674" s="300"/>
      <c r="J2674" s="300"/>
      <c r="K2674" s="300"/>
      <c r="L2674" s="300"/>
      <c r="M2674" s="300"/>
      <c r="N2674" s="300"/>
      <c r="O2674" s="300"/>
      <c r="P2674" s="300"/>
      <c r="Q2674" s="300"/>
      <c r="R2674" s="300"/>
      <c r="S2674" s="300"/>
      <c r="T2674" s="300"/>
      <c r="U2674" s="300"/>
      <c r="V2674" s="300"/>
      <c r="W2674" s="300"/>
      <c r="X2674" s="300"/>
      <c r="Y2674" s="300"/>
      <c r="Z2674" s="300"/>
    </row>
    <row r="2675" spans="1:26">
      <c r="A2675" s="215"/>
      <c r="B2675" s="207">
        <v>2153</v>
      </c>
      <c r="C2675" s="215" t="s">
        <v>5772</v>
      </c>
      <c r="D2675" s="215" t="s">
        <v>2419</v>
      </c>
      <c r="E2675" s="215" t="s">
        <v>2419</v>
      </c>
      <c r="F2675" s="215" t="s">
        <v>12264</v>
      </c>
      <c r="G2675" s="215" t="s">
        <v>12265</v>
      </c>
      <c r="H2675" s="215" t="s">
        <v>6497</v>
      </c>
      <c r="I2675" s="300"/>
      <c r="J2675" s="300"/>
      <c r="K2675" s="300"/>
      <c r="L2675" s="300"/>
      <c r="M2675" s="300"/>
      <c r="N2675" s="300"/>
      <c r="O2675" s="300"/>
      <c r="P2675" s="300"/>
      <c r="Q2675" s="300"/>
      <c r="R2675" s="300"/>
      <c r="S2675" s="300"/>
      <c r="T2675" s="300"/>
      <c r="U2675" s="300"/>
      <c r="V2675" s="300"/>
      <c r="W2675" s="300"/>
      <c r="X2675" s="300"/>
      <c r="Y2675" s="300"/>
      <c r="Z2675" s="300"/>
    </row>
    <row r="2676" spans="1:26">
      <c r="A2676" s="215"/>
      <c r="B2676" s="207">
        <v>2154</v>
      </c>
      <c r="C2676" s="215" t="s">
        <v>12287</v>
      </c>
      <c r="D2676" s="215" t="s">
        <v>12287</v>
      </c>
      <c r="E2676" s="215" t="s">
        <v>12287</v>
      </c>
      <c r="F2676" s="215" t="s">
        <v>12264</v>
      </c>
      <c r="G2676" s="215" t="s">
        <v>12265</v>
      </c>
      <c r="H2676" s="215" t="s">
        <v>6497</v>
      </c>
      <c r="I2676" s="300"/>
      <c r="J2676" s="300"/>
      <c r="K2676" s="300"/>
      <c r="L2676" s="300"/>
      <c r="M2676" s="300"/>
      <c r="N2676" s="300"/>
      <c r="O2676" s="300"/>
      <c r="P2676" s="300"/>
      <c r="Q2676" s="300"/>
      <c r="R2676" s="300"/>
      <c r="S2676" s="300"/>
      <c r="T2676" s="300"/>
      <c r="U2676" s="300"/>
      <c r="V2676" s="300"/>
      <c r="W2676" s="300"/>
      <c r="X2676" s="300"/>
      <c r="Y2676" s="300"/>
      <c r="Z2676" s="300"/>
    </row>
    <row r="2677" spans="1:26">
      <c r="A2677" s="215"/>
      <c r="B2677" s="207">
        <v>2155</v>
      </c>
      <c r="C2677" s="215" t="s">
        <v>5814</v>
      </c>
      <c r="D2677" s="215" t="s">
        <v>12288</v>
      </c>
      <c r="E2677" s="215" t="s">
        <v>12288</v>
      </c>
      <c r="F2677" s="215" t="s">
        <v>12264</v>
      </c>
      <c r="G2677" s="215" t="s">
        <v>12265</v>
      </c>
      <c r="H2677" s="215" t="s">
        <v>6497</v>
      </c>
      <c r="I2677" s="300"/>
      <c r="J2677" s="300"/>
      <c r="K2677" s="300"/>
      <c r="L2677" s="300"/>
      <c r="M2677" s="300"/>
      <c r="N2677" s="300"/>
      <c r="O2677" s="300"/>
      <c r="P2677" s="300"/>
      <c r="Q2677" s="300"/>
      <c r="R2677" s="300"/>
      <c r="S2677" s="300"/>
      <c r="T2677" s="300"/>
      <c r="U2677" s="300"/>
      <c r="V2677" s="300"/>
      <c r="W2677" s="300"/>
      <c r="X2677" s="300"/>
      <c r="Y2677" s="300"/>
      <c r="Z2677" s="300"/>
    </row>
    <row r="2678" spans="1:26">
      <c r="A2678" s="215"/>
      <c r="B2678" s="207">
        <v>2156</v>
      </c>
      <c r="C2678" s="215" t="s">
        <v>6109</v>
      </c>
      <c r="D2678" s="215" t="s">
        <v>4100</v>
      </c>
      <c r="E2678" s="215" t="s">
        <v>10575</v>
      </c>
      <c r="F2678" s="215" t="s">
        <v>12264</v>
      </c>
      <c r="G2678" s="215" t="s">
        <v>12265</v>
      </c>
      <c r="H2678" s="215" t="s">
        <v>6504</v>
      </c>
      <c r="I2678" s="300"/>
      <c r="J2678" s="300"/>
      <c r="K2678" s="300"/>
      <c r="L2678" s="300"/>
      <c r="M2678" s="300"/>
      <c r="N2678" s="300"/>
      <c r="O2678" s="300"/>
      <c r="P2678" s="300"/>
      <c r="Q2678" s="300"/>
      <c r="R2678" s="300"/>
      <c r="S2678" s="300"/>
      <c r="T2678" s="300"/>
      <c r="U2678" s="300"/>
      <c r="V2678" s="300"/>
      <c r="W2678" s="300"/>
      <c r="X2678" s="300"/>
      <c r="Y2678" s="300"/>
      <c r="Z2678" s="300"/>
    </row>
    <row r="2679" spans="1:26">
      <c r="A2679" s="215"/>
      <c r="B2679" s="207">
        <v>2157</v>
      </c>
      <c r="C2679" s="215" t="s">
        <v>5523</v>
      </c>
      <c r="D2679" s="215" t="s">
        <v>4372</v>
      </c>
      <c r="E2679" s="215" t="s">
        <v>4372</v>
      </c>
      <c r="F2679" s="215" t="s">
        <v>12264</v>
      </c>
      <c r="G2679" s="215" t="s">
        <v>12265</v>
      </c>
      <c r="H2679" s="215" t="s">
        <v>6497</v>
      </c>
      <c r="I2679" s="300"/>
      <c r="J2679" s="300"/>
      <c r="K2679" s="300"/>
      <c r="L2679" s="300"/>
      <c r="M2679" s="300"/>
      <c r="N2679" s="300"/>
      <c r="O2679" s="300"/>
      <c r="P2679" s="300"/>
      <c r="Q2679" s="300"/>
      <c r="R2679" s="300"/>
      <c r="S2679" s="300"/>
      <c r="T2679" s="300"/>
      <c r="U2679" s="300"/>
      <c r="V2679" s="300"/>
      <c r="W2679" s="300"/>
      <c r="X2679" s="300"/>
      <c r="Y2679" s="300"/>
      <c r="Z2679" s="300"/>
    </row>
    <row r="2680" spans="1:26">
      <c r="A2680" s="215" t="s">
        <v>3223</v>
      </c>
      <c r="B2680" s="207">
        <v>2504</v>
      </c>
      <c r="C2680" s="215" t="s">
        <v>5353</v>
      </c>
      <c r="D2680" s="215" t="s">
        <v>3223</v>
      </c>
      <c r="E2680" s="215" t="s">
        <v>3223</v>
      </c>
      <c r="F2680" s="215" t="s">
        <v>12264</v>
      </c>
      <c r="G2680" s="215" t="s">
        <v>12265</v>
      </c>
      <c r="H2680" s="215" t="s">
        <v>6500</v>
      </c>
      <c r="I2680" s="300"/>
      <c r="J2680" s="300"/>
      <c r="K2680" s="300"/>
      <c r="L2680" s="300"/>
      <c r="M2680" s="300"/>
      <c r="N2680" s="300"/>
      <c r="O2680" s="300"/>
      <c r="P2680" s="300"/>
      <c r="Q2680" s="300"/>
      <c r="R2680" s="300"/>
      <c r="S2680" s="300"/>
      <c r="T2680" s="300"/>
      <c r="U2680" s="300"/>
      <c r="V2680" s="300"/>
      <c r="W2680" s="300"/>
      <c r="X2680" s="300"/>
      <c r="Y2680" s="300"/>
      <c r="Z2680" s="300"/>
    </row>
    <row r="2681" spans="1:26">
      <c r="A2681" s="215" t="s">
        <v>4300</v>
      </c>
      <c r="B2681" s="207">
        <v>2505</v>
      </c>
      <c r="C2681" s="215" t="s">
        <v>6260</v>
      </c>
      <c r="D2681" s="215" t="s">
        <v>12289</v>
      </c>
      <c r="E2681" s="215" t="s">
        <v>12289</v>
      </c>
      <c r="F2681" s="215" t="s">
        <v>12264</v>
      </c>
      <c r="G2681" s="215" t="s">
        <v>12265</v>
      </c>
      <c r="H2681" s="215" t="s">
        <v>6521</v>
      </c>
      <c r="I2681" s="300"/>
      <c r="J2681" s="300"/>
      <c r="K2681" s="300"/>
      <c r="L2681" s="300"/>
      <c r="M2681" s="300"/>
      <c r="N2681" s="300"/>
      <c r="O2681" s="300"/>
      <c r="P2681" s="300"/>
      <c r="Q2681" s="300"/>
      <c r="R2681" s="300"/>
      <c r="S2681" s="300"/>
      <c r="T2681" s="300"/>
      <c r="U2681" s="300"/>
      <c r="V2681" s="300"/>
      <c r="W2681" s="300"/>
      <c r="X2681" s="300"/>
      <c r="Y2681" s="300"/>
      <c r="Z2681" s="300"/>
    </row>
    <row r="2682" spans="1:26">
      <c r="A2682" s="215" t="s">
        <v>4376</v>
      </c>
      <c r="B2682" s="207">
        <v>2506</v>
      </c>
      <c r="C2682" s="215" t="s">
        <v>6322</v>
      </c>
      <c r="D2682" s="215" t="s">
        <v>12290</v>
      </c>
      <c r="E2682" s="215" t="s">
        <v>12290</v>
      </c>
      <c r="F2682" s="215" t="s">
        <v>12264</v>
      </c>
      <c r="G2682" s="215" t="s">
        <v>12265</v>
      </c>
      <c r="H2682" s="215" t="s">
        <v>6521</v>
      </c>
      <c r="I2682" s="300"/>
      <c r="J2682" s="300"/>
      <c r="K2682" s="300"/>
      <c r="L2682" s="300"/>
      <c r="M2682" s="300"/>
      <c r="N2682" s="300"/>
      <c r="O2682" s="300"/>
      <c r="P2682" s="300"/>
      <c r="Q2682" s="300"/>
      <c r="R2682" s="300"/>
      <c r="S2682" s="300"/>
      <c r="T2682" s="300"/>
      <c r="U2682" s="300"/>
      <c r="V2682" s="300"/>
      <c r="W2682" s="300"/>
      <c r="X2682" s="300"/>
      <c r="Y2682" s="300"/>
      <c r="Z2682" s="300"/>
    </row>
    <row r="2683" spans="1:26">
      <c r="A2683" s="215" t="s">
        <v>3636</v>
      </c>
      <c r="B2683" s="207">
        <v>2507</v>
      </c>
      <c r="C2683" s="215" t="s">
        <v>5732</v>
      </c>
      <c r="D2683" s="215" t="s">
        <v>12291</v>
      </c>
      <c r="E2683" s="215" t="s">
        <v>12291</v>
      </c>
      <c r="F2683" s="215" t="s">
        <v>12264</v>
      </c>
      <c r="G2683" s="215" t="s">
        <v>12265</v>
      </c>
      <c r="H2683" s="215" t="s">
        <v>6497</v>
      </c>
      <c r="I2683" s="300"/>
      <c r="J2683" s="300"/>
      <c r="K2683" s="300"/>
      <c r="L2683" s="300"/>
      <c r="M2683" s="300"/>
      <c r="N2683" s="300"/>
      <c r="O2683" s="300"/>
      <c r="P2683" s="300"/>
      <c r="Q2683" s="300"/>
      <c r="R2683" s="300"/>
      <c r="S2683" s="300"/>
      <c r="T2683" s="300"/>
      <c r="U2683" s="300"/>
      <c r="V2683" s="300"/>
      <c r="W2683" s="300"/>
      <c r="X2683" s="300"/>
      <c r="Y2683" s="300"/>
      <c r="Z2683" s="300"/>
    </row>
    <row r="2684" spans="1:26">
      <c r="A2684" s="215" t="s">
        <v>12292</v>
      </c>
      <c r="B2684" s="207">
        <v>2508</v>
      </c>
      <c r="C2684" s="215" t="s">
        <v>5669</v>
      </c>
      <c r="D2684" s="215" t="s">
        <v>12293</v>
      </c>
      <c r="E2684" s="215" t="s">
        <v>12293</v>
      </c>
      <c r="F2684" s="215" t="s">
        <v>12264</v>
      </c>
      <c r="G2684" s="215" t="s">
        <v>12265</v>
      </c>
      <c r="H2684" s="215" t="s">
        <v>6497</v>
      </c>
      <c r="I2684" s="300"/>
      <c r="J2684" s="300"/>
      <c r="K2684" s="300"/>
      <c r="L2684" s="300"/>
      <c r="M2684" s="300"/>
      <c r="N2684" s="300"/>
      <c r="O2684" s="300"/>
      <c r="P2684" s="300"/>
      <c r="Q2684" s="300"/>
      <c r="R2684" s="300"/>
      <c r="S2684" s="300"/>
      <c r="T2684" s="300"/>
      <c r="U2684" s="300"/>
      <c r="V2684" s="300"/>
      <c r="W2684" s="300"/>
      <c r="X2684" s="300"/>
      <c r="Y2684" s="300"/>
      <c r="Z2684" s="300"/>
    </row>
    <row r="2685" spans="1:26">
      <c r="A2685" s="215" t="s">
        <v>12292</v>
      </c>
      <c r="B2685" s="207">
        <v>2509</v>
      </c>
      <c r="C2685" s="215" t="s">
        <v>12294</v>
      </c>
      <c r="D2685" s="215" t="s">
        <v>12295</v>
      </c>
      <c r="E2685" s="215" t="s">
        <v>12296</v>
      </c>
      <c r="F2685" s="215" t="s">
        <v>12264</v>
      </c>
      <c r="G2685" s="215" t="s">
        <v>12265</v>
      </c>
      <c r="H2685" s="215" t="s">
        <v>6500</v>
      </c>
      <c r="I2685" s="300"/>
      <c r="J2685" s="300"/>
      <c r="K2685" s="300"/>
      <c r="L2685" s="300"/>
      <c r="M2685" s="300"/>
      <c r="N2685" s="300"/>
      <c r="O2685" s="300"/>
      <c r="P2685" s="300"/>
      <c r="Q2685" s="300"/>
      <c r="R2685" s="300"/>
      <c r="S2685" s="300"/>
      <c r="T2685" s="300"/>
      <c r="U2685" s="300"/>
      <c r="V2685" s="300"/>
      <c r="W2685" s="300"/>
      <c r="X2685" s="300"/>
      <c r="Y2685" s="300"/>
      <c r="Z2685" s="300"/>
    </row>
    <row r="2686" spans="1:26">
      <c r="A2686" s="215" t="s">
        <v>3687</v>
      </c>
      <c r="B2686" s="207">
        <v>2510</v>
      </c>
      <c r="C2686" s="215" t="s">
        <v>5775</v>
      </c>
      <c r="D2686" s="215" t="s">
        <v>12297</v>
      </c>
      <c r="E2686" s="215" t="s">
        <v>12298</v>
      </c>
      <c r="F2686" s="215" t="s">
        <v>12264</v>
      </c>
      <c r="G2686" s="215" t="s">
        <v>12265</v>
      </c>
      <c r="H2686" s="215" t="s">
        <v>6497</v>
      </c>
      <c r="I2686" s="300"/>
      <c r="J2686" s="300"/>
      <c r="K2686" s="300"/>
      <c r="L2686" s="300"/>
      <c r="M2686" s="300"/>
      <c r="N2686" s="300"/>
      <c r="O2686" s="300"/>
      <c r="P2686" s="300"/>
      <c r="Q2686" s="300"/>
      <c r="R2686" s="300"/>
      <c r="S2686" s="300"/>
      <c r="T2686" s="300"/>
      <c r="U2686" s="300"/>
      <c r="V2686" s="300"/>
      <c r="W2686" s="300"/>
      <c r="X2686" s="300"/>
      <c r="Y2686" s="300"/>
      <c r="Z2686" s="300"/>
    </row>
    <row r="2687" spans="1:26">
      <c r="A2687" s="215" t="s">
        <v>4453</v>
      </c>
      <c r="B2687" s="207">
        <v>2511</v>
      </c>
      <c r="C2687" s="215" t="s">
        <v>6384</v>
      </c>
      <c r="D2687" s="215" t="s">
        <v>12299</v>
      </c>
      <c r="E2687" s="215" t="s">
        <v>12300</v>
      </c>
      <c r="F2687" s="215" t="s">
        <v>12264</v>
      </c>
      <c r="G2687" s="215" t="s">
        <v>12265</v>
      </c>
      <c r="H2687" s="215" t="s">
        <v>6500</v>
      </c>
      <c r="I2687" s="300"/>
      <c r="J2687" s="300"/>
      <c r="K2687" s="300"/>
      <c r="L2687" s="300"/>
      <c r="M2687" s="300"/>
      <c r="N2687" s="300"/>
      <c r="O2687" s="300"/>
      <c r="P2687" s="300"/>
      <c r="Q2687" s="300"/>
      <c r="R2687" s="300"/>
      <c r="S2687" s="300"/>
      <c r="T2687" s="300"/>
      <c r="U2687" s="300"/>
      <c r="V2687" s="300"/>
      <c r="W2687" s="300"/>
      <c r="X2687" s="300"/>
      <c r="Y2687" s="300"/>
      <c r="Z2687" s="300"/>
    </row>
    <row r="2688" spans="1:26">
      <c r="A2688" s="215" t="s">
        <v>3452</v>
      </c>
      <c r="B2688" s="207">
        <v>2512</v>
      </c>
      <c r="C2688" s="215" t="s">
        <v>5440</v>
      </c>
      <c r="D2688" s="215" t="s">
        <v>9414</v>
      </c>
      <c r="E2688" s="215" t="s">
        <v>9414</v>
      </c>
      <c r="F2688" s="215" t="s">
        <v>12264</v>
      </c>
      <c r="G2688" s="215" t="s">
        <v>12265</v>
      </c>
      <c r="H2688" s="215" t="s">
        <v>6500</v>
      </c>
      <c r="I2688" s="300"/>
      <c r="J2688" s="300"/>
      <c r="K2688" s="300"/>
      <c r="L2688" s="300"/>
      <c r="M2688" s="300"/>
      <c r="N2688" s="300"/>
      <c r="O2688" s="300"/>
      <c r="P2688" s="300"/>
      <c r="Q2688" s="300"/>
      <c r="R2688" s="300"/>
      <c r="S2688" s="300"/>
      <c r="T2688" s="300"/>
      <c r="U2688" s="300"/>
      <c r="V2688" s="300"/>
      <c r="W2688" s="300"/>
      <c r="X2688" s="300"/>
      <c r="Y2688" s="300"/>
      <c r="Z2688" s="300"/>
    </row>
    <row r="2689" spans="1:26">
      <c r="A2689" s="215"/>
      <c r="B2689" s="207">
        <v>2513</v>
      </c>
      <c r="C2689" s="215" t="s">
        <v>5919</v>
      </c>
      <c r="D2689" s="215" t="s">
        <v>12301</v>
      </c>
      <c r="E2689" s="215" t="s">
        <v>12301</v>
      </c>
      <c r="F2689" s="215" t="s">
        <v>12264</v>
      </c>
      <c r="G2689" s="215" t="s">
        <v>12265</v>
      </c>
      <c r="H2689" s="215" t="s">
        <v>6497</v>
      </c>
      <c r="I2689" s="300"/>
      <c r="J2689" s="300"/>
      <c r="K2689" s="300"/>
      <c r="L2689" s="300"/>
      <c r="M2689" s="300"/>
      <c r="N2689" s="300"/>
      <c r="O2689" s="300"/>
      <c r="P2689" s="300"/>
      <c r="Q2689" s="300"/>
      <c r="R2689" s="300"/>
      <c r="S2689" s="300"/>
      <c r="T2689" s="300"/>
      <c r="U2689" s="300"/>
      <c r="V2689" s="300"/>
      <c r="W2689" s="300"/>
      <c r="X2689" s="300"/>
      <c r="Y2689" s="300"/>
      <c r="Z2689" s="300"/>
    </row>
    <row r="2690" spans="1:26">
      <c r="A2690" s="215" t="s">
        <v>3545</v>
      </c>
      <c r="B2690" s="207">
        <v>2514</v>
      </c>
      <c r="C2690" s="215" t="s">
        <v>5653</v>
      </c>
      <c r="D2690" s="215" t="s">
        <v>12302</v>
      </c>
      <c r="E2690" s="215" t="s">
        <v>12303</v>
      </c>
      <c r="F2690" s="215" t="s">
        <v>12264</v>
      </c>
      <c r="G2690" s="215" t="s">
        <v>12265</v>
      </c>
      <c r="H2690" s="215" t="s">
        <v>6521</v>
      </c>
      <c r="I2690" s="300"/>
      <c r="J2690" s="300"/>
      <c r="K2690" s="300"/>
      <c r="L2690" s="300"/>
      <c r="M2690" s="300"/>
      <c r="N2690" s="300"/>
      <c r="O2690" s="300"/>
      <c r="P2690" s="300"/>
      <c r="Q2690" s="300"/>
      <c r="R2690" s="300"/>
      <c r="S2690" s="300"/>
      <c r="T2690" s="300"/>
      <c r="U2690" s="300"/>
      <c r="V2690" s="300"/>
      <c r="W2690" s="300"/>
      <c r="X2690" s="300"/>
      <c r="Y2690" s="300"/>
      <c r="Z2690" s="300"/>
    </row>
    <row r="2691" spans="1:26">
      <c r="A2691" s="215" t="s">
        <v>2649</v>
      </c>
      <c r="B2691" s="207">
        <v>2515</v>
      </c>
      <c r="C2691" s="215" t="s">
        <v>4823</v>
      </c>
      <c r="D2691" s="215" t="s">
        <v>12304</v>
      </c>
      <c r="E2691" s="215" t="s">
        <v>12304</v>
      </c>
      <c r="F2691" s="215" t="s">
        <v>12264</v>
      </c>
      <c r="G2691" s="215" t="s">
        <v>12265</v>
      </c>
      <c r="H2691" s="215" t="s">
        <v>6497</v>
      </c>
      <c r="I2691" s="300"/>
      <c r="J2691" s="300"/>
      <c r="K2691" s="300"/>
      <c r="L2691" s="300"/>
      <c r="M2691" s="300"/>
      <c r="N2691" s="300"/>
      <c r="O2691" s="300"/>
      <c r="P2691" s="300"/>
      <c r="Q2691" s="300"/>
      <c r="R2691" s="300"/>
      <c r="S2691" s="300"/>
      <c r="T2691" s="300"/>
      <c r="U2691" s="300"/>
      <c r="V2691" s="300"/>
      <c r="W2691" s="300"/>
      <c r="X2691" s="300"/>
      <c r="Y2691" s="300"/>
      <c r="Z2691" s="300"/>
    </row>
    <row r="2692" spans="1:26">
      <c r="A2692" s="215" t="s">
        <v>2658</v>
      </c>
      <c r="B2692" s="207">
        <v>2638</v>
      </c>
      <c r="C2692" s="215" t="s">
        <v>4830</v>
      </c>
      <c r="D2692" s="215" t="s">
        <v>12305</v>
      </c>
      <c r="E2692" s="215" t="s">
        <v>12305</v>
      </c>
      <c r="F2692" s="215" t="s">
        <v>12264</v>
      </c>
      <c r="G2692" s="215" t="s">
        <v>12265</v>
      </c>
      <c r="H2692" s="215" t="s">
        <v>6500</v>
      </c>
      <c r="I2692" s="300"/>
      <c r="J2692" s="300"/>
      <c r="K2692" s="300"/>
      <c r="L2692" s="300"/>
      <c r="M2692" s="300"/>
      <c r="N2692" s="300"/>
      <c r="O2692" s="300"/>
      <c r="P2692" s="300"/>
      <c r="Q2692" s="300"/>
      <c r="R2692" s="300"/>
      <c r="S2692" s="300"/>
      <c r="T2692" s="300"/>
      <c r="U2692" s="300"/>
      <c r="V2692" s="300"/>
      <c r="W2692" s="300"/>
      <c r="X2692" s="300"/>
      <c r="Y2692" s="300"/>
      <c r="Z2692" s="300"/>
    </row>
    <row r="2693" spans="1:26">
      <c r="A2693" s="215" t="s">
        <v>2808</v>
      </c>
      <c r="B2693" s="207">
        <v>2639</v>
      </c>
      <c r="C2693" s="215" t="s">
        <v>4910</v>
      </c>
      <c r="D2693" s="215" t="s">
        <v>12306</v>
      </c>
      <c r="E2693" s="215" t="s">
        <v>12306</v>
      </c>
      <c r="F2693" s="215" t="s">
        <v>12264</v>
      </c>
      <c r="G2693" s="215" t="s">
        <v>12265</v>
      </c>
      <c r="H2693" s="215" t="s">
        <v>6521</v>
      </c>
      <c r="I2693" s="300"/>
      <c r="J2693" s="300"/>
      <c r="K2693" s="300"/>
      <c r="L2693" s="300"/>
      <c r="M2693" s="300"/>
      <c r="N2693" s="300"/>
      <c r="O2693" s="300"/>
      <c r="P2693" s="300"/>
      <c r="Q2693" s="300"/>
      <c r="R2693" s="300"/>
      <c r="S2693" s="300"/>
      <c r="T2693" s="300"/>
      <c r="U2693" s="300"/>
      <c r="V2693" s="300"/>
      <c r="W2693" s="300"/>
      <c r="X2693" s="300"/>
      <c r="Y2693" s="300"/>
      <c r="Z2693" s="300"/>
    </row>
    <row r="2694" spans="1:26">
      <c r="A2694" s="215" t="s">
        <v>2824</v>
      </c>
      <c r="B2694" s="207">
        <v>2640</v>
      </c>
      <c r="C2694" s="215" t="s">
        <v>4987</v>
      </c>
      <c r="D2694" s="215" t="s">
        <v>12307</v>
      </c>
      <c r="E2694" s="215" t="s">
        <v>12307</v>
      </c>
      <c r="F2694" s="215" t="s">
        <v>12264</v>
      </c>
      <c r="G2694" s="215" t="s">
        <v>12265</v>
      </c>
      <c r="H2694" s="215" t="s">
        <v>6521</v>
      </c>
      <c r="I2694" s="300"/>
      <c r="J2694" s="300"/>
      <c r="K2694" s="300"/>
      <c r="L2694" s="300"/>
      <c r="M2694" s="300"/>
      <c r="N2694" s="300"/>
      <c r="O2694" s="300"/>
      <c r="P2694" s="300"/>
      <c r="Q2694" s="300"/>
      <c r="R2694" s="300"/>
      <c r="S2694" s="300"/>
      <c r="T2694" s="300"/>
      <c r="U2694" s="300"/>
      <c r="V2694" s="300"/>
      <c r="W2694" s="300"/>
      <c r="X2694" s="300"/>
      <c r="Y2694" s="300"/>
      <c r="Z2694" s="300"/>
    </row>
    <row r="2695" spans="1:26">
      <c r="A2695" s="215" t="s">
        <v>3641</v>
      </c>
      <c r="B2695" s="207">
        <v>2641</v>
      </c>
      <c r="C2695" s="215" t="s">
        <v>5738</v>
      </c>
      <c r="D2695" s="215" t="s">
        <v>12308</v>
      </c>
      <c r="E2695" s="215" t="s">
        <v>3577</v>
      </c>
      <c r="F2695" s="215" t="s">
        <v>12264</v>
      </c>
      <c r="G2695" s="215" t="s">
        <v>12265</v>
      </c>
      <c r="H2695" s="215" t="s">
        <v>6521</v>
      </c>
      <c r="I2695" s="300"/>
      <c r="J2695" s="300"/>
      <c r="K2695" s="300"/>
      <c r="L2695" s="300"/>
      <c r="M2695" s="300"/>
      <c r="N2695" s="300"/>
      <c r="O2695" s="300"/>
      <c r="P2695" s="300"/>
      <c r="Q2695" s="300"/>
      <c r="R2695" s="300"/>
      <c r="S2695" s="300"/>
      <c r="T2695" s="300"/>
      <c r="U2695" s="300"/>
      <c r="V2695" s="300"/>
      <c r="W2695" s="300"/>
      <c r="X2695" s="300"/>
      <c r="Y2695" s="300"/>
      <c r="Z2695" s="300"/>
    </row>
    <row r="2696" spans="1:26">
      <c r="A2696" s="215" t="s">
        <v>3267</v>
      </c>
      <c r="B2696" s="207">
        <v>2642</v>
      </c>
      <c r="C2696" s="215" t="s">
        <v>5390</v>
      </c>
      <c r="D2696" s="215" t="s">
        <v>12309</v>
      </c>
      <c r="E2696" s="215" t="s">
        <v>12309</v>
      </c>
      <c r="F2696" s="215" t="s">
        <v>12264</v>
      </c>
      <c r="G2696" s="215" t="s">
        <v>12265</v>
      </c>
      <c r="H2696" s="215" t="s">
        <v>6548</v>
      </c>
      <c r="I2696" s="300"/>
      <c r="J2696" s="300"/>
      <c r="K2696" s="300"/>
      <c r="L2696" s="300"/>
      <c r="M2696" s="300"/>
      <c r="N2696" s="300"/>
      <c r="O2696" s="300"/>
      <c r="P2696" s="300"/>
      <c r="Q2696" s="300"/>
      <c r="R2696" s="300"/>
      <c r="S2696" s="300"/>
      <c r="T2696" s="300"/>
      <c r="U2696" s="300"/>
      <c r="V2696" s="300"/>
      <c r="W2696" s="300"/>
      <c r="X2696" s="300"/>
      <c r="Y2696" s="300"/>
      <c r="Z2696" s="300"/>
    </row>
    <row r="2697" spans="1:26">
      <c r="A2697" s="215" t="s">
        <v>3704</v>
      </c>
      <c r="B2697" s="207">
        <v>2643</v>
      </c>
      <c r="C2697" s="215" t="s">
        <v>5625</v>
      </c>
      <c r="D2697" s="215" t="s">
        <v>12310</v>
      </c>
      <c r="E2697" s="215" t="s">
        <v>12310</v>
      </c>
      <c r="F2697" s="215" t="s">
        <v>12264</v>
      </c>
      <c r="G2697" s="215" t="s">
        <v>12265</v>
      </c>
      <c r="H2697" s="215" t="s">
        <v>6521</v>
      </c>
      <c r="I2697" s="300"/>
      <c r="J2697" s="300"/>
      <c r="K2697" s="300"/>
      <c r="L2697" s="300"/>
      <c r="M2697" s="300"/>
      <c r="N2697" s="300"/>
      <c r="O2697" s="300"/>
      <c r="P2697" s="300"/>
      <c r="Q2697" s="300"/>
      <c r="R2697" s="300"/>
      <c r="S2697" s="300"/>
      <c r="T2697" s="300"/>
      <c r="U2697" s="300"/>
      <c r="V2697" s="300"/>
      <c r="W2697" s="300"/>
      <c r="X2697" s="300"/>
      <c r="Y2697" s="300"/>
      <c r="Z2697" s="300"/>
    </row>
    <row r="2698" spans="1:26">
      <c r="A2698" s="215" t="s">
        <v>3556</v>
      </c>
      <c r="B2698" s="207">
        <v>2644</v>
      </c>
      <c r="C2698" s="215" t="s">
        <v>5663</v>
      </c>
      <c r="D2698" s="215" t="s">
        <v>12311</v>
      </c>
      <c r="E2698" s="215" t="s">
        <v>12311</v>
      </c>
      <c r="F2698" s="215" t="s">
        <v>12264</v>
      </c>
      <c r="G2698" s="215" t="s">
        <v>12265</v>
      </c>
      <c r="H2698" s="215" t="s">
        <v>6497</v>
      </c>
      <c r="I2698" s="300"/>
      <c r="J2698" s="300"/>
      <c r="K2698" s="300"/>
      <c r="L2698" s="300"/>
      <c r="M2698" s="300"/>
      <c r="N2698" s="300"/>
      <c r="O2698" s="300"/>
      <c r="P2698" s="300"/>
      <c r="Q2698" s="300"/>
      <c r="R2698" s="300"/>
      <c r="S2698" s="300"/>
      <c r="T2698" s="300"/>
      <c r="U2698" s="300"/>
      <c r="V2698" s="300"/>
      <c r="W2698" s="300"/>
      <c r="X2698" s="300"/>
      <c r="Y2698" s="300"/>
      <c r="Z2698" s="300"/>
    </row>
    <row r="2699" spans="1:26">
      <c r="A2699" s="215" t="s">
        <v>3631</v>
      </c>
      <c r="B2699" s="207">
        <v>2645</v>
      </c>
      <c r="C2699" s="215" t="s">
        <v>5728</v>
      </c>
      <c r="D2699" s="215" t="s">
        <v>12312</v>
      </c>
      <c r="E2699" s="215" t="s">
        <v>12312</v>
      </c>
      <c r="F2699" s="215" t="s">
        <v>12264</v>
      </c>
      <c r="G2699" s="215" t="s">
        <v>12265</v>
      </c>
      <c r="H2699" s="215" t="s">
        <v>6500</v>
      </c>
      <c r="I2699" s="300"/>
      <c r="J2699" s="300"/>
      <c r="K2699" s="300"/>
      <c r="L2699" s="300"/>
      <c r="M2699" s="300"/>
      <c r="N2699" s="300"/>
      <c r="O2699" s="300"/>
      <c r="P2699" s="300"/>
      <c r="Q2699" s="300"/>
      <c r="R2699" s="300"/>
      <c r="S2699" s="300"/>
      <c r="T2699" s="300"/>
      <c r="U2699" s="300"/>
      <c r="V2699" s="300"/>
      <c r="W2699" s="300"/>
      <c r="X2699" s="300"/>
      <c r="Y2699" s="300"/>
      <c r="Z2699" s="300"/>
    </row>
    <row r="2700" spans="1:26">
      <c r="A2700" s="215" t="s">
        <v>3645</v>
      </c>
      <c r="B2700" s="207">
        <v>2646</v>
      </c>
      <c r="C2700" s="215" t="s">
        <v>5741</v>
      </c>
      <c r="D2700" s="215" t="s">
        <v>12313</v>
      </c>
      <c r="E2700" s="215" t="s">
        <v>12313</v>
      </c>
      <c r="F2700" s="215" t="s">
        <v>12264</v>
      </c>
      <c r="G2700" s="215" t="s">
        <v>12265</v>
      </c>
      <c r="H2700" s="215" t="s">
        <v>6521</v>
      </c>
      <c r="I2700" s="300"/>
      <c r="J2700" s="300"/>
      <c r="K2700" s="300"/>
      <c r="L2700" s="300"/>
      <c r="M2700" s="300"/>
      <c r="N2700" s="300"/>
      <c r="O2700" s="300"/>
      <c r="P2700" s="300"/>
      <c r="Q2700" s="300"/>
      <c r="R2700" s="300"/>
      <c r="S2700" s="300"/>
      <c r="T2700" s="300"/>
      <c r="U2700" s="300"/>
      <c r="V2700" s="300"/>
      <c r="W2700" s="300"/>
      <c r="X2700" s="300"/>
      <c r="Y2700" s="300"/>
      <c r="Z2700" s="300"/>
    </row>
    <row r="2701" spans="1:26">
      <c r="A2701" s="215" t="s">
        <v>3683</v>
      </c>
      <c r="B2701" s="207">
        <v>2647</v>
      </c>
      <c r="C2701" s="215" t="s">
        <v>5771</v>
      </c>
      <c r="D2701" s="215" t="s">
        <v>12314</v>
      </c>
      <c r="E2701" s="215" t="s">
        <v>12314</v>
      </c>
      <c r="F2701" s="215" t="s">
        <v>12264</v>
      </c>
      <c r="G2701" s="215" t="s">
        <v>12265</v>
      </c>
      <c r="H2701" s="215" t="s">
        <v>6548</v>
      </c>
      <c r="I2701" s="300"/>
      <c r="J2701" s="300"/>
      <c r="K2701" s="300"/>
      <c r="L2701" s="300"/>
      <c r="M2701" s="300"/>
      <c r="N2701" s="300"/>
      <c r="O2701" s="300"/>
      <c r="P2701" s="300"/>
      <c r="Q2701" s="300"/>
      <c r="R2701" s="300"/>
      <c r="S2701" s="300"/>
      <c r="T2701" s="300"/>
      <c r="U2701" s="300"/>
      <c r="V2701" s="300"/>
      <c r="W2701" s="300"/>
      <c r="X2701" s="300"/>
      <c r="Y2701" s="300"/>
      <c r="Z2701" s="300"/>
    </row>
    <row r="2702" spans="1:26">
      <c r="A2702" s="215" t="s">
        <v>3966</v>
      </c>
      <c r="B2702" s="207">
        <v>2648</v>
      </c>
      <c r="C2702" s="215" t="s">
        <v>12315</v>
      </c>
      <c r="D2702" s="215" t="s">
        <v>12316</v>
      </c>
      <c r="E2702" s="215" t="s">
        <v>12316</v>
      </c>
      <c r="F2702" s="215" t="s">
        <v>12264</v>
      </c>
      <c r="G2702" s="215" t="s">
        <v>12265</v>
      </c>
      <c r="H2702" s="215" t="s">
        <v>6497</v>
      </c>
      <c r="I2702" s="300"/>
      <c r="J2702" s="300"/>
      <c r="K2702" s="300"/>
      <c r="L2702" s="300"/>
      <c r="M2702" s="300"/>
      <c r="N2702" s="300"/>
      <c r="O2702" s="300"/>
      <c r="P2702" s="300"/>
      <c r="Q2702" s="300"/>
      <c r="R2702" s="300"/>
      <c r="S2702" s="300"/>
      <c r="T2702" s="300"/>
      <c r="U2702" s="300"/>
      <c r="V2702" s="300"/>
      <c r="W2702" s="300"/>
      <c r="X2702" s="300"/>
      <c r="Y2702" s="300"/>
      <c r="Z2702" s="300"/>
    </row>
    <row r="2703" spans="1:26">
      <c r="A2703" s="215" t="s">
        <v>3931</v>
      </c>
      <c r="B2703" s="207">
        <v>2649</v>
      </c>
      <c r="C2703" s="215" t="s">
        <v>12317</v>
      </c>
      <c r="D2703" s="215" t="s">
        <v>12318</v>
      </c>
      <c r="E2703" s="215" t="s">
        <v>12318</v>
      </c>
      <c r="F2703" s="215" t="s">
        <v>12264</v>
      </c>
      <c r="G2703" s="215" t="s">
        <v>12265</v>
      </c>
      <c r="H2703" s="215" t="s">
        <v>6500</v>
      </c>
      <c r="I2703" s="300"/>
      <c r="J2703" s="300"/>
      <c r="K2703" s="300"/>
      <c r="L2703" s="300"/>
      <c r="M2703" s="300"/>
      <c r="N2703" s="300"/>
      <c r="O2703" s="300"/>
      <c r="P2703" s="300"/>
      <c r="Q2703" s="300"/>
      <c r="R2703" s="300"/>
      <c r="S2703" s="300"/>
      <c r="T2703" s="300"/>
      <c r="U2703" s="300"/>
      <c r="V2703" s="300"/>
      <c r="W2703" s="300"/>
      <c r="X2703" s="300"/>
      <c r="Y2703" s="300"/>
      <c r="Z2703" s="300"/>
    </row>
    <row r="2704" spans="1:26">
      <c r="A2704" s="215" t="s">
        <v>4023</v>
      </c>
      <c r="B2704" s="207">
        <v>2650</v>
      </c>
      <c r="C2704" s="215" t="s">
        <v>6049</v>
      </c>
      <c r="D2704" s="215" t="s">
        <v>12319</v>
      </c>
      <c r="E2704" s="215" t="s">
        <v>12319</v>
      </c>
      <c r="F2704" s="215" t="s">
        <v>12264</v>
      </c>
      <c r="G2704" s="215" t="s">
        <v>12265</v>
      </c>
      <c r="H2704" s="215" t="s">
        <v>6500</v>
      </c>
      <c r="I2704" s="300"/>
      <c r="J2704" s="300"/>
      <c r="K2704" s="300"/>
      <c r="L2704" s="300"/>
      <c r="M2704" s="300"/>
      <c r="N2704" s="300"/>
      <c r="O2704" s="300"/>
      <c r="P2704" s="300"/>
      <c r="Q2704" s="300"/>
      <c r="R2704" s="300"/>
      <c r="S2704" s="300"/>
      <c r="T2704" s="300"/>
      <c r="U2704" s="300"/>
      <c r="V2704" s="300"/>
      <c r="W2704" s="300"/>
      <c r="X2704" s="300"/>
      <c r="Y2704" s="300"/>
      <c r="Z2704" s="300"/>
    </row>
    <row r="2705" spans="1:26">
      <c r="A2705" s="215" t="s">
        <v>4150</v>
      </c>
      <c r="B2705" s="207">
        <v>2651</v>
      </c>
      <c r="C2705" s="215" t="s">
        <v>6139</v>
      </c>
      <c r="D2705" s="215" t="s">
        <v>12320</v>
      </c>
      <c r="E2705" s="215" t="s">
        <v>12321</v>
      </c>
      <c r="F2705" s="215" t="s">
        <v>12264</v>
      </c>
      <c r="G2705" s="215" t="s">
        <v>12265</v>
      </c>
      <c r="H2705" s="215" t="s">
        <v>6521</v>
      </c>
      <c r="I2705" s="300"/>
      <c r="J2705" s="300"/>
      <c r="K2705" s="300"/>
      <c r="L2705" s="300"/>
      <c r="M2705" s="300"/>
      <c r="N2705" s="300"/>
      <c r="O2705" s="300"/>
      <c r="P2705" s="300"/>
      <c r="Q2705" s="300"/>
      <c r="R2705" s="300"/>
      <c r="S2705" s="300"/>
      <c r="T2705" s="300"/>
      <c r="U2705" s="300"/>
      <c r="V2705" s="300"/>
      <c r="W2705" s="300"/>
      <c r="X2705" s="300"/>
      <c r="Y2705" s="300"/>
      <c r="Z2705" s="300"/>
    </row>
    <row r="2706" spans="1:26">
      <c r="A2706" s="215" t="s">
        <v>4273</v>
      </c>
      <c r="B2706" s="207">
        <v>2652</v>
      </c>
      <c r="C2706" s="215" t="s">
        <v>6238</v>
      </c>
      <c r="D2706" s="215" t="s">
        <v>12322</v>
      </c>
      <c r="E2706" s="215" t="s">
        <v>12322</v>
      </c>
      <c r="F2706" s="215" t="s">
        <v>12264</v>
      </c>
      <c r="G2706" s="215" t="s">
        <v>12265</v>
      </c>
      <c r="H2706" s="215" t="s">
        <v>6504</v>
      </c>
      <c r="I2706" s="300"/>
      <c r="J2706" s="300"/>
      <c r="K2706" s="300"/>
      <c r="L2706" s="300"/>
      <c r="M2706" s="300"/>
      <c r="N2706" s="300"/>
      <c r="O2706" s="300"/>
      <c r="P2706" s="300"/>
      <c r="Q2706" s="300"/>
      <c r="R2706" s="300"/>
      <c r="S2706" s="300"/>
      <c r="T2706" s="300"/>
      <c r="U2706" s="300"/>
      <c r="V2706" s="300"/>
      <c r="W2706" s="300"/>
      <c r="X2706" s="300"/>
      <c r="Y2706" s="300"/>
      <c r="Z2706" s="300"/>
    </row>
    <row r="2707" spans="1:26">
      <c r="A2707" s="215" t="s">
        <v>4268</v>
      </c>
      <c r="B2707" s="207">
        <v>2653</v>
      </c>
      <c r="C2707" s="215" t="s">
        <v>6235</v>
      </c>
      <c r="D2707" s="215" t="s">
        <v>12323</v>
      </c>
      <c r="E2707" s="215" t="s">
        <v>12323</v>
      </c>
      <c r="F2707" s="215" t="s">
        <v>12264</v>
      </c>
      <c r="G2707" s="215" t="s">
        <v>12265</v>
      </c>
      <c r="H2707" s="215" t="s">
        <v>6500</v>
      </c>
      <c r="I2707" s="300"/>
      <c r="J2707" s="300"/>
      <c r="K2707" s="300"/>
      <c r="L2707" s="300"/>
      <c r="M2707" s="300"/>
      <c r="N2707" s="300"/>
      <c r="O2707" s="300"/>
      <c r="P2707" s="300"/>
      <c r="Q2707" s="300"/>
      <c r="R2707" s="300"/>
      <c r="S2707" s="300"/>
      <c r="T2707" s="300"/>
      <c r="U2707" s="300"/>
      <c r="V2707" s="300"/>
      <c r="W2707" s="300"/>
      <c r="X2707" s="300"/>
      <c r="Y2707" s="300"/>
      <c r="Z2707" s="300"/>
    </row>
    <row r="2708" spans="1:26">
      <c r="A2708" s="215" t="s">
        <v>4276</v>
      </c>
      <c r="B2708" s="207">
        <v>2654</v>
      </c>
      <c r="C2708" s="215" t="s">
        <v>6242</v>
      </c>
      <c r="D2708" s="215" t="s">
        <v>12324</v>
      </c>
      <c r="E2708" s="215" t="s">
        <v>12324</v>
      </c>
      <c r="F2708" s="215" t="s">
        <v>12264</v>
      </c>
      <c r="G2708" s="215" t="s">
        <v>12265</v>
      </c>
      <c r="H2708" s="215" t="s">
        <v>6500</v>
      </c>
      <c r="I2708" s="300"/>
      <c r="J2708" s="300"/>
      <c r="K2708" s="300"/>
      <c r="L2708" s="300"/>
      <c r="M2708" s="300"/>
      <c r="N2708" s="300"/>
      <c r="O2708" s="300"/>
      <c r="P2708" s="300"/>
      <c r="Q2708" s="300"/>
      <c r="R2708" s="300"/>
      <c r="S2708" s="300"/>
      <c r="T2708" s="300"/>
      <c r="U2708" s="300"/>
      <c r="V2708" s="300"/>
      <c r="W2708" s="300"/>
      <c r="X2708" s="300"/>
      <c r="Y2708" s="300"/>
      <c r="Z2708" s="300"/>
    </row>
    <row r="2709" spans="1:26">
      <c r="A2709" s="215" t="s">
        <v>4133</v>
      </c>
      <c r="B2709" s="207">
        <v>1949</v>
      </c>
      <c r="C2709" s="215" t="s">
        <v>6126</v>
      </c>
      <c r="D2709" s="215" t="s">
        <v>12325</v>
      </c>
      <c r="E2709" s="215" t="s">
        <v>12326</v>
      </c>
      <c r="F2709" s="215" t="s">
        <v>12327</v>
      </c>
      <c r="G2709" s="215" t="s">
        <v>12328</v>
      </c>
      <c r="H2709" s="215" t="s">
        <v>6504</v>
      </c>
      <c r="I2709" s="300"/>
      <c r="J2709" s="300"/>
      <c r="K2709" s="300"/>
      <c r="L2709" s="300"/>
      <c r="M2709" s="300"/>
      <c r="N2709" s="300"/>
      <c r="O2709" s="300"/>
      <c r="P2709" s="300"/>
      <c r="Q2709" s="300"/>
      <c r="R2709" s="300"/>
      <c r="S2709" s="300"/>
      <c r="T2709" s="300"/>
      <c r="U2709" s="300"/>
      <c r="V2709" s="300"/>
      <c r="W2709" s="300"/>
      <c r="X2709" s="300"/>
      <c r="Y2709" s="300"/>
      <c r="Z2709" s="300"/>
    </row>
    <row r="2710" spans="1:26">
      <c r="A2710" s="215"/>
      <c r="B2710" s="207">
        <v>2179</v>
      </c>
      <c r="C2710" s="215" t="s">
        <v>12329</v>
      </c>
      <c r="D2710" s="215" t="s">
        <v>12330</v>
      </c>
      <c r="E2710" s="215" t="s">
        <v>12330</v>
      </c>
      <c r="F2710" s="215" t="s">
        <v>12327</v>
      </c>
      <c r="G2710" s="215" t="s">
        <v>12328</v>
      </c>
      <c r="H2710" s="215" t="s">
        <v>6500</v>
      </c>
      <c r="I2710" s="300"/>
      <c r="J2710" s="300"/>
      <c r="K2710" s="300"/>
      <c r="L2710" s="300"/>
      <c r="M2710" s="300"/>
      <c r="N2710" s="300"/>
      <c r="O2710" s="300"/>
      <c r="P2710" s="300"/>
      <c r="Q2710" s="300"/>
      <c r="R2710" s="300"/>
      <c r="S2710" s="300"/>
      <c r="T2710" s="300"/>
      <c r="U2710" s="300"/>
      <c r="V2710" s="300"/>
      <c r="W2710" s="300"/>
      <c r="X2710" s="300"/>
      <c r="Y2710" s="300"/>
      <c r="Z2710" s="300"/>
    </row>
    <row r="2711" spans="1:26">
      <c r="A2711" s="215" t="s">
        <v>4466</v>
      </c>
      <c r="B2711" s="207">
        <v>130</v>
      </c>
      <c r="C2711" s="215" t="s">
        <v>6394</v>
      </c>
      <c r="D2711" s="215" t="s">
        <v>12331</v>
      </c>
      <c r="E2711" s="215" t="s">
        <v>12331</v>
      </c>
      <c r="F2711" s="215" t="s">
        <v>12332</v>
      </c>
      <c r="G2711" s="215" t="s">
        <v>12333</v>
      </c>
      <c r="H2711" s="215" t="s">
        <v>6548</v>
      </c>
      <c r="I2711" s="300"/>
      <c r="J2711" s="300"/>
      <c r="K2711" s="300"/>
      <c r="L2711" s="300"/>
      <c r="M2711" s="300"/>
      <c r="N2711" s="300"/>
      <c r="O2711" s="300"/>
      <c r="P2711" s="300"/>
      <c r="Q2711" s="300"/>
      <c r="R2711" s="300"/>
      <c r="S2711" s="300"/>
      <c r="T2711" s="300"/>
      <c r="U2711" s="300"/>
      <c r="V2711" s="300"/>
      <c r="W2711" s="300"/>
      <c r="X2711" s="300"/>
      <c r="Y2711" s="300"/>
      <c r="Z2711" s="300"/>
    </row>
    <row r="2712" spans="1:26">
      <c r="A2712" s="215" t="s">
        <v>3750</v>
      </c>
      <c r="B2712" s="207">
        <v>131</v>
      </c>
      <c r="C2712" s="215" t="s">
        <v>12334</v>
      </c>
      <c r="D2712" s="215" t="s">
        <v>12335</v>
      </c>
      <c r="E2712" s="215" t="s">
        <v>12335</v>
      </c>
      <c r="F2712" s="215" t="s">
        <v>12332</v>
      </c>
      <c r="G2712" s="215" t="s">
        <v>12333</v>
      </c>
      <c r="H2712" s="215" t="s">
        <v>6548</v>
      </c>
      <c r="I2712" s="300"/>
      <c r="J2712" s="300"/>
      <c r="K2712" s="300"/>
      <c r="L2712" s="300"/>
      <c r="M2712" s="300"/>
      <c r="N2712" s="300"/>
      <c r="O2712" s="300"/>
      <c r="P2712" s="300"/>
      <c r="Q2712" s="300"/>
      <c r="R2712" s="300"/>
      <c r="S2712" s="300"/>
      <c r="T2712" s="300"/>
      <c r="U2712" s="300"/>
      <c r="V2712" s="300"/>
      <c r="W2712" s="300"/>
      <c r="X2712" s="300"/>
      <c r="Y2712" s="300"/>
      <c r="Z2712" s="300"/>
    </row>
    <row r="2713" spans="1:26">
      <c r="A2713" s="215" t="s">
        <v>3750</v>
      </c>
      <c r="B2713" s="207">
        <v>132</v>
      </c>
      <c r="C2713" s="215" t="s">
        <v>12336</v>
      </c>
      <c r="D2713" s="215" t="s">
        <v>12337</v>
      </c>
      <c r="E2713" s="215" t="s">
        <v>12338</v>
      </c>
      <c r="F2713" s="215" t="s">
        <v>12332</v>
      </c>
      <c r="G2713" s="215" t="s">
        <v>12333</v>
      </c>
      <c r="H2713" s="215" t="s">
        <v>6497</v>
      </c>
      <c r="I2713" s="300"/>
      <c r="J2713" s="300"/>
      <c r="K2713" s="300"/>
      <c r="L2713" s="300"/>
      <c r="M2713" s="300"/>
      <c r="N2713" s="300"/>
      <c r="O2713" s="300"/>
      <c r="P2713" s="300"/>
      <c r="Q2713" s="300"/>
      <c r="R2713" s="300"/>
      <c r="S2713" s="300"/>
      <c r="T2713" s="300"/>
      <c r="U2713" s="300"/>
      <c r="V2713" s="300"/>
      <c r="W2713" s="300"/>
      <c r="X2713" s="300"/>
      <c r="Y2713" s="300"/>
      <c r="Z2713" s="300"/>
    </row>
    <row r="2714" spans="1:26">
      <c r="A2714" s="215" t="s">
        <v>3447</v>
      </c>
      <c r="B2714" s="207">
        <v>133</v>
      </c>
      <c r="C2714" s="215" t="s">
        <v>5568</v>
      </c>
      <c r="D2714" s="215" t="s">
        <v>12339</v>
      </c>
      <c r="E2714" s="215" t="s">
        <v>12339</v>
      </c>
      <c r="F2714" s="215" t="s">
        <v>12332</v>
      </c>
      <c r="G2714" s="215" t="s">
        <v>12333</v>
      </c>
      <c r="H2714" s="215" t="s">
        <v>6497</v>
      </c>
      <c r="I2714" s="300"/>
      <c r="J2714" s="300"/>
      <c r="K2714" s="300"/>
      <c r="L2714" s="300"/>
      <c r="M2714" s="300"/>
      <c r="N2714" s="300"/>
      <c r="O2714" s="300"/>
      <c r="P2714" s="300"/>
      <c r="Q2714" s="300"/>
      <c r="R2714" s="300"/>
      <c r="S2714" s="300"/>
      <c r="T2714" s="300"/>
      <c r="U2714" s="300"/>
      <c r="V2714" s="300"/>
      <c r="W2714" s="300"/>
      <c r="X2714" s="300"/>
      <c r="Y2714" s="300"/>
      <c r="Z2714" s="300"/>
    </row>
    <row r="2715" spans="1:26">
      <c r="A2715" s="215" t="s">
        <v>3729</v>
      </c>
      <c r="B2715" s="207">
        <v>135</v>
      </c>
      <c r="C2715" s="215" t="s">
        <v>12340</v>
      </c>
      <c r="D2715" s="215" t="s">
        <v>12341</v>
      </c>
      <c r="E2715" s="215" t="s">
        <v>12342</v>
      </c>
      <c r="F2715" s="215" t="s">
        <v>12332</v>
      </c>
      <c r="G2715" s="215" t="s">
        <v>12333</v>
      </c>
      <c r="H2715" s="215" t="s">
        <v>6548</v>
      </c>
      <c r="I2715" s="300"/>
      <c r="J2715" s="300"/>
      <c r="K2715" s="300"/>
      <c r="L2715" s="300"/>
      <c r="M2715" s="300"/>
      <c r="N2715" s="300"/>
      <c r="O2715" s="300"/>
      <c r="P2715" s="300"/>
      <c r="Q2715" s="300"/>
      <c r="R2715" s="300"/>
      <c r="S2715" s="300"/>
      <c r="T2715" s="300"/>
      <c r="U2715" s="300"/>
      <c r="V2715" s="300"/>
      <c r="W2715" s="300"/>
      <c r="X2715" s="300"/>
      <c r="Y2715" s="300"/>
      <c r="Z2715" s="300"/>
    </row>
    <row r="2716" spans="1:26">
      <c r="A2716" s="215" t="s">
        <v>4461</v>
      </c>
      <c r="B2716" s="207">
        <v>136</v>
      </c>
      <c r="C2716" s="215" t="s">
        <v>12343</v>
      </c>
      <c r="D2716" s="215" t="s">
        <v>12344</v>
      </c>
      <c r="E2716" s="215" t="s">
        <v>12344</v>
      </c>
      <c r="F2716" s="215" t="s">
        <v>12332</v>
      </c>
      <c r="G2716" s="215" t="s">
        <v>12333</v>
      </c>
      <c r="H2716" s="215" t="s">
        <v>6548</v>
      </c>
      <c r="I2716" s="300"/>
      <c r="J2716" s="300"/>
      <c r="K2716" s="300"/>
      <c r="L2716" s="300"/>
      <c r="M2716" s="300"/>
      <c r="N2716" s="300"/>
      <c r="O2716" s="300"/>
      <c r="P2716" s="300"/>
      <c r="Q2716" s="300"/>
      <c r="R2716" s="300"/>
      <c r="S2716" s="300"/>
      <c r="T2716" s="300"/>
      <c r="U2716" s="300"/>
      <c r="V2716" s="300"/>
      <c r="W2716" s="300"/>
      <c r="X2716" s="300"/>
      <c r="Y2716" s="300"/>
      <c r="Z2716" s="300"/>
    </row>
    <row r="2717" spans="1:26">
      <c r="A2717" s="215" t="s">
        <v>4470</v>
      </c>
      <c r="B2717" s="207">
        <v>1442</v>
      </c>
      <c r="C2717" s="215" t="s">
        <v>6397</v>
      </c>
      <c r="D2717" s="215" t="s">
        <v>12345</v>
      </c>
      <c r="E2717" s="215" t="s">
        <v>12346</v>
      </c>
      <c r="F2717" s="215" t="s">
        <v>12332</v>
      </c>
      <c r="G2717" s="215" t="s">
        <v>12333</v>
      </c>
      <c r="H2717" s="215" t="s">
        <v>6497</v>
      </c>
      <c r="I2717" s="300"/>
      <c r="J2717" s="300"/>
      <c r="K2717" s="300"/>
      <c r="L2717" s="300"/>
      <c r="M2717" s="300"/>
      <c r="N2717" s="300"/>
      <c r="O2717" s="300"/>
      <c r="P2717" s="300"/>
      <c r="Q2717" s="300"/>
      <c r="R2717" s="300"/>
      <c r="S2717" s="300"/>
      <c r="T2717" s="300"/>
      <c r="U2717" s="300"/>
      <c r="V2717" s="300"/>
      <c r="W2717" s="300"/>
      <c r="X2717" s="300"/>
      <c r="Y2717" s="300"/>
      <c r="Z2717" s="300"/>
    </row>
    <row r="2718" spans="1:26">
      <c r="A2718" s="215" t="s">
        <v>3445</v>
      </c>
      <c r="B2718" s="207">
        <v>1443</v>
      </c>
      <c r="C2718" s="215" t="s">
        <v>12347</v>
      </c>
      <c r="D2718" s="215" t="s">
        <v>12348</v>
      </c>
      <c r="E2718" s="215" t="s">
        <v>12349</v>
      </c>
      <c r="F2718" s="215" t="s">
        <v>12332</v>
      </c>
      <c r="G2718" s="215" t="s">
        <v>12333</v>
      </c>
      <c r="H2718" s="215" t="s">
        <v>6548</v>
      </c>
      <c r="I2718" s="300"/>
      <c r="J2718" s="300"/>
      <c r="K2718" s="300"/>
      <c r="L2718" s="300"/>
      <c r="M2718" s="300"/>
      <c r="N2718" s="300"/>
      <c r="O2718" s="300"/>
      <c r="P2718" s="300"/>
      <c r="Q2718" s="300"/>
      <c r="R2718" s="300"/>
      <c r="S2718" s="300"/>
      <c r="T2718" s="300"/>
      <c r="U2718" s="300"/>
      <c r="V2718" s="300"/>
      <c r="W2718" s="300"/>
      <c r="X2718" s="300"/>
      <c r="Y2718" s="300"/>
      <c r="Z2718" s="300"/>
    </row>
    <row r="2719" spans="1:26">
      <c r="A2719" s="215" t="s">
        <v>3445</v>
      </c>
      <c r="B2719" s="207">
        <v>1444</v>
      </c>
      <c r="C2719" s="215" t="s">
        <v>5566</v>
      </c>
      <c r="D2719" s="215" t="s">
        <v>12350</v>
      </c>
      <c r="E2719" s="215" t="s">
        <v>12350</v>
      </c>
      <c r="F2719" s="215" t="s">
        <v>12332</v>
      </c>
      <c r="G2719" s="215" t="s">
        <v>12333</v>
      </c>
      <c r="H2719" s="215" t="s">
        <v>6548</v>
      </c>
      <c r="I2719" s="300"/>
      <c r="J2719" s="300"/>
      <c r="K2719" s="300"/>
      <c r="L2719" s="300"/>
      <c r="M2719" s="300"/>
      <c r="N2719" s="300"/>
      <c r="O2719" s="300"/>
      <c r="P2719" s="300"/>
      <c r="Q2719" s="300"/>
      <c r="R2719" s="300"/>
      <c r="S2719" s="300"/>
      <c r="T2719" s="300"/>
      <c r="U2719" s="300"/>
      <c r="V2719" s="300"/>
      <c r="W2719" s="300"/>
      <c r="X2719" s="300"/>
      <c r="Y2719" s="300"/>
      <c r="Z2719" s="300"/>
    </row>
    <row r="2720" spans="1:26">
      <c r="A2720" s="215"/>
      <c r="B2720" s="207">
        <v>1445</v>
      </c>
      <c r="C2720" s="215" t="s">
        <v>12351</v>
      </c>
      <c r="D2720" s="215" t="s">
        <v>12352</v>
      </c>
      <c r="E2720" s="215" t="s">
        <v>12352</v>
      </c>
      <c r="F2720" s="215" t="s">
        <v>12332</v>
      </c>
      <c r="G2720" s="215" t="s">
        <v>12333</v>
      </c>
      <c r="H2720" s="215" t="s">
        <v>6548</v>
      </c>
      <c r="I2720" s="300"/>
      <c r="J2720" s="300"/>
      <c r="K2720" s="300"/>
      <c r="L2720" s="300"/>
      <c r="M2720" s="300"/>
      <c r="N2720" s="300"/>
      <c r="O2720" s="300"/>
      <c r="P2720" s="300"/>
      <c r="Q2720" s="300"/>
      <c r="R2720" s="300"/>
      <c r="S2720" s="300"/>
      <c r="T2720" s="300"/>
      <c r="U2720" s="300"/>
      <c r="V2720" s="300"/>
      <c r="W2720" s="300"/>
      <c r="X2720" s="300"/>
      <c r="Y2720" s="300"/>
      <c r="Z2720" s="300"/>
    </row>
    <row r="2721" spans="1:26">
      <c r="A2721" s="215" t="s">
        <v>3733</v>
      </c>
      <c r="B2721" s="207">
        <v>110</v>
      </c>
      <c r="C2721" s="215" t="s">
        <v>5812</v>
      </c>
      <c r="D2721" s="215" t="s">
        <v>12353</v>
      </c>
      <c r="E2721" s="215" t="s">
        <v>12353</v>
      </c>
      <c r="F2721" s="215" t="s">
        <v>12354</v>
      </c>
      <c r="G2721" s="215" t="s">
        <v>12355</v>
      </c>
      <c r="H2721" s="215" t="s">
        <v>6497</v>
      </c>
      <c r="I2721" s="300"/>
      <c r="J2721" s="300"/>
      <c r="K2721" s="300"/>
      <c r="L2721" s="300"/>
      <c r="M2721" s="300"/>
      <c r="N2721" s="300"/>
      <c r="O2721" s="300"/>
      <c r="P2721" s="300"/>
      <c r="Q2721" s="300"/>
      <c r="R2721" s="300"/>
      <c r="S2721" s="300"/>
      <c r="T2721" s="300"/>
      <c r="U2721" s="300"/>
      <c r="V2721" s="300"/>
      <c r="W2721" s="300"/>
      <c r="X2721" s="300"/>
      <c r="Y2721" s="300"/>
      <c r="Z2721" s="300"/>
    </row>
    <row r="2722" spans="1:26">
      <c r="A2722" s="215" t="s">
        <v>3308</v>
      </c>
      <c r="B2722" s="207">
        <v>111</v>
      </c>
      <c r="C2722" s="215" t="s">
        <v>12356</v>
      </c>
      <c r="D2722" s="215" t="s">
        <v>5434</v>
      </c>
      <c r="E2722" s="215" t="s">
        <v>12357</v>
      </c>
      <c r="F2722" s="215" t="s">
        <v>12354</v>
      </c>
      <c r="G2722" s="215" t="s">
        <v>12355</v>
      </c>
      <c r="H2722" s="215" t="s">
        <v>6548</v>
      </c>
      <c r="I2722" s="300"/>
      <c r="J2722" s="300"/>
      <c r="K2722" s="300"/>
      <c r="L2722" s="300"/>
      <c r="M2722" s="300"/>
      <c r="N2722" s="300"/>
      <c r="O2722" s="300"/>
      <c r="P2722" s="300"/>
      <c r="Q2722" s="300"/>
      <c r="R2722" s="300"/>
      <c r="S2722" s="300"/>
      <c r="T2722" s="300"/>
      <c r="U2722" s="300"/>
      <c r="V2722" s="300"/>
      <c r="W2722" s="300"/>
      <c r="X2722" s="300"/>
      <c r="Y2722" s="300"/>
      <c r="Z2722" s="300"/>
    </row>
    <row r="2723" spans="1:26">
      <c r="A2723" s="215" t="s">
        <v>3343</v>
      </c>
      <c r="B2723" s="207">
        <v>112</v>
      </c>
      <c r="C2723" s="215" t="s">
        <v>5350</v>
      </c>
      <c r="D2723" s="215" t="s">
        <v>12358</v>
      </c>
      <c r="E2723" s="215" t="s">
        <v>12359</v>
      </c>
      <c r="F2723" s="215" t="s">
        <v>12354</v>
      </c>
      <c r="G2723" s="215" t="s">
        <v>12355</v>
      </c>
      <c r="H2723" s="215" t="s">
        <v>6504</v>
      </c>
      <c r="I2723" s="300"/>
      <c r="J2723" s="300"/>
      <c r="K2723" s="300"/>
      <c r="L2723" s="300"/>
      <c r="M2723" s="300"/>
      <c r="N2723" s="300"/>
      <c r="O2723" s="300"/>
      <c r="P2723" s="300"/>
      <c r="Q2723" s="300"/>
      <c r="R2723" s="300"/>
      <c r="S2723" s="300"/>
      <c r="T2723" s="300"/>
      <c r="U2723" s="300"/>
      <c r="V2723" s="300"/>
      <c r="W2723" s="300"/>
      <c r="X2723" s="300"/>
      <c r="Y2723" s="300"/>
      <c r="Z2723" s="300"/>
    </row>
    <row r="2724" spans="1:26">
      <c r="A2724" s="215" t="s">
        <v>2807</v>
      </c>
      <c r="B2724" s="207">
        <v>113</v>
      </c>
      <c r="C2724" s="215" t="s">
        <v>4972</v>
      </c>
      <c r="D2724" s="215" t="s">
        <v>12360</v>
      </c>
      <c r="E2724" s="215" t="s">
        <v>12360</v>
      </c>
      <c r="F2724" s="215" t="s">
        <v>12354</v>
      </c>
      <c r="G2724" s="215" t="s">
        <v>12355</v>
      </c>
      <c r="H2724" s="215" t="s">
        <v>6504</v>
      </c>
      <c r="I2724" s="300"/>
      <c r="J2724" s="300"/>
      <c r="K2724" s="300"/>
      <c r="L2724" s="300"/>
      <c r="M2724" s="300"/>
      <c r="N2724" s="300"/>
      <c r="O2724" s="300"/>
      <c r="P2724" s="300"/>
      <c r="Q2724" s="300"/>
      <c r="R2724" s="300"/>
      <c r="S2724" s="300"/>
      <c r="T2724" s="300"/>
      <c r="U2724" s="300"/>
      <c r="V2724" s="300"/>
      <c r="W2724" s="300"/>
      <c r="X2724" s="300"/>
      <c r="Y2724" s="300"/>
      <c r="Z2724" s="300"/>
    </row>
    <row r="2725" spans="1:26">
      <c r="A2725" s="215" t="s">
        <v>2846</v>
      </c>
      <c r="B2725" s="207">
        <v>64</v>
      </c>
      <c r="C2725" s="215" t="s">
        <v>5009</v>
      </c>
      <c r="D2725" s="215" t="s">
        <v>12361</v>
      </c>
      <c r="E2725" s="215" t="s">
        <v>12361</v>
      </c>
      <c r="F2725" s="215" t="s">
        <v>12362</v>
      </c>
      <c r="G2725" s="215" t="s">
        <v>12363</v>
      </c>
      <c r="H2725" s="215" t="s">
        <v>6497</v>
      </c>
      <c r="I2725" s="300"/>
      <c r="J2725" s="300"/>
      <c r="K2725" s="300"/>
      <c r="L2725" s="300"/>
      <c r="M2725" s="300"/>
      <c r="N2725" s="300"/>
      <c r="O2725" s="300"/>
      <c r="P2725" s="300"/>
      <c r="Q2725" s="300"/>
      <c r="R2725" s="300"/>
      <c r="S2725" s="300"/>
      <c r="T2725" s="300"/>
      <c r="U2725" s="300"/>
      <c r="V2725" s="300"/>
      <c r="W2725" s="300"/>
      <c r="X2725" s="300"/>
      <c r="Y2725" s="300"/>
      <c r="Z2725" s="300"/>
    </row>
    <row r="2726" spans="1:26">
      <c r="A2726" s="215" t="s">
        <v>2884</v>
      </c>
      <c r="B2726" s="207">
        <v>1680</v>
      </c>
      <c r="C2726" s="215" t="s">
        <v>4807</v>
      </c>
      <c r="D2726" s="215" t="s">
        <v>8541</v>
      </c>
      <c r="E2726" s="215" t="s">
        <v>8541</v>
      </c>
      <c r="F2726" s="215"/>
      <c r="G2726" s="215"/>
      <c r="H2726" s="215" t="s">
        <v>6500</v>
      </c>
      <c r="I2726" s="300"/>
      <c r="J2726" s="300"/>
      <c r="K2726" s="300"/>
      <c r="L2726" s="300"/>
      <c r="M2726" s="300"/>
      <c r="N2726" s="300"/>
      <c r="O2726" s="300"/>
      <c r="P2726" s="300"/>
      <c r="Q2726" s="300"/>
      <c r="R2726" s="300"/>
      <c r="S2726" s="300"/>
      <c r="T2726" s="300"/>
      <c r="U2726" s="300"/>
      <c r="V2726" s="300"/>
      <c r="W2726" s="300"/>
      <c r="X2726" s="300"/>
      <c r="Y2726" s="300"/>
      <c r="Z2726" s="300"/>
    </row>
  </sheetData>
  <autoFilter ref="A2:Z2726" xr:uid="{00000000-0009-0000-0000-00001B000000}">
    <sortState xmlns:xlrd2="http://schemas.microsoft.com/office/spreadsheetml/2017/richdata2" ref="A2:Z2726">
      <sortCondition ref="G2:G2726"/>
      <sortCondition ref="B2:B2726"/>
      <sortCondition ref="A2:A2726"/>
    </sortState>
  </autoFilter>
  <hyperlinks>
    <hyperlink ref="B1" r:id="rId1" xr:uid="{00000000-0004-0000-1B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563C1"/>
    <outlinePr summaryBelow="0" summaryRight="0"/>
  </sheetPr>
  <dimension ref="A1:AZ8"/>
  <sheetViews>
    <sheetView workbookViewId="0"/>
  </sheetViews>
  <sheetFormatPr baseColWidth="10" defaultColWidth="12.5703125" defaultRowHeight="15.75" customHeight="1"/>
  <sheetData>
    <row r="1" spans="1:52" ht="45" customHeight="1">
      <c r="A1" s="303" t="s">
        <v>12380</v>
      </c>
      <c r="B1" s="209" t="s">
        <v>12381</v>
      </c>
      <c r="C1" s="208" t="s">
        <v>8</v>
      </c>
      <c r="D1" s="304" t="s">
        <v>2192</v>
      </c>
      <c r="E1" s="208" t="s">
        <v>2191</v>
      </c>
      <c r="F1" s="208" t="s">
        <v>5</v>
      </c>
      <c r="G1" s="305" t="s">
        <v>12364</v>
      </c>
      <c r="H1" s="208" t="s">
        <v>10</v>
      </c>
      <c r="I1" s="306" t="s">
        <v>12365</v>
      </c>
      <c r="J1" s="307" t="s">
        <v>12366</v>
      </c>
      <c r="K1" s="208" t="s">
        <v>12367</v>
      </c>
      <c r="L1" s="308" t="s">
        <v>12368</v>
      </c>
      <c r="M1" s="208" t="s">
        <v>3</v>
      </c>
      <c r="N1" s="309" t="s">
        <v>12369</v>
      </c>
      <c r="O1" s="310" t="s">
        <v>12370</v>
      </c>
      <c r="P1" s="311" t="s">
        <v>12</v>
      </c>
      <c r="Q1" s="312" t="s">
        <v>13</v>
      </c>
      <c r="R1" s="312" t="s">
        <v>14</v>
      </c>
      <c r="S1" s="309" t="s">
        <v>15</v>
      </c>
      <c r="T1" s="309" t="s">
        <v>14</v>
      </c>
      <c r="U1" s="310" t="s">
        <v>12371</v>
      </c>
      <c r="V1" s="310" t="s">
        <v>12372</v>
      </c>
      <c r="W1" s="208" t="s">
        <v>12373</v>
      </c>
      <c r="X1" s="313" t="s">
        <v>12374</v>
      </c>
      <c r="Y1" s="313" t="s">
        <v>12375</v>
      </c>
      <c r="Z1" s="313" t="s">
        <v>12376</v>
      </c>
      <c r="AA1" s="208" t="s">
        <v>12377</v>
      </c>
      <c r="AB1" s="313" t="s">
        <v>12378</v>
      </c>
      <c r="AC1" s="313" t="s">
        <v>12379</v>
      </c>
      <c r="AD1" s="314"/>
      <c r="AE1" s="314"/>
      <c r="AF1" s="314"/>
      <c r="AG1" s="314"/>
      <c r="AH1" s="314"/>
      <c r="AI1" s="314"/>
      <c r="AJ1" s="314"/>
      <c r="AK1" s="314"/>
      <c r="AL1" s="314"/>
      <c r="AM1" s="314"/>
      <c r="AN1" s="314"/>
      <c r="AO1" s="314"/>
      <c r="AP1" s="314"/>
      <c r="AQ1" s="314"/>
      <c r="AR1" s="314"/>
      <c r="AS1" s="314"/>
      <c r="AT1" s="314"/>
      <c r="AU1" s="314"/>
      <c r="AV1" s="314"/>
      <c r="AW1" s="314"/>
      <c r="AX1" s="314"/>
      <c r="AY1" s="314"/>
      <c r="AZ1" s="314"/>
    </row>
    <row r="2" spans="1:52" ht="12.75">
      <c r="A2" s="315" t="str">
        <f ca="1">IFERROR(__xludf.DUMMYFUNCTION("FILTER('GC maDMP Master Sheet'!J1:AS476,lookup(row(#REF!),if(len(#REF!),row(#REF!)),#REF!)=""2. Approvals - nested data structure
Describes the approvals associated with the DMP, if applicable."")"),"#N/A")</f>
        <v>#N/A</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row>
    <row r="3" spans="1:52" ht="12.7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row>
    <row r="4" spans="1:52" ht="12.75">
      <c r="A4" s="316"/>
      <c r="B4" s="316"/>
      <c r="C4" s="316"/>
      <c r="D4" s="316"/>
      <c r="E4" s="316"/>
      <c r="F4" s="316"/>
      <c r="G4" s="316"/>
      <c r="H4" s="316"/>
      <c r="I4" s="316"/>
      <c r="J4" s="316"/>
      <c r="K4" s="316"/>
      <c r="L4" s="316"/>
      <c r="M4" s="316"/>
      <c r="N4" s="316"/>
      <c r="O4" s="316"/>
      <c r="P4" s="316"/>
      <c r="Q4" s="316"/>
      <c r="R4" s="316"/>
      <c r="S4" s="316"/>
      <c r="T4" s="316"/>
      <c r="U4" s="316"/>
      <c r="V4" s="316"/>
      <c r="W4" s="316"/>
      <c r="X4" s="316"/>
      <c r="Y4" s="316"/>
      <c r="Z4" s="316"/>
      <c r="AA4" s="316"/>
      <c r="AB4" s="316"/>
      <c r="AC4" s="316"/>
    </row>
    <row r="5" spans="1:52" ht="12.75">
      <c r="A5" s="316"/>
      <c r="B5" s="316"/>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row>
    <row r="6" spans="1:52" ht="12.75">
      <c r="A6" s="316"/>
      <c r="B6" s="316"/>
      <c r="C6" s="316"/>
      <c r="D6" s="316"/>
      <c r="E6" s="316"/>
      <c r="F6" s="316"/>
      <c r="G6" s="316"/>
      <c r="H6" s="316"/>
      <c r="I6" s="316"/>
      <c r="J6" s="316"/>
      <c r="K6" s="316"/>
      <c r="L6" s="316"/>
      <c r="M6" s="316"/>
      <c r="N6" s="316"/>
      <c r="O6" s="316"/>
      <c r="P6" s="316"/>
      <c r="Q6" s="316"/>
      <c r="R6" s="316"/>
      <c r="S6" s="316"/>
      <c r="T6" s="316"/>
      <c r="U6" s="316"/>
      <c r="V6" s="316"/>
      <c r="W6" s="316"/>
      <c r="X6" s="316"/>
      <c r="Y6" s="316"/>
      <c r="Z6" s="316"/>
      <c r="AA6" s="316"/>
      <c r="AB6" s="316"/>
      <c r="AC6" s="316"/>
    </row>
    <row r="7" spans="1:52" ht="12.75">
      <c r="A7" s="316"/>
      <c r="B7" s="316"/>
      <c r="C7" s="316"/>
      <c r="D7" s="316"/>
      <c r="E7" s="316"/>
      <c r="F7" s="316"/>
      <c r="G7" s="316"/>
      <c r="H7" s="316"/>
      <c r="I7" s="316"/>
      <c r="J7" s="316"/>
      <c r="K7" s="316"/>
      <c r="L7" s="316"/>
      <c r="M7" s="316"/>
      <c r="N7" s="316"/>
      <c r="O7" s="316"/>
      <c r="P7" s="316"/>
      <c r="Q7" s="316"/>
      <c r="R7" s="316"/>
      <c r="S7" s="316"/>
      <c r="T7" s="316"/>
      <c r="U7" s="316"/>
      <c r="V7" s="316"/>
      <c r="W7" s="316"/>
      <c r="X7" s="316"/>
      <c r="Y7" s="316"/>
      <c r="Z7" s="316"/>
      <c r="AA7" s="316"/>
      <c r="AB7" s="316"/>
      <c r="AC7" s="316"/>
    </row>
    <row r="8" spans="1:52" ht="12.75">
      <c r="A8" s="317"/>
      <c r="B8" s="317"/>
      <c r="C8" s="317"/>
      <c r="D8" s="317"/>
      <c r="E8" s="317"/>
      <c r="F8" s="317"/>
      <c r="G8" s="317"/>
      <c r="H8" s="317"/>
      <c r="I8" s="317"/>
      <c r="J8" s="317"/>
      <c r="K8" s="317"/>
      <c r="L8" s="317"/>
      <c r="M8" s="317"/>
      <c r="N8" s="317"/>
      <c r="O8" s="317"/>
      <c r="P8" s="317"/>
      <c r="Q8" s="317"/>
      <c r="R8" s="317"/>
      <c r="S8" s="317"/>
      <c r="T8" s="317"/>
      <c r="U8" s="317"/>
      <c r="V8" s="317"/>
      <c r="W8" s="317"/>
      <c r="X8" s="317"/>
      <c r="Y8" s="317"/>
      <c r="Z8" s="317"/>
      <c r="AA8" s="317"/>
      <c r="AB8" s="317"/>
      <c r="AC8" s="317"/>
    </row>
  </sheetData>
  <hyperlinks>
    <hyperlink ref="A1" r:id="rId1" xr:uid="{00000000-0004-0000-1E00-000000000000}"/>
    <hyperlink ref="B1" r:id="rId2" xr:uid="{00000000-0004-0000-1E00-000001000000}"/>
    <hyperlink ref="J1" r:id="rId3" xr:uid="{00000000-0004-0000-1E00-000002000000}"/>
    <hyperlink ref="P1" r:id="rId4" xr:uid="{00000000-0004-0000-1E00-000003000000}"/>
    <hyperlink ref="R1" r:id="rId5" xr:uid="{00000000-0004-0000-1E00-000004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563C1"/>
    <outlinePr summaryBelow="0" summaryRight="0"/>
  </sheetPr>
  <dimension ref="A1:AL46"/>
  <sheetViews>
    <sheetView workbookViewId="0"/>
  </sheetViews>
  <sheetFormatPr baseColWidth="10" defaultColWidth="12.5703125" defaultRowHeight="15.75" customHeight="1"/>
  <sheetData>
    <row r="1" spans="1:38" ht="45" customHeight="1">
      <c r="A1" s="303" t="s">
        <v>12382</v>
      </c>
      <c r="B1" s="209" t="s">
        <v>12383</v>
      </c>
      <c r="C1" s="208" t="s">
        <v>8</v>
      </c>
      <c r="D1" s="304" t="s">
        <v>2192</v>
      </c>
      <c r="E1" s="208" t="s">
        <v>2191</v>
      </c>
      <c r="F1" s="208" t="s">
        <v>5</v>
      </c>
      <c r="G1" s="305" t="s">
        <v>12364</v>
      </c>
      <c r="H1" s="208" t="s">
        <v>10</v>
      </c>
      <c r="I1" s="306" t="s">
        <v>12365</v>
      </c>
      <c r="J1" s="307" t="s">
        <v>12366</v>
      </c>
      <c r="K1" s="208" t="s">
        <v>12367</v>
      </c>
      <c r="L1" s="308" t="s">
        <v>12368</v>
      </c>
      <c r="M1" s="208" t="s">
        <v>3</v>
      </c>
      <c r="N1" s="309" t="s">
        <v>12369</v>
      </c>
      <c r="O1" s="310" t="s">
        <v>12370</v>
      </c>
      <c r="P1" s="311" t="s">
        <v>12</v>
      </c>
      <c r="Q1" s="312" t="s">
        <v>13</v>
      </c>
      <c r="R1" s="312" t="s">
        <v>14</v>
      </c>
      <c r="S1" s="309" t="s">
        <v>15</v>
      </c>
      <c r="T1" s="309" t="s">
        <v>14</v>
      </c>
      <c r="U1" s="310" t="s">
        <v>12371</v>
      </c>
      <c r="V1" s="310" t="s">
        <v>12372</v>
      </c>
      <c r="W1" s="208" t="s">
        <v>12373</v>
      </c>
      <c r="X1" s="313" t="s">
        <v>12374</v>
      </c>
      <c r="Y1" s="313" t="s">
        <v>12375</v>
      </c>
      <c r="Z1" s="313" t="s">
        <v>12376</v>
      </c>
      <c r="AA1" s="208" t="s">
        <v>12377</v>
      </c>
      <c r="AB1" s="313" t="s">
        <v>12378</v>
      </c>
      <c r="AC1" s="313" t="s">
        <v>12379</v>
      </c>
    </row>
    <row r="2" spans="1:38" ht="12.75">
      <c r="A2" s="315" t="str">
        <f ca="1">IFERROR(__xludf.DUMMYFUNCTION("FILTER('GC maDMP Master Sheet'!J1:AS476,lookup(row(#REF!),if(len(#REF!),row(#REF!)),#REF!)=""4. PEOPLE
Contact 
Specifies the party which can provide any information on the DMP. This is not necessarily the DMP creator, and can be a person or an organisati"&amp;"on.
Contributor  - nested data structure
For listing all parties involved in the process of the data management described by this DMP, and those parties involved in the creation and management of the DMP itself."")"),"#N/A")</f>
        <v>#N/A</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row>
    <row r="3" spans="1:38" ht="12.7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row>
    <row r="4" spans="1:38" ht="12.75">
      <c r="A4" s="316"/>
      <c r="B4" s="316"/>
      <c r="C4" s="316"/>
      <c r="D4" s="316"/>
      <c r="E4" s="316"/>
      <c r="F4" s="316"/>
      <c r="G4" s="316"/>
      <c r="H4" s="316"/>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row>
    <row r="5" spans="1:38" ht="12.75">
      <c r="A5" s="316"/>
      <c r="B5" s="316"/>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row>
    <row r="6" spans="1:38" ht="12.75">
      <c r="A6" s="316"/>
      <c r="B6" s="316"/>
      <c r="C6" s="316"/>
      <c r="D6" s="316"/>
      <c r="E6" s="316"/>
      <c r="F6" s="316"/>
      <c r="G6" s="316"/>
      <c r="H6" s="316"/>
      <c r="I6" s="316"/>
      <c r="J6" s="316"/>
      <c r="K6" s="316"/>
      <c r="L6" s="316"/>
      <c r="M6" s="316"/>
      <c r="N6" s="316"/>
      <c r="O6" s="316"/>
      <c r="P6" s="316"/>
      <c r="Q6" s="316"/>
      <c r="R6" s="316"/>
      <c r="S6" s="316"/>
      <c r="T6" s="316"/>
      <c r="U6" s="316"/>
      <c r="V6" s="316"/>
      <c r="W6" s="316"/>
      <c r="X6" s="316"/>
      <c r="Y6" s="316"/>
      <c r="Z6" s="316"/>
      <c r="AA6" s="316"/>
      <c r="AB6" s="316"/>
      <c r="AC6" s="316"/>
      <c r="AD6" s="316"/>
      <c r="AE6" s="316"/>
      <c r="AF6" s="316"/>
      <c r="AG6" s="316"/>
      <c r="AH6" s="316"/>
      <c r="AI6" s="316"/>
      <c r="AJ6" s="316"/>
      <c r="AK6" s="316"/>
      <c r="AL6" s="316"/>
    </row>
    <row r="7" spans="1:38" ht="12.75">
      <c r="A7" s="316"/>
      <c r="B7" s="316"/>
      <c r="C7" s="316"/>
      <c r="D7" s="316"/>
      <c r="E7" s="316"/>
      <c r="F7" s="316"/>
      <c r="G7" s="316"/>
      <c r="H7" s="316"/>
      <c r="I7" s="316"/>
      <c r="J7" s="316"/>
      <c r="K7" s="316"/>
      <c r="L7" s="316"/>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row>
    <row r="8" spans="1:38" ht="12.75">
      <c r="A8" s="316"/>
      <c r="B8" s="316"/>
      <c r="C8" s="316"/>
      <c r="D8" s="316"/>
      <c r="E8" s="316"/>
      <c r="F8" s="316"/>
      <c r="G8" s="316"/>
      <c r="H8" s="316"/>
      <c r="I8" s="316"/>
      <c r="J8" s="316"/>
      <c r="K8" s="316"/>
      <c r="L8" s="316"/>
      <c r="M8" s="316"/>
      <c r="N8" s="316"/>
      <c r="O8" s="316"/>
      <c r="P8" s="316"/>
      <c r="Q8" s="316"/>
      <c r="R8" s="316"/>
      <c r="S8" s="316"/>
      <c r="T8" s="316"/>
      <c r="U8" s="316"/>
      <c r="V8" s="316"/>
      <c r="W8" s="316"/>
      <c r="X8" s="316"/>
      <c r="Y8" s="316"/>
      <c r="Z8" s="316"/>
      <c r="AA8" s="316"/>
      <c r="AB8" s="316"/>
      <c r="AC8" s="316"/>
      <c r="AD8" s="316"/>
      <c r="AE8" s="316"/>
      <c r="AF8" s="316"/>
      <c r="AG8" s="316"/>
      <c r="AH8" s="316"/>
      <c r="AI8" s="316"/>
      <c r="AJ8" s="316"/>
      <c r="AK8" s="316"/>
      <c r="AL8" s="316"/>
    </row>
    <row r="9" spans="1:38" ht="12.75">
      <c r="A9" s="316"/>
      <c r="B9" s="316"/>
      <c r="C9" s="316"/>
      <c r="D9" s="316"/>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row>
    <row r="10" spans="1:38" ht="12.75">
      <c r="A10" s="316"/>
      <c r="B10" s="316"/>
      <c r="C10" s="316"/>
      <c r="D10" s="316"/>
      <c r="E10" s="316"/>
      <c r="F10" s="316"/>
      <c r="G10" s="316"/>
      <c r="H10" s="316"/>
      <c r="I10" s="316"/>
      <c r="J10" s="316"/>
      <c r="K10" s="316"/>
      <c r="L10" s="316"/>
      <c r="M10" s="316"/>
      <c r="N10" s="316"/>
      <c r="O10" s="316"/>
      <c r="P10" s="316"/>
      <c r="Q10" s="316"/>
      <c r="R10" s="316"/>
      <c r="S10" s="316"/>
      <c r="T10" s="316"/>
      <c r="U10" s="316"/>
      <c r="V10" s="316"/>
      <c r="W10" s="316"/>
      <c r="X10" s="316"/>
      <c r="Y10" s="316"/>
      <c r="Z10" s="316"/>
      <c r="AA10" s="316"/>
      <c r="AB10" s="316"/>
      <c r="AC10" s="316"/>
      <c r="AD10" s="316"/>
      <c r="AE10" s="316"/>
      <c r="AF10" s="316"/>
      <c r="AG10" s="316"/>
      <c r="AH10" s="316"/>
      <c r="AI10" s="316"/>
      <c r="AJ10" s="316"/>
      <c r="AK10" s="316"/>
      <c r="AL10" s="316"/>
    </row>
    <row r="11" spans="1:38" ht="12.75">
      <c r="A11" s="316"/>
      <c r="B11" s="316"/>
      <c r="C11" s="316"/>
      <c r="D11" s="316"/>
      <c r="E11" s="316"/>
      <c r="F11" s="316"/>
      <c r="G11" s="316"/>
      <c r="H11" s="316"/>
      <c r="I11" s="316"/>
      <c r="J11" s="316"/>
      <c r="K11" s="316"/>
      <c r="L11" s="316"/>
      <c r="M11" s="316"/>
      <c r="N11" s="316"/>
      <c r="O11" s="316"/>
      <c r="P11" s="316"/>
      <c r="Q11" s="316"/>
      <c r="R11" s="316"/>
      <c r="S11" s="316"/>
      <c r="T11" s="316"/>
      <c r="U11" s="316"/>
      <c r="V11" s="316"/>
      <c r="W11" s="316"/>
      <c r="X11" s="316"/>
      <c r="Y11" s="316"/>
      <c r="Z11" s="316"/>
      <c r="AA11" s="316"/>
      <c r="AB11" s="316"/>
      <c r="AC11" s="316"/>
      <c r="AD11" s="316"/>
      <c r="AE11" s="316"/>
      <c r="AF11" s="316"/>
      <c r="AG11" s="316"/>
      <c r="AH11" s="316"/>
      <c r="AI11" s="316"/>
      <c r="AJ11" s="316"/>
      <c r="AK11" s="316"/>
      <c r="AL11" s="316"/>
    </row>
    <row r="12" spans="1:38" ht="12.75">
      <c r="A12" s="316"/>
      <c r="B12" s="316"/>
      <c r="C12" s="316"/>
      <c r="D12" s="316"/>
      <c r="E12" s="316"/>
      <c r="F12" s="316"/>
      <c r="G12" s="316"/>
      <c r="H12" s="316"/>
      <c r="I12" s="316"/>
      <c r="J12" s="316"/>
      <c r="K12" s="316"/>
      <c r="L12" s="316"/>
      <c r="M12" s="316"/>
      <c r="N12" s="316"/>
      <c r="O12" s="316"/>
      <c r="P12" s="316"/>
      <c r="Q12" s="316"/>
      <c r="R12" s="316"/>
      <c r="S12" s="316"/>
      <c r="T12" s="316"/>
      <c r="U12" s="316"/>
      <c r="V12" s="316"/>
      <c r="W12" s="316"/>
      <c r="X12" s="316"/>
      <c r="Y12" s="316"/>
      <c r="Z12" s="316"/>
      <c r="AA12" s="316"/>
      <c r="AB12" s="316"/>
      <c r="AC12" s="316"/>
      <c r="AD12" s="316"/>
      <c r="AE12" s="316"/>
      <c r="AF12" s="316"/>
      <c r="AG12" s="316"/>
      <c r="AH12" s="316"/>
      <c r="AI12" s="316"/>
      <c r="AJ12" s="316"/>
      <c r="AK12" s="316"/>
      <c r="AL12" s="316"/>
    </row>
    <row r="13" spans="1:38" ht="12.75">
      <c r="A13" s="316"/>
      <c r="B13" s="316"/>
      <c r="C13" s="316"/>
      <c r="D13" s="316"/>
      <c r="E13" s="316"/>
      <c r="F13" s="316"/>
      <c r="G13" s="316"/>
      <c r="H13" s="316"/>
      <c r="I13" s="316"/>
      <c r="J13" s="316"/>
      <c r="K13" s="316"/>
      <c r="L13" s="316"/>
      <c r="M13" s="316"/>
      <c r="N13" s="316"/>
      <c r="O13" s="316"/>
      <c r="P13" s="316"/>
      <c r="Q13" s="316"/>
      <c r="R13" s="316"/>
      <c r="S13" s="316"/>
      <c r="T13" s="316"/>
      <c r="U13" s="316"/>
      <c r="V13" s="316"/>
      <c r="W13" s="316"/>
      <c r="X13" s="316"/>
      <c r="Y13" s="316"/>
      <c r="Z13" s="316"/>
      <c r="AA13" s="316"/>
      <c r="AB13" s="316"/>
      <c r="AC13" s="316"/>
      <c r="AD13" s="316"/>
      <c r="AE13" s="316"/>
      <c r="AF13" s="316"/>
      <c r="AG13" s="316"/>
      <c r="AH13" s="316"/>
      <c r="AI13" s="316"/>
      <c r="AJ13" s="316"/>
      <c r="AK13" s="316"/>
      <c r="AL13" s="316"/>
    </row>
    <row r="14" spans="1:38" ht="12.75">
      <c r="A14" s="316"/>
      <c r="B14" s="316"/>
      <c r="C14" s="316"/>
      <c r="D14" s="316"/>
      <c r="E14" s="316"/>
      <c r="F14" s="316"/>
      <c r="G14" s="316"/>
      <c r="H14" s="316"/>
      <c r="I14" s="316"/>
      <c r="J14" s="316"/>
      <c r="K14" s="316"/>
      <c r="L14" s="316"/>
      <c r="M14" s="316"/>
      <c r="N14" s="316"/>
      <c r="O14" s="316"/>
      <c r="P14" s="316"/>
      <c r="Q14" s="316"/>
      <c r="R14" s="316"/>
      <c r="S14" s="316"/>
      <c r="T14" s="316"/>
      <c r="U14" s="316"/>
      <c r="V14" s="316"/>
      <c r="W14" s="316"/>
      <c r="X14" s="316"/>
      <c r="Y14" s="316"/>
      <c r="Z14" s="316"/>
      <c r="AA14" s="316"/>
      <c r="AB14" s="316"/>
      <c r="AC14" s="316"/>
      <c r="AD14" s="316"/>
      <c r="AE14" s="316"/>
      <c r="AF14" s="316"/>
      <c r="AG14" s="316"/>
      <c r="AH14" s="316"/>
      <c r="AI14" s="316"/>
      <c r="AJ14" s="316"/>
      <c r="AK14" s="316"/>
      <c r="AL14" s="316"/>
    </row>
    <row r="15" spans="1:38" ht="12.75">
      <c r="A15" s="316"/>
      <c r="B15" s="316"/>
      <c r="C15" s="316"/>
      <c r="D15" s="316"/>
      <c r="E15" s="316"/>
      <c r="F15" s="316"/>
      <c r="G15" s="316"/>
      <c r="H15" s="316"/>
      <c r="I15" s="316"/>
      <c r="J15" s="316"/>
      <c r="K15" s="316"/>
      <c r="L15" s="316"/>
      <c r="M15" s="316"/>
      <c r="N15" s="316"/>
      <c r="O15" s="316"/>
      <c r="P15" s="316"/>
      <c r="Q15" s="316"/>
      <c r="R15" s="316"/>
      <c r="S15" s="316"/>
      <c r="T15" s="316"/>
      <c r="U15" s="316"/>
      <c r="V15" s="316"/>
      <c r="W15" s="316"/>
      <c r="X15" s="316"/>
      <c r="Y15" s="316"/>
      <c r="Z15" s="316"/>
      <c r="AA15" s="316"/>
      <c r="AB15" s="316"/>
      <c r="AC15" s="316"/>
      <c r="AD15" s="316"/>
      <c r="AE15" s="316"/>
      <c r="AF15" s="316"/>
      <c r="AG15" s="316"/>
      <c r="AH15" s="316"/>
      <c r="AI15" s="316"/>
      <c r="AJ15" s="316"/>
      <c r="AK15" s="316"/>
      <c r="AL15" s="316"/>
    </row>
    <row r="16" spans="1:38" ht="12.75">
      <c r="A16" s="316"/>
      <c r="B16" s="316"/>
      <c r="C16" s="316"/>
      <c r="D16" s="316"/>
      <c r="E16" s="316"/>
      <c r="F16" s="316"/>
      <c r="G16" s="316"/>
      <c r="H16" s="316"/>
      <c r="I16" s="316"/>
      <c r="J16" s="316"/>
      <c r="K16" s="316"/>
      <c r="L16" s="316"/>
      <c r="M16" s="316"/>
      <c r="N16" s="316"/>
      <c r="O16" s="316"/>
      <c r="P16" s="316"/>
      <c r="Q16" s="316"/>
      <c r="R16" s="316"/>
      <c r="S16" s="316"/>
      <c r="T16" s="316"/>
      <c r="U16" s="316"/>
      <c r="V16" s="316"/>
      <c r="W16" s="316"/>
      <c r="X16" s="316"/>
      <c r="Y16" s="316"/>
      <c r="Z16" s="316"/>
      <c r="AA16" s="316"/>
      <c r="AB16" s="316"/>
      <c r="AC16" s="316"/>
      <c r="AD16" s="316"/>
      <c r="AE16" s="316"/>
      <c r="AF16" s="316"/>
      <c r="AG16" s="316"/>
      <c r="AH16" s="316"/>
      <c r="AI16" s="316"/>
      <c r="AJ16" s="316"/>
      <c r="AK16" s="316"/>
      <c r="AL16" s="316"/>
    </row>
    <row r="17" spans="1:38" ht="12.75">
      <c r="A17" s="316"/>
      <c r="B17" s="316"/>
      <c r="C17" s="316"/>
      <c r="D17" s="316"/>
      <c r="E17" s="316"/>
      <c r="F17" s="316"/>
      <c r="G17" s="316"/>
      <c r="H17" s="316"/>
      <c r="I17" s="316"/>
      <c r="J17" s="316"/>
      <c r="K17" s="316"/>
      <c r="L17" s="316"/>
      <c r="M17" s="316"/>
      <c r="N17" s="316"/>
      <c r="O17" s="316"/>
      <c r="P17" s="316"/>
      <c r="Q17" s="316"/>
      <c r="R17" s="316"/>
      <c r="S17" s="316"/>
      <c r="T17" s="316"/>
      <c r="U17" s="316"/>
      <c r="V17" s="316"/>
      <c r="W17" s="316"/>
      <c r="X17" s="316"/>
      <c r="Y17" s="316"/>
      <c r="Z17" s="316"/>
      <c r="AA17" s="316"/>
      <c r="AB17" s="316"/>
      <c r="AC17" s="316"/>
      <c r="AD17" s="316"/>
      <c r="AE17" s="316"/>
      <c r="AF17" s="316"/>
      <c r="AG17" s="316"/>
      <c r="AH17" s="316"/>
      <c r="AI17" s="316"/>
      <c r="AJ17" s="316"/>
      <c r="AK17" s="316"/>
      <c r="AL17" s="316"/>
    </row>
    <row r="18" spans="1:38" ht="12.75">
      <c r="A18" s="316"/>
      <c r="B18" s="316"/>
      <c r="C18" s="316"/>
      <c r="D18" s="316"/>
      <c r="E18" s="316"/>
      <c r="F18" s="316"/>
      <c r="G18" s="316"/>
      <c r="H18" s="316"/>
      <c r="I18" s="316"/>
      <c r="J18" s="316"/>
      <c r="K18" s="316"/>
      <c r="L18" s="316"/>
      <c r="M18" s="316"/>
      <c r="N18" s="316"/>
      <c r="O18" s="316"/>
      <c r="P18" s="316"/>
      <c r="Q18" s="316"/>
      <c r="R18" s="316"/>
      <c r="S18" s="316"/>
      <c r="T18" s="316"/>
      <c r="U18" s="316"/>
      <c r="V18" s="316"/>
      <c r="W18" s="316"/>
      <c r="X18" s="316"/>
      <c r="Y18" s="316"/>
      <c r="Z18" s="316"/>
      <c r="AA18" s="316"/>
      <c r="AB18" s="316"/>
      <c r="AC18" s="316"/>
      <c r="AD18" s="316"/>
      <c r="AE18" s="316"/>
      <c r="AF18" s="316"/>
      <c r="AG18" s="316"/>
      <c r="AH18" s="316"/>
      <c r="AI18" s="316"/>
      <c r="AJ18" s="316"/>
      <c r="AK18" s="316"/>
      <c r="AL18" s="316"/>
    </row>
    <row r="19" spans="1:38" ht="12.75">
      <c r="A19" s="316"/>
      <c r="B19" s="316"/>
      <c r="C19" s="316"/>
      <c r="D19" s="316"/>
      <c r="E19" s="316"/>
      <c r="F19" s="316"/>
      <c r="G19" s="316"/>
      <c r="H19" s="316"/>
      <c r="I19" s="316"/>
      <c r="J19" s="316"/>
      <c r="K19" s="316"/>
      <c r="L19" s="316"/>
      <c r="M19" s="316"/>
      <c r="N19" s="316"/>
      <c r="O19" s="316"/>
      <c r="P19" s="316"/>
      <c r="Q19" s="316"/>
      <c r="R19" s="316"/>
      <c r="S19" s="316"/>
      <c r="T19" s="316"/>
      <c r="U19" s="316"/>
      <c r="V19" s="316"/>
      <c r="W19" s="316"/>
      <c r="X19" s="316"/>
      <c r="Y19" s="316"/>
      <c r="Z19" s="316"/>
      <c r="AA19" s="316"/>
      <c r="AB19" s="316"/>
      <c r="AC19" s="316"/>
      <c r="AD19" s="316"/>
      <c r="AE19" s="316"/>
      <c r="AF19" s="316"/>
      <c r="AG19" s="316"/>
      <c r="AH19" s="316"/>
      <c r="AI19" s="316"/>
      <c r="AJ19" s="316"/>
      <c r="AK19" s="316"/>
      <c r="AL19" s="316"/>
    </row>
    <row r="20" spans="1:38" ht="12.75">
      <c r="A20" s="316"/>
      <c r="B20" s="316"/>
      <c r="C20" s="316"/>
      <c r="D20" s="316"/>
      <c r="E20" s="316"/>
      <c r="F20" s="316"/>
      <c r="G20" s="316"/>
      <c r="H20" s="316"/>
      <c r="I20" s="316"/>
      <c r="J20" s="316"/>
      <c r="K20" s="316"/>
      <c r="L20" s="316"/>
      <c r="M20" s="316"/>
      <c r="N20" s="316"/>
      <c r="O20" s="316"/>
      <c r="P20" s="316"/>
      <c r="Q20" s="316"/>
      <c r="R20" s="316"/>
      <c r="S20" s="316"/>
      <c r="T20" s="316"/>
      <c r="U20" s="316"/>
      <c r="V20" s="316"/>
      <c r="W20" s="316"/>
      <c r="X20" s="316"/>
      <c r="Y20" s="316"/>
      <c r="Z20" s="316"/>
      <c r="AA20" s="316"/>
      <c r="AB20" s="316"/>
      <c r="AC20" s="316"/>
      <c r="AD20" s="316"/>
      <c r="AE20" s="316"/>
      <c r="AF20" s="316"/>
      <c r="AG20" s="316"/>
      <c r="AH20" s="316"/>
      <c r="AI20" s="316"/>
      <c r="AJ20" s="316"/>
      <c r="AK20" s="316"/>
      <c r="AL20" s="316"/>
    </row>
    <row r="21" spans="1:38" ht="12.75">
      <c r="A21" s="316"/>
      <c r="B21" s="316"/>
      <c r="C21" s="316"/>
      <c r="D21" s="316"/>
      <c r="E21" s="316"/>
      <c r="F21" s="316"/>
      <c r="G21" s="316"/>
      <c r="H21" s="316"/>
      <c r="I21" s="316"/>
      <c r="J21" s="316"/>
      <c r="K21" s="316"/>
      <c r="L21" s="316"/>
      <c r="M21" s="316"/>
      <c r="N21" s="316"/>
      <c r="O21" s="316"/>
      <c r="P21" s="316"/>
      <c r="Q21" s="316"/>
      <c r="R21" s="316"/>
      <c r="S21" s="316"/>
      <c r="T21" s="316"/>
      <c r="U21" s="316"/>
      <c r="V21" s="316"/>
      <c r="W21" s="316"/>
      <c r="X21" s="316"/>
      <c r="Y21" s="316"/>
      <c r="Z21" s="316"/>
      <c r="AA21" s="316"/>
      <c r="AB21" s="316"/>
      <c r="AC21" s="316"/>
      <c r="AD21" s="316"/>
      <c r="AE21" s="316"/>
      <c r="AF21" s="316"/>
      <c r="AG21" s="316"/>
      <c r="AH21" s="316"/>
      <c r="AI21" s="316"/>
      <c r="AJ21" s="316"/>
      <c r="AK21" s="316"/>
      <c r="AL21" s="316"/>
    </row>
    <row r="22" spans="1:38" ht="12.75">
      <c r="A22" s="316"/>
      <c r="B22" s="316"/>
      <c r="C22" s="316"/>
      <c r="D22" s="316"/>
      <c r="E22" s="316"/>
      <c r="F22" s="316"/>
      <c r="G22" s="316"/>
      <c r="H22" s="316"/>
      <c r="I22" s="316"/>
      <c r="J22" s="316"/>
      <c r="K22" s="316"/>
      <c r="L22" s="316"/>
      <c r="M22" s="316"/>
      <c r="N22" s="316"/>
      <c r="O22" s="316"/>
      <c r="P22" s="316"/>
      <c r="Q22" s="316"/>
      <c r="R22" s="316"/>
      <c r="S22" s="316"/>
      <c r="T22" s="316"/>
      <c r="U22" s="316"/>
      <c r="V22" s="316"/>
      <c r="W22" s="316"/>
      <c r="X22" s="316"/>
      <c r="Y22" s="316"/>
      <c r="Z22" s="316"/>
      <c r="AA22" s="316"/>
      <c r="AB22" s="316"/>
      <c r="AC22" s="316"/>
      <c r="AD22" s="316"/>
      <c r="AE22" s="316"/>
      <c r="AF22" s="316"/>
      <c r="AG22" s="316"/>
      <c r="AH22" s="316"/>
      <c r="AI22" s="316"/>
      <c r="AJ22" s="316"/>
      <c r="AK22" s="316"/>
      <c r="AL22" s="316"/>
    </row>
    <row r="23" spans="1:38" ht="12.75">
      <c r="A23" s="316"/>
      <c r="B23" s="316"/>
      <c r="C23" s="316"/>
      <c r="D23" s="316"/>
      <c r="E23" s="316"/>
      <c r="F23" s="316"/>
      <c r="G23" s="316"/>
      <c r="H23" s="316"/>
      <c r="I23" s="316"/>
      <c r="J23" s="316"/>
      <c r="K23" s="316"/>
      <c r="L23" s="316"/>
      <c r="M23" s="316"/>
      <c r="N23" s="316"/>
      <c r="O23" s="316"/>
      <c r="P23" s="316"/>
      <c r="Q23" s="316"/>
      <c r="R23" s="316"/>
      <c r="S23" s="316"/>
      <c r="T23" s="316"/>
      <c r="U23" s="316"/>
      <c r="V23" s="316"/>
      <c r="W23" s="316"/>
      <c r="X23" s="316"/>
      <c r="Y23" s="316"/>
      <c r="Z23" s="316"/>
      <c r="AA23" s="316"/>
      <c r="AB23" s="316"/>
      <c r="AC23" s="316"/>
      <c r="AD23" s="316"/>
      <c r="AE23" s="316"/>
      <c r="AF23" s="316"/>
      <c r="AG23" s="316"/>
      <c r="AH23" s="316"/>
      <c r="AI23" s="316"/>
      <c r="AJ23" s="316"/>
      <c r="AK23" s="316"/>
      <c r="AL23" s="316"/>
    </row>
    <row r="24" spans="1:38" ht="12.75">
      <c r="A24" s="316"/>
      <c r="B24" s="316"/>
      <c r="C24" s="316"/>
      <c r="D24" s="316"/>
      <c r="E24" s="316"/>
      <c r="F24" s="316"/>
      <c r="G24" s="316"/>
      <c r="H24" s="316"/>
      <c r="I24" s="316"/>
      <c r="J24" s="316"/>
      <c r="K24" s="316"/>
      <c r="L24" s="316"/>
      <c r="M24" s="316"/>
      <c r="N24" s="316"/>
      <c r="O24" s="316"/>
      <c r="P24" s="316"/>
      <c r="Q24" s="316"/>
      <c r="R24" s="316"/>
      <c r="S24" s="316"/>
      <c r="T24" s="316"/>
      <c r="U24" s="316"/>
      <c r="V24" s="316"/>
      <c r="W24" s="316"/>
      <c r="X24" s="316"/>
      <c r="Y24" s="316"/>
      <c r="Z24" s="316"/>
      <c r="AA24" s="316"/>
      <c r="AB24" s="316"/>
      <c r="AC24" s="316"/>
      <c r="AD24" s="316"/>
      <c r="AE24" s="316"/>
      <c r="AF24" s="316"/>
      <c r="AG24" s="316"/>
      <c r="AH24" s="316"/>
      <c r="AI24" s="316"/>
      <c r="AJ24" s="316"/>
      <c r="AK24" s="316"/>
      <c r="AL24" s="316"/>
    </row>
    <row r="25" spans="1:38" ht="12.75">
      <c r="A25" s="316"/>
      <c r="B25" s="316"/>
      <c r="C25" s="316"/>
      <c r="D25" s="316"/>
      <c r="E25" s="316"/>
      <c r="F25" s="316"/>
      <c r="G25" s="316"/>
      <c r="H25" s="316"/>
      <c r="I25" s="316"/>
      <c r="J25" s="316"/>
      <c r="K25" s="316"/>
      <c r="L25" s="316"/>
      <c r="M25" s="316"/>
      <c r="N25" s="316"/>
      <c r="O25" s="316"/>
      <c r="P25" s="316"/>
      <c r="Q25" s="316"/>
      <c r="R25" s="316"/>
      <c r="S25" s="316"/>
      <c r="T25" s="316"/>
      <c r="U25" s="316"/>
      <c r="V25" s="316"/>
      <c r="W25" s="316"/>
      <c r="X25" s="316"/>
      <c r="Y25" s="316"/>
      <c r="Z25" s="316"/>
      <c r="AA25" s="316"/>
      <c r="AB25" s="316"/>
      <c r="AC25" s="316"/>
      <c r="AD25" s="316"/>
      <c r="AE25" s="316"/>
      <c r="AF25" s="316"/>
      <c r="AG25" s="316"/>
      <c r="AH25" s="316"/>
      <c r="AI25" s="316"/>
      <c r="AJ25" s="316"/>
      <c r="AK25" s="316"/>
      <c r="AL25" s="316"/>
    </row>
    <row r="26" spans="1:38" ht="12.75">
      <c r="A26" s="316"/>
      <c r="B26" s="316"/>
      <c r="C26" s="316"/>
      <c r="D26" s="316"/>
      <c r="E26" s="316"/>
      <c r="F26" s="316"/>
      <c r="G26" s="316"/>
      <c r="H26" s="316"/>
      <c r="I26" s="316"/>
      <c r="J26" s="316"/>
      <c r="K26" s="316"/>
      <c r="L26" s="316"/>
      <c r="M26" s="316"/>
      <c r="N26" s="316"/>
      <c r="O26" s="316"/>
      <c r="P26" s="316"/>
      <c r="Q26" s="316"/>
      <c r="R26" s="316"/>
      <c r="S26" s="316"/>
      <c r="T26" s="316"/>
      <c r="U26" s="316"/>
      <c r="V26" s="316"/>
      <c r="W26" s="316"/>
      <c r="X26" s="316"/>
      <c r="Y26" s="316"/>
      <c r="Z26" s="316"/>
      <c r="AA26" s="316"/>
      <c r="AB26" s="316"/>
      <c r="AC26" s="316"/>
      <c r="AD26" s="316"/>
      <c r="AE26" s="316"/>
      <c r="AF26" s="316"/>
      <c r="AG26" s="316"/>
      <c r="AH26" s="316"/>
      <c r="AI26" s="316"/>
      <c r="AJ26" s="316"/>
      <c r="AK26" s="316"/>
      <c r="AL26" s="316"/>
    </row>
    <row r="27" spans="1:38" ht="12.75">
      <c r="A27" s="316"/>
      <c r="B27" s="316"/>
      <c r="C27" s="316"/>
      <c r="D27" s="316"/>
      <c r="E27" s="316"/>
      <c r="F27" s="316"/>
      <c r="G27" s="316"/>
      <c r="H27" s="316"/>
      <c r="I27" s="316"/>
      <c r="J27" s="316"/>
      <c r="K27" s="316"/>
      <c r="L27" s="316"/>
      <c r="M27" s="316"/>
      <c r="N27" s="316"/>
      <c r="O27" s="316"/>
      <c r="P27" s="316"/>
      <c r="Q27" s="316"/>
      <c r="R27" s="316"/>
      <c r="S27" s="316"/>
      <c r="T27" s="316"/>
      <c r="U27" s="316"/>
      <c r="V27" s="316"/>
      <c r="W27" s="316"/>
      <c r="X27" s="316"/>
      <c r="Y27" s="316"/>
      <c r="Z27" s="316"/>
      <c r="AA27" s="316"/>
      <c r="AB27" s="316"/>
      <c r="AC27" s="316"/>
      <c r="AD27" s="316"/>
      <c r="AE27" s="316"/>
      <c r="AF27" s="316"/>
      <c r="AG27" s="316"/>
      <c r="AH27" s="316"/>
      <c r="AI27" s="316"/>
      <c r="AJ27" s="316"/>
      <c r="AK27" s="316"/>
      <c r="AL27" s="316"/>
    </row>
    <row r="28" spans="1:38" ht="12.75">
      <c r="A28" s="316"/>
      <c r="B28" s="316"/>
      <c r="C28" s="316"/>
      <c r="D28" s="316"/>
      <c r="E28" s="316"/>
      <c r="F28" s="316"/>
      <c r="G28" s="316"/>
      <c r="H28" s="316"/>
      <c r="I28" s="316"/>
      <c r="J28" s="316"/>
      <c r="K28" s="316"/>
      <c r="L28" s="316"/>
      <c r="M28" s="316"/>
      <c r="N28" s="316"/>
      <c r="O28" s="316"/>
      <c r="P28" s="316"/>
      <c r="Q28" s="316"/>
      <c r="R28" s="316"/>
      <c r="S28" s="316"/>
      <c r="T28" s="316"/>
      <c r="U28" s="316"/>
      <c r="V28" s="316"/>
      <c r="W28" s="316"/>
      <c r="X28" s="316"/>
      <c r="Y28" s="316"/>
      <c r="Z28" s="316"/>
      <c r="AA28" s="316"/>
      <c r="AB28" s="316"/>
      <c r="AC28" s="316"/>
      <c r="AD28" s="316"/>
      <c r="AE28" s="316"/>
      <c r="AF28" s="316"/>
      <c r="AG28" s="316"/>
      <c r="AH28" s="316"/>
      <c r="AI28" s="316"/>
      <c r="AJ28" s="316"/>
      <c r="AK28" s="316"/>
      <c r="AL28" s="316"/>
    </row>
    <row r="29" spans="1:38" ht="12.75">
      <c r="A29" s="316"/>
      <c r="B29" s="316"/>
      <c r="C29" s="316"/>
      <c r="D29" s="316"/>
      <c r="E29" s="316"/>
      <c r="F29" s="316"/>
      <c r="G29" s="316"/>
      <c r="H29" s="316"/>
      <c r="I29" s="316"/>
      <c r="J29" s="316"/>
      <c r="K29" s="316"/>
      <c r="L29" s="316"/>
      <c r="M29" s="316"/>
      <c r="N29" s="316"/>
      <c r="O29" s="316"/>
      <c r="P29" s="316"/>
      <c r="Q29" s="316"/>
      <c r="R29" s="316"/>
      <c r="S29" s="316"/>
      <c r="T29" s="316"/>
      <c r="U29" s="316"/>
      <c r="V29" s="316"/>
      <c r="W29" s="316"/>
      <c r="X29" s="316"/>
      <c r="Y29" s="316"/>
      <c r="Z29" s="316"/>
      <c r="AA29" s="316"/>
      <c r="AB29" s="316"/>
      <c r="AC29" s="316"/>
      <c r="AD29" s="316"/>
      <c r="AE29" s="316"/>
      <c r="AF29" s="316"/>
      <c r="AG29" s="316"/>
      <c r="AH29" s="316"/>
      <c r="AI29" s="316"/>
      <c r="AJ29" s="316"/>
      <c r="AK29" s="316"/>
      <c r="AL29" s="316"/>
    </row>
    <row r="30" spans="1:38" ht="12.75">
      <c r="A30" s="316"/>
      <c r="B30" s="316"/>
      <c r="C30" s="316"/>
      <c r="D30" s="316"/>
      <c r="E30" s="316"/>
      <c r="F30" s="316"/>
      <c r="G30" s="316"/>
      <c r="H30" s="316"/>
      <c r="I30" s="316"/>
      <c r="J30" s="316"/>
      <c r="K30" s="316"/>
      <c r="L30" s="316"/>
      <c r="M30" s="316"/>
      <c r="N30" s="316"/>
      <c r="O30" s="316"/>
      <c r="P30" s="316"/>
      <c r="Q30" s="316"/>
      <c r="R30" s="316"/>
      <c r="S30" s="316"/>
      <c r="T30" s="316"/>
      <c r="U30" s="316"/>
      <c r="V30" s="316"/>
      <c r="W30" s="316"/>
      <c r="X30" s="316"/>
      <c r="Y30" s="316"/>
      <c r="Z30" s="316"/>
      <c r="AA30" s="316"/>
      <c r="AB30" s="316"/>
      <c r="AC30" s="316"/>
      <c r="AD30" s="316"/>
      <c r="AE30" s="316"/>
      <c r="AF30" s="316"/>
      <c r="AG30" s="316"/>
      <c r="AH30" s="316"/>
      <c r="AI30" s="316"/>
      <c r="AJ30" s="316"/>
      <c r="AK30" s="316"/>
      <c r="AL30" s="316"/>
    </row>
    <row r="31" spans="1:38" ht="12.75">
      <c r="A31" s="316"/>
      <c r="B31" s="316"/>
      <c r="C31" s="316"/>
      <c r="D31" s="316"/>
      <c r="E31" s="316"/>
      <c r="F31" s="316"/>
      <c r="G31" s="316"/>
      <c r="H31" s="316"/>
      <c r="I31" s="316"/>
      <c r="J31" s="316"/>
      <c r="K31" s="316"/>
      <c r="L31" s="316"/>
      <c r="M31" s="316"/>
      <c r="N31" s="316"/>
      <c r="O31" s="316"/>
      <c r="P31" s="316"/>
      <c r="Q31" s="316"/>
      <c r="R31" s="316"/>
      <c r="S31" s="316"/>
      <c r="T31" s="316"/>
      <c r="U31" s="316"/>
      <c r="V31" s="316"/>
      <c r="W31" s="316"/>
      <c r="X31" s="316"/>
      <c r="Y31" s="316"/>
      <c r="Z31" s="316"/>
      <c r="AA31" s="316"/>
      <c r="AB31" s="316"/>
      <c r="AC31" s="316"/>
      <c r="AD31" s="316"/>
      <c r="AE31" s="316"/>
      <c r="AF31" s="316"/>
      <c r="AG31" s="316"/>
      <c r="AH31" s="316"/>
      <c r="AI31" s="316"/>
      <c r="AJ31" s="316"/>
      <c r="AK31" s="316"/>
      <c r="AL31" s="316"/>
    </row>
    <row r="32" spans="1:38" ht="12.75">
      <c r="A32" s="316"/>
      <c r="B32" s="316"/>
      <c r="C32" s="316"/>
      <c r="D32" s="316"/>
      <c r="E32" s="316"/>
      <c r="F32" s="316"/>
      <c r="G32" s="316"/>
      <c r="H32" s="316"/>
      <c r="I32" s="316"/>
      <c r="J32" s="316"/>
      <c r="K32" s="316"/>
      <c r="L32" s="316"/>
      <c r="M32" s="316"/>
      <c r="N32" s="316"/>
      <c r="O32" s="316"/>
      <c r="P32" s="316"/>
      <c r="Q32" s="316"/>
      <c r="R32" s="316"/>
      <c r="S32" s="316"/>
      <c r="T32" s="316"/>
      <c r="U32" s="316"/>
      <c r="V32" s="316"/>
      <c r="W32" s="316"/>
      <c r="X32" s="316"/>
      <c r="Y32" s="316"/>
      <c r="Z32" s="316"/>
      <c r="AA32" s="316"/>
      <c r="AB32" s="316"/>
      <c r="AC32" s="316"/>
      <c r="AD32" s="316"/>
      <c r="AE32" s="316"/>
      <c r="AF32" s="316"/>
      <c r="AG32" s="316"/>
      <c r="AH32" s="316"/>
      <c r="AI32" s="316"/>
      <c r="AJ32" s="316"/>
      <c r="AK32" s="316"/>
      <c r="AL32" s="316"/>
    </row>
    <row r="33" spans="1:38" ht="12.75">
      <c r="A33" s="316"/>
      <c r="B33" s="316"/>
      <c r="C33" s="316"/>
      <c r="D33" s="316"/>
      <c r="E33" s="316"/>
      <c r="F33" s="316"/>
      <c r="G33" s="316"/>
      <c r="H33" s="316"/>
      <c r="I33" s="316"/>
      <c r="J33" s="316"/>
      <c r="K33" s="316"/>
      <c r="L33" s="316"/>
      <c r="M33" s="316"/>
      <c r="N33" s="316"/>
      <c r="O33" s="316"/>
      <c r="P33" s="316"/>
      <c r="Q33" s="316"/>
      <c r="R33" s="316"/>
      <c r="S33" s="316"/>
      <c r="T33" s="316"/>
      <c r="U33" s="316"/>
      <c r="V33" s="316"/>
      <c r="W33" s="316"/>
      <c r="X33" s="316"/>
      <c r="Y33" s="316"/>
      <c r="Z33" s="316"/>
      <c r="AA33" s="316"/>
      <c r="AB33" s="316"/>
      <c r="AC33" s="316"/>
      <c r="AD33" s="316"/>
      <c r="AE33" s="316"/>
      <c r="AF33" s="316"/>
      <c r="AG33" s="316"/>
      <c r="AH33" s="316"/>
      <c r="AI33" s="316"/>
      <c r="AJ33" s="316"/>
      <c r="AK33" s="316"/>
      <c r="AL33" s="316"/>
    </row>
    <row r="34" spans="1:38" ht="12.75">
      <c r="A34" s="316"/>
      <c r="B34" s="316"/>
      <c r="C34" s="316"/>
      <c r="D34" s="316"/>
      <c r="E34" s="316"/>
      <c r="F34" s="316"/>
      <c r="G34" s="316"/>
      <c r="H34" s="316"/>
      <c r="I34" s="316"/>
      <c r="J34" s="316"/>
      <c r="K34" s="316"/>
      <c r="L34" s="316"/>
      <c r="M34" s="316"/>
      <c r="N34" s="316"/>
      <c r="O34" s="316"/>
      <c r="P34" s="316"/>
      <c r="Q34" s="316"/>
      <c r="R34" s="316"/>
      <c r="S34" s="316"/>
      <c r="T34" s="316"/>
      <c r="U34" s="316"/>
      <c r="V34" s="316"/>
      <c r="W34" s="316"/>
      <c r="X34" s="316"/>
      <c r="Y34" s="316"/>
      <c r="Z34" s="316"/>
      <c r="AA34" s="316"/>
      <c r="AB34" s="316"/>
      <c r="AC34" s="316"/>
      <c r="AD34" s="316"/>
      <c r="AE34" s="316"/>
      <c r="AF34" s="316"/>
      <c r="AG34" s="316"/>
      <c r="AH34" s="316"/>
      <c r="AI34" s="316"/>
      <c r="AJ34" s="316"/>
      <c r="AK34" s="316"/>
      <c r="AL34" s="316"/>
    </row>
    <row r="35" spans="1:38" ht="12.75">
      <c r="A35" s="316"/>
      <c r="B35" s="316"/>
      <c r="C35" s="316"/>
      <c r="D35" s="316"/>
      <c r="E35" s="316"/>
      <c r="F35" s="316"/>
      <c r="G35" s="316"/>
      <c r="H35" s="316"/>
      <c r="I35" s="316"/>
      <c r="J35" s="316"/>
      <c r="K35" s="316"/>
      <c r="L35" s="316"/>
      <c r="M35" s="316"/>
      <c r="N35" s="316"/>
      <c r="O35" s="316"/>
      <c r="P35" s="316"/>
      <c r="Q35" s="316"/>
      <c r="R35" s="316"/>
      <c r="S35" s="316"/>
      <c r="T35" s="316"/>
      <c r="U35" s="316"/>
      <c r="V35" s="316"/>
      <c r="W35" s="316"/>
      <c r="X35" s="316"/>
      <c r="Y35" s="316"/>
      <c r="Z35" s="316"/>
      <c r="AA35" s="316"/>
      <c r="AB35" s="316"/>
      <c r="AC35" s="316"/>
      <c r="AD35" s="316"/>
      <c r="AE35" s="316"/>
      <c r="AF35" s="316"/>
      <c r="AG35" s="316"/>
      <c r="AH35" s="316"/>
      <c r="AI35" s="316"/>
      <c r="AJ35" s="316"/>
      <c r="AK35" s="316"/>
      <c r="AL35" s="316"/>
    </row>
    <row r="36" spans="1:38" ht="12.75">
      <c r="A36" s="316"/>
      <c r="B36" s="316"/>
      <c r="C36" s="316"/>
      <c r="D36" s="316"/>
      <c r="E36" s="316"/>
      <c r="F36" s="316"/>
      <c r="G36" s="316"/>
      <c r="H36" s="316"/>
      <c r="I36" s="316"/>
      <c r="J36" s="316"/>
      <c r="K36" s="316"/>
      <c r="L36" s="316"/>
      <c r="M36" s="316"/>
      <c r="N36" s="316"/>
      <c r="O36" s="316"/>
      <c r="P36" s="316"/>
      <c r="Q36" s="316"/>
      <c r="R36" s="316"/>
      <c r="S36" s="316"/>
      <c r="T36" s="316"/>
      <c r="U36" s="316"/>
      <c r="V36" s="316"/>
      <c r="W36" s="316"/>
      <c r="X36" s="316"/>
      <c r="Y36" s="316"/>
      <c r="Z36" s="316"/>
      <c r="AA36" s="316"/>
      <c r="AB36" s="316"/>
      <c r="AC36" s="316"/>
      <c r="AD36" s="316"/>
      <c r="AE36" s="316"/>
      <c r="AF36" s="316"/>
      <c r="AG36" s="316"/>
      <c r="AH36" s="316"/>
      <c r="AI36" s="316"/>
      <c r="AJ36" s="316"/>
      <c r="AK36" s="316"/>
      <c r="AL36" s="316"/>
    </row>
    <row r="37" spans="1:38" ht="12.75">
      <c r="A37" s="316"/>
      <c r="B37" s="316"/>
      <c r="C37" s="316"/>
      <c r="D37" s="316"/>
      <c r="E37" s="316"/>
      <c r="F37" s="316"/>
      <c r="G37" s="316"/>
      <c r="H37" s="316"/>
      <c r="I37" s="316"/>
      <c r="J37" s="316"/>
      <c r="K37" s="316"/>
      <c r="L37" s="316"/>
      <c r="M37" s="316"/>
      <c r="N37" s="316"/>
      <c r="O37" s="316"/>
      <c r="P37" s="316"/>
      <c r="Q37" s="316"/>
      <c r="R37" s="316"/>
      <c r="S37" s="316"/>
      <c r="T37" s="316"/>
      <c r="U37" s="316"/>
      <c r="V37" s="316"/>
      <c r="W37" s="316"/>
      <c r="X37" s="316"/>
      <c r="Y37" s="316"/>
      <c r="Z37" s="316"/>
      <c r="AA37" s="316"/>
      <c r="AB37" s="316"/>
      <c r="AC37" s="316"/>
      <c r="AD37" s="316"/>
      <c r="AE37" s="316"/>
      <c r="AF37" s="316"/>
      <c r="AG37" s="316"/>
      <c r="AH37" s="316"/>
      <c r="AI37" s="316"/>
      <c r="AJ37" s="316"/>
      <c r="AK37" s="316"/>
      <c r="AL37" s="316"/>
    </row>
    <row r="38" spans="1:38" ht="12.75">
      <c r="A38" s="316"/>
      <c r="B38" s="316"/>
      <c r="C38" s="316"/>
      <c r="D38" s="316"/>
      <c r="E38" s="316"/>
      <c r="F38" s="316"/>
      <c r="G38" s="316"/>
      <c r="H38" s="316"/>
      <c r="I38" s="316"/>
      <c r="J38" s="316"/>
      <c r="K38" s="316"/>
      <c r="L38" s="316"/>
      <c r="M38" s="316"/>
      <c r="N38" s="316"/>
      <c r="O38" s="316"/>
      <c r="P38" s="316"/>
      <c r="Q38" s="316"/>
      <c r="R38" s="316"/>
      <c r="S38" s="316"/>
      <c r="T38" s="316"/>
      <c r="U38" s="316"/>
      <c r="V38" s="316"/>
      <c r="W38" s="316"/>
      <c r="X38" s="316"/>
      <c r="Y38" s="316"/>
      <c r="Z38" s="316"/>
      <c r="AA38" s="316"/>
      <c r="AB38" s="316"/>
      <c r="AC38" s="316"/>
      <c r="AD38" s="316"/>
      <c r="AE38" s="316"/>
      <c r="AF38" s="316"/>
      <c r="AG38" s="316"/>
      <c r="AH38" s="316"/>
      <c r="AI38" s="316"/>
      <c r="AJ38" s="316"/>
      <c r="AK38" s="316"/>
      <c r="AL38" s="316"/>
    </row>
    <row r="39" spans="1:38" ht="12.75">
      <c r="A39" s="316"/>
      <c r="B39" s="316"/>
      <c r="C39" s="316"/>
      <c r="D39" s="316"/>
      <c r="E39" s="316"/>
      <c r="F39" s="316"/>
      <c r="G39" s="316"/>
      <c r="H39" s="316"/>
      <c r="I39" s="316"/>
      <c r="J39" s="316"/>
      <c r="K39" s="316"/>
      <c r="L39" s="316"/>
      <c r="M39" s="316"/>
      <c r="N39" s="316"/>
      <c r="O39" s="316"/>
      <c r="P39" s="316"/>
      <c r="Q39" s="316"/>
      <c r="R39" s="316"/>
      <c r="S39" s="316"/>
      <c r="T39" s="316"/>
      <c r="U39" s="316"/>
      <c r="V39" s="316"/>
      <c r="W39" s="316"/>
      <c r="X39" s="316"/>
      <c r="Y39" s="316"/>
      <c r="Z39" s="316"/>
      <c r="AA39" s="316"/>
      <c r="AB39" s="316"/>
      <c r="AC39" s="316"/>
      <c r="AD39" s="316"/>
      <c r="AE39" s="316"/>
      <c r="AF39" s="316"/>
      <c r="AG39" s="316"/>
      <c r="AH39" s="316"/>
      <c r="AI39" s="316"/>
      <c r="AJ39" s="316"/>
      <c r="AK39" s="316"/>
      <c r="AL39" s="316"/>
    </row>
    <row r="40" spans="1:38" ht="12.75">
      <c r="A40" s="316"/>
      <c r="B40" s="316"/>
      <c r="C40" s="316"/>
      <c r="D40" s="316"/>
      <c r="E40" s="316"/>
      <c r="F40" s="316"/>
      <c r="G40" s="316"/>
      <c r="H40" s="316"/>
      <c r="I40" s="316"/>
      <c r="J40" s="316"/>
      <c r="K40" s="316"/>
      <c r="L40" s="316"/>
      <c r="M40" s="316"/>
      <c r="N40" s="316"/>
      <c r="O40" s="316"/>
      <c r="P40" s="316"/>
      <c r="Q40" s="316"/>
      <c r="R40" s="316"/>
      <c r="S40" s="316"/>
      <c r="T40" s="316"/>
      <c r="U40" s="316"/>
      <c r="V40" s="316"/>
      <c r="W40" s="316"/>
      <c r="X40" s="316"/>
      <c r="Y40" s="316"/>
      <c r="Z40" s="316"/>
      <c r="AA40" s="316"/>
      <c r="AB40" s="316"/>
      <c r="AC40" s="316"/>
      <c r="AD40" s="316"/>
      <c r="AE40" s="316"/>
      <c r="AF40" s="316"/>
      <c r="AG40" s="316"/>
      <c r="AH40" s="316"/>
      <c r="AI40" s="316"/>
      <c r="AJ40" s="316"/>
      <c r="AK40" s="316"/>
      <c r="AL40" s="316"/>
    </row>
    <row r="41" spans="1:38" ht="12.75">
      <c r="A41" s="316"/>
      <c r="B41" s="316"/>
      <c r="C41" s="316"/>
      <c r="D41" s="316"/>
      <c r="E41" s="316"/>
      <c r="F41" s="316"/>
      <c r="G41" s="316"/>
      <c r="H41" s="316"/>
      <c r="I41" s="316"/>
      <c r="J41" s="316"/>
      <c r="K41" s="316"/>
      <c r="L41" s="316"/>
      <c r="M41" s="316"/>
      <c r="N41" s="316"/>
      <c r="O41" s="316"/>
      <c r="P41" s="316"/>
      <c r="Q41" s="316"/>
      <c r="R41" s="316"/>
      <c r="S41" s="316"/>
      <c r="T41" s="316"/>
      <c r="U41" s="316"/>
      <c r="V41" s="316"/>
      <c r="W41" s="316"/>
      <c r="X41" s="316"/>
      <c r="Y41" s="316"/>
      <c r="Z41" s="316"/>
      <c r="AA41" s="316"/>
      <c r="AB41" s="316"/>
      <c r="AC41" s="316"/>
      <c r="AD41" s="316"/>
      <c r="AE41" s="316"/>
      <c r="AF41" s="316"/>
      <c r="AG41" s="316"/>
      <c r="AH41" s="316"/>
      <c r="AI41" s="316"/>
      <c r="AJ41" s="316"/>
      <c r="AK41" s="316"/>
      <c r="AL41" s="316"/>
    </row>
    <row r="42" spans="1:38" ht="12.75">
      <c r="A42" s="316"/>
      <c r="B42" s="316"/>
      <c r="C42" s="316"/>
      <c r="D42" s="316"/>
      <c r="E42" s="316"/>
      <c r="F42" s="316"/>
      <c r="G42" s="316"/>
      <c r="H42" s="316"/>
      <c r="I42" s="316"/>
      <c r="J42" s="316"/>
      <c r="K42" s="316"/>
      <c r="L42" s="316"/>
      <c r="M42" s="316"/>
      <c r="N42" s="316"/>
      <c r="O42" s="316"/>
      <c r="P42" s="316"/>
      <c r="Q42" s="316"/>
      <c r="R42" s="316"/>
      <c r="S42" s="316"/>
      <c r="T42" s="316"/>
      <c r="U42" s="316"/>
      <c r="V42" s="316"/>
      <c r="W42" s="316"/>
      <c r="X42" s="316"/>
      <c r="Y42" s="316"/>
      <c r="Z42" s="316"/>
      <c r="AA42" s="316"/>
      <c r="AB42" s="316"/>
      <c r="AC42" s="316"/>
      <c r="AD42" s="316"/>
      <c r="AE42" s="316"/>
      <c r="AF42" s="316"/>
      <c r="AG42" s="316"/>
      <c r="AH42" s="316"/>
      <c r="AI42" s="316"/>
      <c r="AJ42" s="316"/>
      <c r="AK42" s="316"/>
      <c r="AL42" s="316"/>
    </row>
    <row r="43" spans="1:38" ht="12.75">
      <c r="A43" s="316"/>
      <c r="B43" s="316"/>
      <c r="C43" s="316"/>
      <c r="D43" s="316"/>
      <c r="E43" s="316"/>
      <c r="F43" s="316"/>
      <c r="G43" s="316"/>
      <c r="H43" s="316"/>
      <c r="I43" s="316"/>
      <c r="J43" s="316"/>
      <c r="K43" s="316"/>
      <c r="L43" s="316"/>
      <c r="M43" s="316"/>
      <c r="N43" s="316"/>
      <c r="O43" s="316"/>
      <c r="P43" s="316"/>
      <c r="Q43" s="316"/>
      <c r="R43" s="316"/>
      <c r="S43" s="316"/>
      <c r="T43" s="316"/>
      <c r="U43" s="316"/>
      <c r="V43" s="316"/>
      <c r="W43" s="316"/>
      <c r="X43" s="316"/>
      <c r="Y43" s="316"/>
      <c r="Z43" s="316"/>
      <c r="AA43" s="316"/>
      <c r="AB43" s="316"/>
      <c r="AC43" s="316"/>
      <c r="AD43" s="316"/>
      <c r="AE43" s="316"/>
      <c r="AF43" s="316"/>
      <c r="AG43" s="316"/>
      <c r="AH43" s="316"/>
      <c r="AI43" s="316"/>
      <c r="AJ43" s="316"/>
      <c r="AK43" s="316"/>
      <c r="AL43" s="316"/>
    </row>
    <row r="44" spans="1:38" ht="12.75">
      <c r="A44" s="316"/>
      <c r="B44" s="316"/>
      <c r="C44" s="316"/>
      <c r="D44" s="316"/>
      <c r="E44" s="316"/>
      <c r="F44" s="316"/>
      <c r="G44" s="316"/>
      <c r="H44" s="316"/>
      <c r="I44" s="316"/>
      <c r="J44" s="316"/>
      <c r="K44" s="316"/>
      <c r="L44" s="316"/>
      <c r="M44" s="316"/>
      <c r="N44" s="316"/>
      <c r="O44" s="316"/>
      <c r="P44" s="316"/>
      <c r="Q44" s="316"/>
      <c r="R44" s="316"/>
      <c r="S44" s="316"/>
      <c r="T44" s="316"/>
      <c r="U44" s="316"/>
      <c r="V44" s="316"/>
      <c r="W44" s="316"/>
      <c r="X44" s="316"/>
      <c r="Y44" s="316"/>
      <c r="Z44" s="316"/>
      <c r="AA44" s="316"/>
      <c r="AB44" s="316"/>
      <c r="AC44" s="316"/>
      <c r="AD44" s="316"/>
      <c r="AE44" s="316"/>
      <c r="AF44" s="316"/>
      <c r="AG44" s="316"/>
      <c r="AH44" s="316"/>
      <c r="AI44" s="316"/>
      <c r="AJ44" s="316"/>
      <c r="AK44" s="316"/>
      <c r="AL44" s="316"/>
    </row>
    <row r="45" spans="1:38" ht="12.75">
      <c r="A45" s="316"/>
      <c r="B45" s="316"/>
      <c r="C45" s="316"/>
      <c r="D45" s="316"/>
      <c r="E45" s="316"/>
      <c r="F45" s="316"/>
      <c r="G45" s="316"/>
      <c r="H45" s="316"/>
      <c r="I45" s="316"/>
      <c r="J45" s="316"/>
      <c r="K45" s="316"/>
      <c r="L45" s="316"/>
      <c r="M45" s="316"/>
      <c r="N45" s="316"/>
      <c r="O45" s="316"/>
      <c r="P45" s="316"/>
      <c r="Q45" s="316"/>
      <c r="R45" s="316"/>
      <c r="S45" s="316"/>
      <c r="T45" s="316"/>
      <c r="U45" s="316"/>
      <c r="V45" s="316"/>
      <c r="W45" s="316"/>
      <c r="X45" s="316"/>
      <c r="Y45" s="316"/>
      <c r="Z45" s="316"/>
      <c r="AA45" s="316"/>
      <c r="AB45" s="316"/>
      <c r="AC45" s="316"/>
      <c r="AD45" s="316"/>
      <c r="AE45" s="316"/>
      <c r="AF45" s="316"/>
      <c r="AG45" s="316"/>
      <c r="AH45" s="316"/>
      <c r="AI45" s="316"/>
      <c r="AJ45" s="316"/>
      <c r="AK45" s="316"/>
      <c r="AL45" s="316"/>
    </row>
    <row r="46" spans="1:38" ht="12.75">
      <c r="A46" s="317"/>
      <c r="B46" s="317"/>
      <c r="C46" s="317"/>
      <c r="D46" s="317"/>
      <c r="E46" s="317"/>
      <c r="F46" s="317"/>
      <c r="G46" s="317"/>
      <c r="H46" s="317"/>
      <c r="I46" s="317"/>
      <c r="J46" s="317"/>
      <c r="K46" s="317"/>
      <c r="L46" s="317"/>
      <c r="M46" s="317"/>
      <c r="N46" s="317"/>
      <c r="O46" s="317"/>
      <c r="P46" s="317"/>
      <c r="Q46" s="317"/>
      <c r="R46" s="317"/>
      <c r="S46" s="317"/>
      <c r="T46" s="317"/>
      <c r="U46" s="317"/>
      <c r="V46" s="317"/>
      <c r="W46" s="317"/>
      <c r="X46" s="317"/>
      <c r="Y46" s="317"/>
      <c r="Z46" s="317"/>
      <c r="AA46" s="317"/>
      <c r="AB46" s="317"/>
      <c r="AC46" s="317"/>
      <c r="AD46" s="317"/>
      <c r="AE46" s="317"/>
      <c r="AF46" s="317"/>
      <c r="AG46" s="317"/>
      <c r="AH46" s="317"/>
      <c r="AI46" s="317"/>
      <c r="AJ46" s="317"/>
      <c r="AK46" s="317"/>
      <c r="AL46" s="317"/>
    </row>
  </sheetData>
  <hyperlinks>
    <hyperlink ref="A1" r:id="rId1" xr:uid="{00000000-0004-0000-2000-000000000000}"/>
    <hyperlink ref="B1" r:id="rId2" xr:uid="{00000000-0004-0000-2000-000001000000}"/>
    <hyperlink ref="J1" r:id="rId3" xr:uid="{00000000-0004-0000-2000-000002000000}"/>
    <hyperlink ref="P1" r:id="rId4" xr:uid="{00000000-0004-0000-2000-000003000000}"/>
    <hyperlink ref="R1" r:id="rId5" xr:uid="{00000000-0004-0000-2000-000004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0563C1"/>
    <outlinePr summaryBelow="0" summaryRight="0"/>
  </sheetPr>
  <dimension ref="A1:AL6"/>
  <sheetViews>
    <sheetView workbookViewId="0"/>
  </sheetViews>
  <sheetFormatPr baseColWidth="10" defaultColWidth="12.5703125" defaultRowHeight="15.75" customHeight="1"/>
  <sheetData>
    <row r="1" spans="1:38" ht="45" customHeight="1">
      <c r="A1" s="303" t="s">
        <v>12384</v>
      </c>
      <c r="B1" s="209" t="s">
        <v>12385</v>
      </c>
      <c r="C1" s="208" t="s">
        <v>8</v>
      </c>
      <c r="D1" s="304" t="s">
        <v>2192</v>
      </c>
      <c r="E1" s="208" t="s">
        <v>2191</v>
      </c>
      <c r="F1" s="208" t="s">
        <v>5</v>
      </c>
      <c r="G1" s="305" t="s">
        <v>12364</v>
      </c>
      <c r="H1" s="208" t="s">
        <v>10</v>
      </c>
      <c r="I1" s="306" t="s">
        <v>12365</v>
      </c>
      <c r="J1" s="307" t="s">
        <v>12366</v>
      </c>
      <c r="K1" s="208" t="s">
        <v>12367</v>
      </c>
      <c r="L1" s="308" t="s">
        <v>12368</v>
      </c>
      <c r="M1" s="208" t="s">
        <v>3</v>
      </c>
      <c r="N1" s="309" t="s">
        <v>12369</v>
      </c>
      <c r="O1" s="310" t="s">
        <v>12370</v>
      </c>
      <c r="P1" s="311" t="s">
        <v>12</v>
      </c>
      <c r="Q1" s="312" t="s">
        <v>13</v>
      </c>
      <c r="R1" s="312" t="s">
        <v>14</v>
      </c>
      <c r="S1" s="309" t="s">
        <v>15</v>
      </c>
      <c r="T1" s="309" t="s">
        <v>14</v>
      </c>
      <c r="U1" s="310" t="s">
        <v>12371</v>
      </c>
      <c r="V1" s="310" t="s">
        <v>12372</v>
      </c>
      <c r="W1" s="208" t="s">
        <v>12373</v>
      </c>
      <c r="X1" s="313" t="s">
        <v>12374</v>
      </c>
      <c r="Y1" s="313" t="s">
        <v>12375</v>
      </c>
      <c r="Z1" s="313" t="s">
        <v>12376</v>
      </c>
      <c r="AA1" s="208" t="s">
        <v>12377</v>
      </c>
      <c r="AB1" s="313" t="s">
        <v>12378</v>
      </c>
      <c r="AC1" s="313" t="s">
        <v>12379</v>
      </c>
    </row>
    <row r="2" spans="1:38" ht="12.75">
      <c r="A2" s="315" t="str">
        <f ca="1">IFERROR(__xludf.DUMMYFUNCTION("FILTER('GC maDMP Master Sheet'!J1:AS476,lookup(row(#REF!),if(len(#REF!),row(#REF!)),#REF!)=""5. RESOURCES - nested data structure
For specifying equipment needed/used to create or process the data, e.g. a microscope, etc."")"),"#N/A")</f>
        <v>#N/A</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row>
    <row r="3" spans="1:38" ht="12.7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row>
    <row r="4" spans="1:38" ht="12.75">
      <c r="A4" s="316"/>
      <c r="B4" s="316"/>
      <c r="C4" s="316"/>
      <c r="D4" s="316"/>
      <c r="E4" s="316"/>
      <c r="F4" s="316"/>
      <c r="G4" s="316"/>
      <c r="H4" s="316"/>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row>
    <row r="5" spans="1:38" ht="12.75">
      <c r="A5" s="316"/>
      <c r="B5" s="316"/>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row>
    <row r="6" spans="1:38" ht="12.75">
      <c r="A6" s="317"/>
      <c r="B6" s="317"/>
      <c r="C6" s="317"/>
      <c r="D6" s="317"/>
      <c r="E6" s="317"/>
      <c r="F6" s="317"/>
      <c r="G6" s="317"/>
      <c r="H6" s="317"/>
      <c r="I6" s="317"/>
      <c r="J6" s="317"/>
      <c r="K6" s="317"/>
      <c r="L6" s="317"/>
      <c r="M6" s="317"/>
      <c r="N6" s="317"/>
      <c r="O6" s="317"/>
      <c r="P6" s="317"/>
      <c r="Q6" s="317"/>
      <c r="R6" s="317"/>
      <c r="S6" s="317"/>
      <c r="T6" s="317"/>
      <c r="U6" s="317"/>
      <c r="V6" s="317"/>
      <c r="W6" s="317"/>
      <c r="X6" s="317"/>
      <c r="Y6" s="317"/>
      <c r="Z6" s="317"/>
      <c r="AA6" s="317"/>
      <c r="AB6" s="317"/>
      <c r="AC6" s="317"/>
      <c r="AD6" s="317"/>
      <c r="AE6" s="317"/>
      <c r="AF6" s="317"/>
      <c r="AG6" s="317"/>
      <c r="AH6" s="317"/>
      <c r="AI6" s="317"/>
      <c r="AJ6" s="317"/>
      <c r="AK6" s="317"/>
      <c r="AL6" s="317"/>
    </row>
  </sheetData>
  <hyperlinks>
    <hyperlink ref="A1" r:id="rId1" xr:uid="{00000000-0004-0000-2100-000000000000}"/>
    <hyperlink ref="B1" r:id="rId2" xr:uid="{00000000-0004-0000-2100-000001000000}"/>
    <hyperlink ref="J1" r:id="rId3" xr:uid="{00000000-0004-0000-2100-000002000000}"/>
    <hyperlink ref="P1" r:id="rId4" xr:uid="{00000000-0004-0000-2100-000003000000}"/>
    <hyperlink ref="R1" r:id="rId5" xr:uid="{00000000-0004-0000-2100-000004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0563C1"/>
    <outlinePr summaryBelow="0" summaryRight="0"/>
  </sheetPr>
  <dimension ref="A1:AL17"/>
  <sheetViews>
    <sheetView workbookViewId="0"/>
  </sheetViews>
  <sheetFormatPr baseColWidth="10" defaultColWidth="12.5703125" defaultRowHeight="15.75" customHeight="1"/>
  <sheetData>
    <row r="1" spans="1:38" ht="45" customHeight="1">
      <c r="A1" s="303" t="s">
        <v>12386</v>
      </c>
      <c r="B1" s="209" t="s">
        <v>12387</v>
      </c>
      <c r="C1" s="208" t="s">
        <v>8</v>
      </c>
      <c r="D1" s="304" t="s">
        <v>2192</v>
      </c>
      <c r="E1" s="208" t="s">
        <v>2191</v>
      </c>
      <c r="F1" s="208" t="s">
        <v>5</v>
      </c>
      <c r="G1" s="305" t="s">
        <v>12364</v>
      </c>
      <c r="H1" s="208" t="s">
        <v>10</v>
      </c>
      <c r="I1" s="306" t="s">
        <v>12365</v>
      </c>
      <c r="J1" s="307" t="s">
        <v>12366</v>
      </c>
      <c r="K1" s="208" t="s">
        <v>12367</v>
      </c>
      <c r="L1" s="308" t="s">
        <v>12368</v>
      </c>
      <c r="M1" s="208" t="s">
        <v>3</v>
      </c>
      <c r="N1" s="309" t="s">
        <v>12369</v>
      </c>
      <c r="O1" s="310" t="s">
        <v>12370</v>
      </c>
      <c r="P1" s="311" t="s">
        <v>12</v>
      </c>
      <c r="Q1" s="312" t="s">
        <v>13</v>
      </c>
      <c r="R1" s="312" t="s">
        <v>14</v>
      </c>
      <c r="S1" s="309" t="s">
        <v>15</v>
      </c>
      <c r="T1" s="309" t="s">
        <v>14</v>
      </c>
      <c r="U1" s="310" t="s">
        <v>12371</v>
      </c>
      <c r="V1" s="310" t="s">
        <v>12372</v>
      </c>
      <c r="W1" s="208" t="s">
        <v>12373</v>
      </c>
      <c r="X1" s="313" t="s">
        <v>12374</v>
      </c>
      <c r="Y1" s="313" t="s">
        <v>12375</v>
      </c>
      <c r="Z1" s="313" t="s">
        <v>12376</v>
      </c>
      <c r="AA1" s="208" t="s">
        <v>12377</v>
      </c>
      <c r="AB1" s="313" t="s">
        <v>12378</v>
      </c>
      <c r="AC1" s="313" t="s">
        <v>12379</v>
      </c>
    </row>
    <row r="2" spans="1:38" ht="12.75">
      <c r="A2" s="315" t="str">
        <f ca="1">IFERROR(__xludf.DUMMYFUNCTION("FILTER('GC maDMP Master Sheet'!J1:AS476,lookup(row(#REF!),if(len(#REF!),row(#REF!)),#REF!)=""Computing environment"")"),"#N/A")</f>
        <v>#N/A</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row>
    <row r="3" spans="1:38" ht="12.7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row>
    <row r="4" spans="1:38" ht="12.75">
      <c r="A4" s="316"/>
      <c r="B4" s="316"/>
      <c r="C4" s="316"/>
      <c r="D4" s="316"/>
      <c r="E4" s="316"/>
      <c r="F4" s="316"/>
      <c r="G4" s="316"/>
      <c r="H4" s="316"/>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row>
    <row r="5" spans="1:38" ht="12.75">
      <c r="A5" s="316"/>
      <c r="B5" s="316"/>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row>
    <row r="6" spans="1:38" ht="12.75">
      <c r="A6" s="316"/>
      <c r="B6" s="316"/>
      <c r="C6" s="316"/>
      <c r="D6" s="316"/>
      <c r="E6" s="316"/>
      <c r="F6" s="316"/>
      <c r="G6" s="316"/>
      <c r="H6" s="316"/>
      <c r="I6" s="316"/>
      <c r="J6" s="316"/>
      <c r="K6" s="316"/>
      <c r="L6" s="316"/>
      <c r="M6" s="316"/>
      <c r="N6" s="316"/>
      <c r="O6" s="316"/>
      <c r="P6" s="316"/>
      <c r="Q6" s="316"/>
      <c r="R6" s="316"/>
      <c r="S6" s="316"/>
      <c r="T6" s="316"/>
      <c r="U6" s="316"/>
      <c r="V6" s="316"/>
      <c r="W6" s="316"/>
      <c r="X6" s="316"/>
      <c r="Y6" s="316"/>
      <c r="Z6" s="316"/>
      <c r="AA6" s="316"/>
      <c r="AB6" s="316"/>
      <c r="AC6" s="316"/>
      <c r="AD6" s="316"/>
      <c r="AE6" s="316"/>
      <c r="AF6" s="316"/>
      <c r="AG6" s="316"/>
      <c r="AH6" s="316"/>
      <c r="AI6" s="316"/>
      <c r="AJ6" s="316"/>
      <c r="AK6" s="316"/>
      <c r="AL6" s="316"/>
    </row>
    <row r="7" spans="1:38" ht="12.75">
      <c r="A7" s="316"/>
      <c r="B7" s="316"/>
      <c r="C7" s="316"/>
      <c r="D7" s="316"/>
      <c r="E7" s="316"/>
      <c r="F7" s="316"/>
      <c r="G7" s="316"/>
      <c r="H7" s="316"/>
      <c r="I7" s="316"/>
      <c r="J7" s="316"/>
      <c r="K7" s="316"/>
      <c r="L7" s="316"/>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row>
    <row r="8" spans="1:38" ht="12.75">
      <c r="A8" s="316"/>
      <c r="B8" s="316"/>
      <c r="C8" s="316"/>
      <c r="D8" s="316"/>
      <c r="E8" s="316"/>
      <c r="F8" s="316"/>
      <c r="G8" s="316"/>
      <c r="H8" s="316"/>
      <c r="I8" s="316"/>
      <c r="J8" s="316"/>
      <c r="K8" s="316"/>
      <c r="L8" s="316"/>
      <c r="M8" s="316"/>
      <c r="N8" s="316"/>
      <c r="O8" s="316"/>
      <c r="P8" s="316"/>
      <c r="Q8" s="316"/>
      <c r="R8" s="316"/>
      <c r="S8" s="316"/>
      <c r="T8" s="316"/>
      <c r="U8" s="316"/>
      <c r="V8" s="316"/>
      <c r="W8" s="316"/>
      <c r="X8" s="316"/>
      <c r="Y8" s="316"/>
      <c r="Z8" s="316"/>
      <c r="AA8" s="316"/>
      <c r="AB8" s="316"/>
      <c r="AC8" s="316"/>
      <c r="AD8" s="316"/>
      <c r="AE8" s="316"/>
      <c r="AF8" s="316"/>
      <c r="AG8" s="316"/>
      <c r="AH8" s="316"/>
      <c r="AI8" s="316"/>
      <c r="AJ8" s="316"/>
      <c r="AK8" s="316"/>
      <c r="AL8" s="316"/>
    </row>
    <row r="9" spans="1:38" ht="12.75">
      <c r="A9" s="316"/>
      <c r="B9" s="316"/>
      <c r="C9" s="316"/>
      <c r="D9" s="316"/>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row>
    <row r="10" spans="1:38" ht="12.75">
      <c r="A10" s="316"/>
      <c r="B10" s="316"/>
      <c r="C10" s="316"/>
      <c r="D10" s="316"/>
      <c r="E10" s="316"/>
      <c r="F10" s="316"/>
      <c r="G10" s="316"/>
      <c r="H10" s="316"/>
      <c r="I10" s="316"/>
      <c r="J10" s="316"/>
      <c r="K10" s="316"/>
      <c r="L10" s="316"/>
      <c r="M10" s="316"/>
      <c r="N10" s="316"/>
      <c r="O10" s="316"/>
      <c r="P10" s="316"/>
      <c r="Q10" s="316"/>
      <c r="R10" s="316"/>
      <c r="S10" s="316"/>
      <c r="T10" s="316"/>
      <c r="U10" s="316"/>
      <c r="V10" s="316"/>
      <c r="W10" s="316"/>
      <c r="X10" s="316"/>
      <c r="Y10" s="316"/>
      <c r="Z10" s="316"/>
      <c r="AA10" s="316"/>
      <c r="AB10" s="316"/>
      <c r="AC10" s="316"/>
      <c r="AD10" s="316"/>
      <c r="AE10" s="316"/>
      <c r="AF10" s="316"/>
      <c r="AG10" s="316"/>
      <c r="AH10" s="316"/>
      <c r="AI10" s="316"/>
      <c r="AJ10" s="316"/>
      <c r="AK10" s="316"/>
      <c r="AL10" s="316"/>
    </row>
    <row r="11" spans="1:38" ht="12.75">
      <c r="A11" s="316"/>
      <c r="B11" s="316"/>
      <c r="C11" s="316"/>
      <c r="D11" s="316"/>
      <c r="E11" s="316"/>
      <c r="F11" s="316"/>
      <c r="G11" s="316"/>
      <c r="H11" s="316"/>
      <c r="I11" s="316"/>
      <c r="J11" s="316"/>
      <c r="K11" s="316"/>
      <c r="L11" s="316"/>
      <c r="M11" s="316"/>
      <c r="N11" s="316"/>
      <c r="O11" s="316"/>
      <c r="P11" s="316"/>
      <c r="Q11" s="316"/>
      <c r="R11" s="316"/>
      <c r="S11" s="316"/>
      <c r="T11" s="316"/>
      <c r="U11" s="316"/>
      <c r="V11" s="316"/>
      <c r="W11" s="316"/>
      <c r="X11" s="316"/>
      <c r="Y11" s="316"/>
      <c r="Z11" s="316"/>
      <c r="AA11" s="316"/>
      <c r="AB11" s="316"/>
      <c r="AC11" s="316"/>
      <c r="AD11" s="316"/>
      <c r="AE11" s="316"/>
      <c r="AF11" s="316"/>
      <c r="AG11" s="316"/>
      <c r="AH11" s="316"/>
      <c r="AI11" s="316"/>
      <c r="AJ11" s="316"/>
      <c r="AK11" s="316"/>
      <c r="AL11" s="316"/>
    </row>
    <row r="12" spans="1:38" ht="12.75">
      <c r="A12" s="316"/>
      <c r="B12" s="316"/>
      <c r="C12" s="316"/>
      <c r="D12" s="316"/>
      <c r="E12" s="316"/>
      <c r="F12" s="316"/>
      <c r="G12" s="316"/>
      <c r="H12" s="316"/>
      <c r="I12" s="316"/>
      <c r="J12" s="316"/>
      <c r="K12" s="316"/>
      <c r="L12" s="316"/>
      <c r="M12" s="316"/>
      <c r="N12" s="316"/>
      <c r="O12" s="316"/>
      <c r="P12" s="316"/>
      <c r="Q12" s="316"/>
      <c r="R12" s="316"/>
      <c r="S12" s="316"/>
      <c r="T12" s="316"/>
      <c r="U12" s="316"/>
      <c r="V12" s="316"/>
      <c r="W12" s="316"/>
      <c r="X12" s="316"/>
      <c r="Y12" s="316"/>
      <c r="Z12" s="316"/>
      <c r="AA12" s="316"/>
      <c r="AB12" s="316"/>
      <c r="AC12" s="316"/>
      <c r="AD12" s="316"/>
      <c r="AE12" s="316"/>
      <c r="AF12" s="316"/>
      <c r="AG12" s="316"/>
      <c r="AH12" s="316"/>
      <c r="AI12" s="316"/>
      <c r="AJ12" s="316"/>
      <c r="AK12" s="316"/>
      <c r="AL12" s="316"/>
    </row>
    <row r="13" spans="1:38" ht="12.75">
      <c r="A13" s="316"/>
      <c r="B13" s="316"/>
      <c r="C13" s="316"/>
      <c r="D13" s="316"/>
      <c r="E13" s="316"/>
      <c r="F13" s="316"/>
      <c r="G13" s="316"/>
      <c r="H13" s="316"/>
      <c r="I13" s="316"/>
      <c r="J13" s="316"/>
      <c r="K13" s="316"/>
      <c r="L13" s="316"/>
      <c r="M13" s="316"/>
      <c r="N13" s="316"/>
      <c r="O13" s="316"/>
      <c r="P13" s="316"/>
      <c r="Q13" s="316"/>
      <c r="R13" s="316"/>
      <c r="S13" s="316"/>
      <c r="T13" s="316"/>
      <c r="U13" s="316"/>
      <c r="V13" s="316"/>
      <c r="W13" s="316"/>
      <c r="X13" s="316"/>
      <c r="Y13" s="316"/>
      <c r="Z13" s="316"/>
      <c r="AA13" s="316"/>
      <c r="AB13" s="316"/>
      <c r="AC13" s="316"/>
      <c r="AD13" s="316"/>
      <c r="AE13" s="316"/>
      <c r="AF13" s="316"/>
      <c r="AG13" s="316"/>
      <c r="AH13" s="316"/>
      <c r="AI13" s="316"/>
      <c r="AJ13" s="316"/>
      <c r="AK13" s="316"/>
      <c r="AL13" s="316"/>
    </row>
    <row r="14" spans="1:38" ht="12.75">
      <c r="A14" s="316"/>
      <c r="B14" s="316"/>
      <c r="C14" s="316"/>
      <c r="D14" s="316"/>
      <c r="E14" s="316"/>
      <c r="F14" s="316"/>
      <c r="G14" s="316"/>
      <c r="H14" s="316"/>
      <c r="I14" s="316"/>
      <c r="J14" s="316"/>
      <c r="K14" s="316"/>
      <c r="L14" s="316"/>
      <c r="M14" s="316"/>
      <c r="N14" s="316"/>
      <c r="O14" s="316"/>
      <c r="P14" s="316"/>
      <c r="Q14" s="316"/>
      <c r="R14" s="316"/>
      <c r="S14" s="316"/>
      <c r="T14" s="316"/>
      <c r="U14" s="316"/>
      <c r="V14" s="316"/>
      <c r="W14" s="316"/>
      <c r="X14" s="316"/>
      <c r="Y14" s="316"/>
      <c r="Z14" s="316"/>
      <c r="AA14" s="316"/>
      <c r="AB14" s="316"/>
      <c r="AC14" s="316"/>
      <c r="AD14" s="316"/>
      <c r="AE14" s="316"/>
      <c r="AF14" s="316"/>
      <c r="AG14" s="316"/>
      <c r="AH14" s="316"/>
      <c r="AI14" s="316"/>
      <c r="AJ14" s="316"/>
      <c r="AK14" s="316"/>
      <c r="AL14" s="316"/>
    </row>
    <row r="15" spans="1:38" ht="12.75">
      <c r="A15" s="316"/>
      <c r="B15" s="316"/>
      <c r="C15" s="316"/>
      <c r="D15" s="316"/>
      <c r="E15" s="316"/>
      <c r="F15" s="316"/>
      <c r="G15" s="316"/>
      <c r="H15" s="316"/>
      <c r="I15" s="316"/>
      <c r="J15" s="316"/>
      <c r="K15" s="316"/>
      <c r="L15" s="316"/>
      <c r="M15" s="316"/>
      <c r="N15" s="316"/>
      <c r="O15" s="316"/>
      <c r="P15" s="316"/>
      <c r="Q15" s="316"/>
      <c r="R15" s="316"/>
      <c r="S15" s="316"/>
      <c r="T15" s="316"/>
      <c r="U15" s="316"/>
      <c r="V15" s="316"/>
      <c r="W15" s="316"/>
      <c r="X15" s="316"/>
      <c r="Y15" s="316"/>
      <c r="Z15" s="316"/>
      <c r="AA15" s="316"/>
      <c r="AB15" s="316"/>
      <c r="AC15" s="316"/>
      <c r="AD15" s="316"/>
      <c r="AE15" s="316"/>
      <c r="AF15" s="316"/>
      <c r="AG15" s="316"/>
      <c r="AH15" s="316"/>
      <c r="AI15" s="316"/>
      <c r="AJ15" s="316"/>
      <c r="AK15" s="316"/>
      <c r="AL15" s="316"/>
    </row>
    <row r="16" spans="1:38" ht="12.75">
      <c r="A16" s="316"/>
      <c r="B16" s="316"/>
      <c r="C16" s="316"/>
      <c r="D16" s="316"/>
      <c r="E16" s="316"/>
      <c r="F16" s="316"/>
      <c r="G16" s="316"/>
      <c r="H16" s="316"/>
      <c r="I16" s="316"/>
      <c r="J16" s="316"/>
      <c r="K16" s="316"/>
      <c r="L16" s="316"/>
      <c r="M16" s="316"/>
      <c r="N16" s="316"/>
      <c r="O16" s="316"/>
      <c r="P16" s="316"/>
      <c r="Q16" s="316"/>
      <c r="R16" s="316"/>
      <c r="S16" s="316"/>
      <c r="T16" s="316"/>
      <c r="U16" s="316"/>
      <c r="V16" s="316"/>
      <c r="W16" s="316"/>
      <c r="X16" s="316"/>
      <c r="Y16" s="316"/>
      <c r="Z16" s="316"/>
      <c r="AA16" s="316"/>
      <c r="AB16" s="316"/>
      <c r="AC16" s="316"/>
      <c r="AD16" s="316"/>
      <c r="AE16" s="316"/>
      <c r="AF16" s="316"/>
      <c r="AG16" s="316"/>
      <c r="AH16" s="316"/>
      <c r="AI16" s="316"/>
      <c r="AJ16" s="316"/>
      <c r="AK16" s="316"/>
      <c r="AL16" s="316"/>
    </row>
    <row r="17" spans="1:38" ht="12.75">
      <c r="A17" s="317"/>
      <c r="B17" s="317"/>
      <c r="C17" s="317"/>
      <c r="D17" s="317"/>
      <c r="E17" s="317"/>
      <c r="F17" s="317"/>
      <c r="G17" s="317"/>
      <c r="H17" s="317"/>
      <c r="I17" s="317"/>
      <c r="J17" s="317"/>
      <c r="K17" s="317"/>
      <c r="L17" s="317"/>
      <c r="M17" s="317"/>
      <c r="N17" s="317"/>
      <c r="O17" s="317"/>
      <c r="P17" s="317"/>
      <c r="Q17" s="317"/>
      <c r="R17" s="317"/>
      <c r="S17" s="317"/>
      <c r="T17" s="317"/>
      <c r="U17" s="317"/>
      <c r="V17" s="317"/>
      <c r="W17" s="317"/>
      <c r="X17" s="317"/>
      <c r="Y17" s="317"/>
      <c r="Z17" s="317"/>
      <c r="AA17" s="317"/>
      <c r="AB17" s="317"/>
      <c r="AC17" s="317"/>
      <c r="AD17" s="317"/>
      <c r="AE17" s="317"/>
      <c r="AF17" s="317"/>
      <c r="AG17" s="317"/>
      <c r="AH17" s="317"/>
      <c r="AI17" s="317"/>
      <c r="AJ17" s="317"/>
      <c r="AK17" s="317"/>
      <c r="AL17" s="317"/>
    </row>
  </sheetData>
  <hyperlinks>
    <hyperlink ref="A1" r:id="rId1" xr:uid="{00000000-0004-0000-2200-000000000000}"/>
    <hyperlink ref="B1" r:id="rId2" xr:uid="{00000000-0004-0000-2200-000001000000}"/>
    <hyperlink ref="J1" r:id="rId3" xr:uid="{00000000-0004-0000-2200-000002000000}"/>
    <hyperlink ref="P1" r:id="rId4" xr:uid="{00000000-0004-0000-2200-000003000000}"/>
    <hyperlink ref="R1" r:id="rId5" xr:uid="{00000000-0004-0000-2200-000004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0563C1"/>
    <outlinePr summaryBelow="0" summaryRight="0"/>
  </sheetPr>
  <dimension ref="A1:AL13"/>
  <sheetViews>
    <sheetView workbookViewId="0"/>
  </sheetViews>
  <sheetFormatPr baseColWidth="10" defaultColWidth="12.5703125" defaultRowHeight="15.75" customHeight="1"/>
  <sheetData>
    <row r="1" spans="1:38" ht="45" customHeight="1">
      <c r="A1" s="303" t="s">
        <v>12388</v>
      </c>
      <c r="B1" s="209" t="s">
        <v>12389</v>
      </c>
      <c r="C1" s="208" t="s">
        <v>8</v>
      </c>
      <c r="D1" s="304" t="s">
        <v>2192</v>
      </c>
      <c r="E1" s="208" t="s">
        <v>2191</v>
      </c>
      <c r="F1" s="208" t="s">
        <v>5</v>
      </c>
      <c r="G1" s="305" t="s">
        <v>12364</v>
      </c>
      <c r="H1" s="208" t="s">
        <v>10</v>
      </c>
      <c r="I1" s="306" t="s">
        <v>12365</v>
      </c>
      <c r="J1" s="307" t="s">
        <v>12366</v>
      </c>
      <c r="K1" s="208" t="s">
        <v>12367</v>
      </c>
      <c r="L1" s="308" t="s">
        <v>12368</v>
      </c>
      <c r="M1" s="208" t="s">
        <v>3</v>
      </c>
      <c r="N1" s="309" t="s">
        <v>12369</v>
      </c>
      <c r="O1" s="310" t="s">
        <v>12370</v>
      </c>
      <c r="P1" s="311" t="s">
        <v>12</v>
      </c>
      <c r="Q1" s="312" t="s">
        <v>13</v>
      </c>
      <c r="R1" s="312" t="s">
        <v>14</v>
      </c>
      <c r="S1" s="309" t="s">
        <v>15</v>
      </c>
      <c r="T1" s="309" t="s">
        <v>14</v>
      </c>
      <c r="U1" s="310" t="s">
        <v>12371</v>
      </c>
      <c r="V1" s="310" t="s">
        <v>12372</v>
      </c>
      <c r="W1" s="208" t="s">
        <v>12373</v>
      </c>
      <c r="X1" s="313" t="s">
        <v>12374</v>
      </c>
      <c r="Y1" s="313" t="s">
        <v>12375</v>
      </c>
      <c r="Z1" s="313" t="s">
        <v>12376</v>
      </c>
      <c r="AA1" s="208" t="s">
        <v>12377</v>
      </c>
      <c r="AB1" s="313" t="s">
        <v>12378</v>
      </c>
      <c r="AC1" s="313" t="s">
        <v>12379</v>
      </c>
    </row>
    <row r="2" spans="1:38" ht="12.75">
      <c r="A2" s="315" t="str">
        <f ca="1">IFERROR(__xludf.DUMMYFUNCTION("FILTER('GC maDMP Master Sheet'!J1:AS476,lookup(row(#REF!),if(len(#REF!),row(#REF!)),#REF!)=""6. FUNDING - nested data structure
For specifying details on funded projects."")"),"#N/A")</f>
        <v>#N/A</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row>
    <row r="3" spans="1:38" ht="12.7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row>
    <row r="4" spans="1:38" ht="12.75">
      <c r="A4" s="316"/>
      <c r="B4" s="316"/>
      <c r="C4" s="316"/>
      <c r="D4" s="316"/>
      <c r="E4" s="316"/>
      <c r="F4" s="316"/>
      <c r="G4" s="316"/>
      <c r="H4" s="316"/>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row>
    <row r="5" spans="1:38" ht="12.75">
      <c r="A5" s="316"/>
      <c r="B5" s="316"/>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row>
    <row r="6" spans="1:38" ht="12.75">
      <c r="A6" s="316"/>
      <c r="B6" s="316"/>
      <c r="C6" s="316"/>
      <c r="D6" s="316"/>
      <c r="E6" s="316"/>
      <c r="F6" s="316"/>
      <c r="G6" s="316"/>
      <c r="H6" s="316"/>
      <c r="I6" s="316"/>
      <c r="J6" s="316"/>
      <c r="K6" s="316"/>
      <c r="L6" s="316"/>
      <c r="M6" s="316"/>
      <c r="N6" s="316"/>
      <c r="O6" s="316"/>
      <c r="P6" s="316"/>
      <c r="Q6" s="316"/>
      <c r="R6" s="316"/>
      <c r="S6" s="316"/>
      <c r="T6" s="316"/>
      <c r="U6" s="316"/>
      <c r="V6" s="316"/>
      <c r="W6" s="316"/>
      <c r="X6" s="316"/>
      <c r="Y6" s="316"/>
      <c r="Z6" s="316"/>
      <c r="AA6" s="316"/>
      <c r="AB6" s="316"/>
      <c r="AC6" s="316"/>
      <c r="AD6" s="316"/>
      <c r="AE6" s="316"/>
      <c r="AF6" s="316"/>
      <c r="AG6" s="316"/>
      <c r="AH6" s="316"/>
      <c r="AI6" s="316"/>
      <c r="AJ6" s="316"/>
      <c r="AK6" s="316"/>
      <c r="AL6" s="316"/>
    </row>
    <row r="7" spans="1:38" ht="12.75">
      <c r="A7" s="316"/>
      <c r="B7" s="316"/>
      <c r="C7" s="316"/>
      <c r="D7" s="316"/>
      <c r="E7" s="316"/>
      <c r="F7" s="316"/>
      <c r="G7" s="316"/>
      <c r="H7" s="316"/>
      <c r="I7" s="316"/>
      <c r="J7" s="316"/>
      <c r="K7" s="316"/>
      <c r="L7" s="316"/>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row>
    <row r="8" spans="1:38" ht="12.75">
      <c r="A8" s="316"/>
      <c r="B8" s="316"/>
      <c r="C8" s="316"/>
      <c r="D8" s="316"/>
      <c r="E8" s="316"/>
      <c r="F8" s="316"/>
      <c r="G8" s="316"/>
      <c r="H8" s="316"/>
      <c r="I8" s="316"/>
      <c r="J8" s="316"/>
      <c r="K8" s="316"/>
      <c r="L8" s="316"/>
      <c r="M8" s="316"/>
      <c r="N8" s="316"/>
      <c r="O8" s="316"/>
      <c r="P8" s="316"/>
      <c r="Q8" s="316"/>
      <c r="R8" s="316"/>
      <c r="S8" s="316"/>
      <c r="T8" s="316"/>
      <c r="U8" s="316"/>
      <c r="V8" s="316"/>
      <c r="W8" s="316"/>
      <c r="X8" s="316"/>
      <c r="Y8" s="316"/>
      <c r="Z8" s="316"/>
      <c r="AA8" s="316"/>
      <c r="AB8" s="316"/>
      <c r="AC8" s="316"/>
      <c r="AD8" s="316"/>
      <c r="AE8" s="316"/>
      <c r="AF8" s="316"/>
      <c r="AG8" s="316"/>
      <c r="AH8" s="316"/>
      <c r="AI8" s="316"/>
      <c r="AJ8" s="316"/>
      <c r="AK8" s="316"/>
      <c r="AL8" s="316"/>
    </row>
    <row r="9" spans="1:38" ht="12.75">
      <c r="A9" s="316"/>
      <c r="B9" s="316"/>
      <c r="C9" s="316"/>
      <c r="D9" s="316"/>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row>
    <row r="10" spans="1:38" ht="12.75">
      <c r="A10" s="316"/>
      <c r="B10" s="316"/>
      <c r="C10" s="316"/>
      <c r="D10" s="316"/>
      <c r="E10" s="316"/>
      <c r="F10" s="316"/>
      <c r="G10" s="316"/>
      <c r="H10" s="316"/>
      <c r="I10" s="316"/>
      <c r="J10" s="316"/>
      <c r="K10" s="316"/>
      <c r="L10" s="316"/>
      <c r="M10" s="316"/>
      <c r="N10" s="316"/>
      <c r="O10" s="316"/>
      <c r="P10" s="316"/>
      <c r="Q10" s="316"/>
      <c r="R10" s="316"/>
      <c r="S10" s="316"/>
      <c r="T10" s="316"/>
      <c r="U10" s="316"/>
      <c r="V10" s="316"/>
      <c r="W10" s="316"/>
      <c r="X10" s="316"/>
      <c r="Y10" s="316"/>
      <c r="Z10" s="316"/>
      <c r="AA10" s="316"/>
      <c r="AB10" s="316"/>
      <c r="AC10" s="316"/>
      <c r="AD10" s="316"/>
      <c r="AE10" s="316"/>
      <c r="AF10" s="316"/>
      <c r="AG10" s="316"/>
      <c r="AH10" s="316"/>
      <c r="AI10" s="316"/>
      <c r="AJ10" s="316"/>
      <c r="AK10" s="316"/>
      <c r="AL10" s="316"/>
    </row>
    <row r="11" spans="1:38" ht="12.75">
      <c r="A11" s="316"/>
      <c r="B11" s="316"/>
      <c r="C11" s="316"/>
      <c r="D11" s="316"/>
      <c r="E11" s="316"/>
      <c r="F11" s="316"/>
      <c r="G11" s="316"/>
      <c r="H11" s="316"/>
      <c r="I11" s="316"/>
      <c r="J11" s="316"/>
      <c r="K11" s="316"/>
      <c r="L11" s="316"/>
      <c r="M11" s="316"/>
      <c r="N11" s="316"/>
      <c r="O11" s="316"/>
      <c r="P11" s="316"/>
      <c r="Q11" s="316"/>
      <c r="R11" s="316"/>
      <c r="S11" s="316"/>
      <c r="T11" s="316"/>
      <c r="U11" s="316"/>
      <c r="V11" s="316"/>
      <c r="W11" s="316"/>
      <c r="X11" s="316"/>
      <c r="Y11" s="316"/>
      <c r="Z11" s="316"/>
      <c r="AA11" s="316"/>
      <c r="AB11" s="316"/>
      <c r="AC11" s="316"/>
      <c r="AD11" s="316"/>
      <c r="AE11" s="316"/>
      <c r="AF11" s="316"/>
      <c r="AG11" s="316"/>
      <c r="AH11" s="316"/>
      <c r="AI11" s="316"/>
      <c r="AJ11" s="316"/>
      <c r="AK11" s="316"/>
      <c r="AL11" s="316"/>
    </row>
    <row r="12" spans="1:38" ht="12.75">
      <c r="A12" s="316"/>
      <c r="B12" s="316"/>
      <c r="C12" s="316"/>
      <c r="D12" s="316"/>
      <c r="E12" s="316"/>
      <c r="F12" s="316"/>
      <c r="G12" s="316"/>
      <c r="H12" s="316"/>
      <c r="I12" s="316"/>
      <c r="J12" s="316"/>
      <c r="K12" s="316"/>
      <c r="L12" s="316"/>
      <c r="M12" s="316"/>
      <c r="N12" s="316"/>
      <c r="O12" s="316"/>
      <c r="P12" s="316"/>
      <c r="Q12" s="316"/>
      <c r="R12" s="316"/>
      <c r="S12" s="316"/>
      <c r="T12" s="316"/>
      <c r="U12" s="316"/>
      <c r="V12" s="316"/>
      <c r="W12" s="316"/>
      <c r="X12" s="316"/>
      <c r="Y12" s="316"/>
      <c r="Z12" s="316"/>
      <c r="AA12" s="316"/>
      <c r="AB12" s="316"/>
      <c r="AC12" s="316"/>
      <c r="AD12" s="316"/>
      <c r="AE12" s="316"/>
      <c r="AF12" s="316"/>
      <c r="AG12" s="316"/>
      <c r="AH12" s="316"/>
      <c r="AI12" s="316"/>
      <c r="AJ12" s="316"/>
      <c r="AK12" s="316"/>
      <c r="AL12" s="316"/>
    </row>
    <row r="13" spans="1:38" ht="12.75">
      <c r="A13" s="317"/>
      <c r="B13" s="317"/>
      <c r="C13" s="317"/>
      <c r="D13" s="317"/>
      <c r="E13" s="317"/>
      <c r="F13" s="317"/>
      <c r="G13" s="317"/>
      <c r="H13" s="317"/>
      <c r="I13" s="317"/>
      <c r="J13" s="317"/>
      <c r="K13" s="317"/>
      <c r="L13" s="317"/>
      <c r="M13" s="317"/>
      <c r="N13" s="317"/>
      <c r="O13" s="317"/>
      <c r="P13" s="317"/>
      <c r="Q13" s="317"/>
      <c r="R13" s="317"/>
      <c r="S13" s="317"/>
      <c r="T13" s="317"/>
      <c r="U13" s="317"/>
      <c r="V13" s="317"/>
      <c r="W13" s="317"/>
      <c r="X13" s="317"/>
      <c r="Y13" s="317"/>
      <c r="Z13" s="317"/>
      <c r="AA13" s="317"/>
      <c r="AB13" s="317"/>
      <c r="AC13" s="317"/>
      <c r="AD13" s="317"/>
      <c r="AE13" s="317"/>
      <c r="AF13" s="317"/>
      <c r="AG13" s="317"/>
      <c r="AH13" s="317"/>
      <c r="AI13" s="317"/>
      <c r="AJ13" s="317"/>
      <c r="AK13" s="317"/>
      <c r="AL13" s="317"/>
    </row>
  </sheetData>
  <hyperlinks>
    <hyperlink ref="A1" r:id="rId1" xr:uid="{00000000-0004-0000-2300-000000000000}"/>
    <hyperlink ref="B1" r:id="rId2" xr:uid="{00000000-0004-0000-2300-000001000000}"/>
    <hyperlink ref="J1" r:id="rId3" xr:uid="{00000000-0004-0000-2300-000002000000}"/>
    <hyperlink ref="P1" r:id="rId4" xr:uid="{00000000-0004-0000-2300-000003000000}"/>
    <hyperlink ref="R1" r:id="rId5" xr:uid="{00000000-0004-0000-2300-000004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0563C1"/>
    <outlinePr summaryBelow="0" summaryRight="0"/>
  </sheetPr>
  <dimension ref="A1:AL6"/>
  <sheetViews>
    <sheetView workbookViewId="0"/>
  </sheetViews>
  <sheetFormatPr baseColWidth="10" defaultColWidth="12.5703125" defaultRowHeight="15.75" customHeight="1"/>
  <sheetData>
    <row r="1" spans="1:38" ht="45" customHeight="1">
      <c r="A1" s="303" t="s">
        <v>12390</v>
      </c>
      <c r="B1" s="209" t="s">
        <v>12391</v>
      </c>
      <c r="C1" s="208" t="s">
        <v>8</v>
      </c>
      <c r="D1" s="304" t="s">
        <v>2192</v>
      </c>
      <c r="E1" s="208" t="s">
        <v>2191</v>
      </c>
      <c r="F1" s="208" t="s">
        <v>5</v>
      </c>
      <c r="G1" s="305" t="s">
        <v>12364</v>
      </c>
      <c r="H1" s="208" t="s">
        <v>10</v>
      </c>
      <c r="I1" s="306" t="s">
        <v>12365</v>
      </c>
      <c r="J1" s="307" t="s">
        <v>12366</v>
      </c>
      <c r="K1" s="208" t="s">
        <v>12367</v>
      </c>
      <c r="L1" s="308" t="s">
        <v>12368</v>
      </c>
      <c r="M1" s="208" t="s">
        <v>3</v>
      </c>
      <c r="N1" s="309" t="s">
        <v>12369</v>
      </c>
      <c r="O1" s="310" t="s">
        <v>12370</v>
      </c>
      <c r="P1" s="311" t="s">
        <v>12</v>
      </c>
      <c r="Q1" s="312" t="s">
        <v>13</v>
      </c>
      <c r="R1" s="312" t="s">
        <v>14</v>
      </c>
      <c r="S1" s="309" t="s">
        <v>15</v>
      </c>
      <c r="T1" s="309" t="s">
        <v>14</v>
      </c>
      <c r="U1" s="310" t="s">
        <v>12371</v>
      </c>
      <c r="V1" s="310" t="s">
        <v>12372</v>
      </c>
      <c r="W1" s="208" t="s">
        <v>12373</v>
      </c>
      <c r="X1" s="313" t="s">
        <v>12374</v>
      </c>
      <c r="Y1" s="313" t="s">
        <v>12375</v>
      </c>
      <c r="Z1" s="313" t="s">
        <v>12376</v>
      </c>
      <c r="AA1" s="208" t="s">
        <v>12377</v>
      </c>
      <c r="AB1" s="313" t="s">
        <v>12378</v>
      </c>
      <c r="AC1" s="313" t="s">
        <v>12379</v>
      </c>
    </row>
    <row r="2" spans="1:38" ht="12.75">
      <c r="A2" s="315" t="str">
        <f ca="1">IFERROR(__xludf.DUMMYFUNCTION("FILTER('GC maDMP Master Sheet'!J1:AS476,lookup(row(#REF!),if(len(#REF!),row(#REF!)),#REF!)=""Cost - nested data structure
Provides a list of costs related to data management.
Providing multiple instances of a 'Cost' allows to break down costs into details"&amp;". Providing one 'Cost' instance allows to provide one aggregated sum."")"),"#N/A")</f>
        <v>#N/A</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row>
    <row r="3" spans="1:38" ht="12.7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row>
    <row r="4" spans="1:38" ht="12.75">
      <c r="A4" s="316"/>
      <c r="B4" s="316"/>
      <c r="C4" s="316"/>
      <c r="D4" s="316"/>
      <c r="E4" s="316"/>
      <c r="F4" s="316"/>
      <c r="G4" s="316"/>
      <c r="H4" s="316"/>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row>
    <row r="5" spans="1:38" ht="12.75">
      <c r="A5" s="316"/>
      <c r="B5" s="316"/>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row>
    <row r="6" spans="1:38" ht="12.75">
      <c r="A6" s="317"/>
      <c r="B6" s="317"/>
      <c r="C6" s="317"/>
      <c r="D6" s="317"/>
      <c r="E6" s="317"/>
      <c r="F6" s="317"/>
      <c r="G6" s="317"/>
      <c r="H6" s="317"/>
      <c r="I6" s="317"/>
      <c r="J6" s="317"/>
      <c r="K6" s="317"/>
      <c r="L6" s="317"/>
      <c r="M6" s="317"/>
      <c r="N6" s="317"/>
      <c r="O6" s="317"/>
      <c r="P6" s="317"/>
      <c r="Q6" s="317"/>
      <c r="R6" s="317"/>
      <c r="S6" s="317"/>
      <c r="T6" s="317"/>
      <c r="U6" s="317"/>
      <c r="V6" s="317"/>
      <c r="W6" s="317"/>
      <c r="X6" s="317"/>
      <c r="Y6" s="317"/>
      <c r="Z6" s="317"/>
      <c r="AA6" s="317"/>
      <c r="AB6" s="317"/>
      <c r="AC6" s="317"/>
      <c r="AD6" s="317"/>
      <c r="AE6" s="317"/>
      <c r="AF6" s="317"/>
      <c r="AG6" s="317"/>
      <c r="AH6" s="317"/>
      <c r="AI6" s="317"/>
      <c r="AJ6" s="317"/>
      <c r="AK6" s="317"/>
      <c r="AL6" s="317"/>
    </row>
  </sheetData>
  <hyperlinks>
    <hyperlink ref="A1" r:id="rId1" xr:uid="{00000000-0004-0000-2400-000000000000}"/>
    <hyperlink ref="B1" r:id="rId2" xr:uid="{00000000-0004-0000-2400-000001000000}"/>
    <hyperlink ref="J1" r:id="rId3" xr:uid="{00000000-0004-0000-2400-000002000000}"/>
    <hyperlink ref="P1" r:id="rId4" xr:uid="{00000000-0004-0000-2400-000003000000}"/>
    <hyperlink ref="R1" r:id="rId5" xr:uid="{00000000-0004-0000-2400-000004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0563C1"/>
    <outlinePr summaryBelow="0" summaryRight="0"/>
  </sheetPr>
  <dimension ref="A1:AL4"/>
  <sheetViews>
    <sheetView workbookViewId="0"/>
  </sheetViews>
  <sheetFormatPr baseColWidth="10" defaultColWidth="12.5703125" defaultRowHeight="15.75" customHeight="1"/>
  <sheetData>
    <row r="1" spans="1:38" ht="45" customHeight="1">
      <c r="A1" s="303" t="s">
        <v>12392</v>
      </c>
      <c r="B1" s="209" t="s">
        <v>12393</v>
      </c>
      <c r="C1" s="208" t="s">
        <v>8</v>
      </c>
      <c r="D1" s="304" t="s">
        <v>2192</v>
      </c>
      <c r="E1" s="208" t="s">
        <v>2191</v>
      </c>
      <c r="F1" s="208" t="s">
        <v>5</v>
      </c>
      <c r="G1" s="305" t="s">
        <v>12364</v>
      </c>
      <c r="H1" s="208" t="s">
        <v>10</v>
      </c>
      <c r="I1" s="306" t="s">
        <v>12365</v>
      </c>
      <c r="J1" s="307" t="s">
        <v>12366</v>
      </c>
      <c r="K1" s="208" t="s">
        <v>12367</v>
      </c>
      <c r="L1" s="308" t="s">
        <v>12368</v>
      </c>
      <c r="M1" s="208" t="s">
        <v>3</v>
      </c>
      <c r="N1" s="309" t="s">
        <v>12369</v>
      </c>
      <c r="O1" s="310" t="s">
        <v>12370</v>
      </c>
      <c r="P1" s="311" t="s">
        <v>12</v>
      </c>
      <c r="Q1" s="312" t="s">
        <v>13</v>
      </c>
      <c r="R1" s="312" t="s">
        <v>14</v>
      </c>
      <c r="S1" s="309" t="s">
        <v>15</v>
      </c>
      <c r="T1" s="309" t="s">
        <v>14</v>
      </c>
      <c r="U1" s="310" t="s">
        <v>12371</v>
      </c>
      <c r="V1" s="310" t="s">
        <v>12372</v>
      </c>
      <c r="W1" s="208" t="s">
        <v>12373</v>
      </c>
      <c r="X1" s="313" t="s">
        <v>12374</v>
      </c>
      <c r="Y1" s="313" t="s">
        <v>12375</v>
      </c>
      <c r="Z1" s="313" t="s">
        <v>12376</v>
      </c>
      <c r="AA1" s="208" t="s">
        <v>12377</v>
      </c>
      <c r="AB1" s="313" t="s">
        <v>12378</v>
      </c>
      <c r="AC1" s="313" t="s">
        <v>12379</v>
      </c>
    </row>
    <row r="2" spans="1:38" ht="12.75">
      <c r="A2" s="315" t="str">
        <f ca="1">IFERROR(__xludf.DUMMYFUNCTION("FILTER('GC maDMP Master Sheet'!J1:AS476,lookup(row(#REF!),if(len(#REF!),row(#REF!)),#REF!)=""7. LEGAL OR ETHICAL ISSUES"")"),"#N/A")</f>
        <v>#N/A</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row>
    <row r="3" spans="1:38" ht="12.7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row>
    <row r="4" spans="1:38" ht="12.75">
      <c r="A4" s="317"/>
      <c r="B4" s="317"/>
      <c r="C4" s="317"/>
      <c r="D4" s="317"/>
      <c r="E4" s="317"/>
      <c r="F4" s="317"/>
      <c r="G4" s="317"/>
      <c r="H4" s="317"/>
      <c r="I4" s="317"/>
      <c r="J4" s="317"/>
      <c r="K4" s="317"/>
      <c r="L4" s="317"/>
      <c r="M4" s="317"/>
      <c r="N4" s="317"/>
      <c r="O4" s="317"/>
      <c r="P4" s="317"/>
      <c r="Q4" s="317"/>
      <c r="R4" s="317"/>
      <c r="S4" s="317"/>
      <c r="T4" s="317"/>
      <c r="U4" s="317"/>
      <c r="V4" s="317"/>
      <c r="W4" s="317"/>
      <c r="X4" s="317"/>
      <c r="Y4" s="317"/>
      <c r="Z4" s="317"/>
      <c r="AA4" s="317"/>
      <c r="AB4" s="317"/>
      <c r="AC4" s="317"/>
      <c r="AD4" s="317"/>
      <c r="AE4" s="317"/>
      <c r="AF4" s="317"/>
      <c r="AG4" s="317"/>
      <c r="AH4" s="317"/>
      <c r="AI4" s="317"/>
      <c r="AJ4" s="317"/>
      <c r="AK4" s="317"/>
      <c r="AL4" s="317"/>
    </row>
  </sheetData>
  <hyperlinks>
    <hyperlink ref="A1" r:id="rId1" xr:uid="{00000000-0004-0000-2500-000000000000}"/>
    <hyperlink ref="B1" r:id="rId2" xr:uid="{00000000-0004-0000-2500-000001000000}"/>
    <hyperlink ref="J1" r:id="rId3" xr:uid="{00000000-0004-0000-2500-000002000000}"/>
    <hyperlink ref="P1" r:id="rId4" xr:uid="{00000000-0004-0000-2500-000003000000}"/>
    <hyperlink ref="R1" r:id="rId5" xr:uid="{00000000-0004-0000-2500-000004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0563C1"/>
    <outlinePr summaryBelow="0" summaryRight="0"/>
  </sheetPr>
  <dimension ref="A1:AL20"/>
  <sheetViews>
    <sheetView workbookViewId="0"/>
  </sheetViews>
  <sheetFormatPr baseColWidth="10" defaultColWidth="12.5703125" defaultRowHeight="15.75" customHeight="1"/>
  <sheetData>
    <row r="1" spans="1:38" ht="45" customHeight="1">
      <c r="A1" s="303" t="s">
        <v>12394</v>
      </c>
      <c r="B1" s="209" t="s">
        <v>12395</v>
      </c>
      <c r="C1" s="208" t="s">
        <v>8</v>
      </c>
      <c r="D1" s="304" t="s">
        <v>2192</v>
      </c>
      <c r="E1" s="208" t="s">
        <v>2191</v>
      </c>
      <c r="F1" s="208" t="s">
        <v>5</v>
      </c>
      <c r="G1" s="305" t="s">
        <v>12364</v>
      </c>
      <c r="H1" s="208" t="s">
        <v>10</v>
      </c>
      <c r="I1" s="306" t="s">
        <v>12365</v>
      </c>
      <c r="J1" s="307" t="s">
        <v>12366</v>
      </c>
      <c r="K1" s="208" t="s">
        <v>12367</v>
      </c>
      <c r="L1" s="308" t="s">
        <v>12368</v>
      </c>
      <c r="M1" s="208" t="s">
        <v>3</v>
      </c>
      <c r="N1" s="309" t="s">
        <v>12369</v>
      </c>
      <c r="O1" s="310" t="s">
        <v>12370</v>
      </c>
      <c r="P1" s="311" t="s">
        <v>12</v>
      </c>
      <c r="Q1" s="312" t="s">
        <v>13</v>
      </c>
      <c r="R1" s="312" t="s">
        <v>14</v>
      </c>
      <c r="S1" s="309" t="s">
        <v>15</v>
      </c>
      <c r="T1" s="309" t="s">
        <v>14</v>
      </c>
      <c r="U1" s="310" t="s">
        <v>12371</v>
      </c>
      <c r="V1" s="310" t="s">
        <v>12372</v>
      </c>
      <c r="W1" s="208" t="s">
        <v>12373</v>
      </c>
      <c r="X1" s="313" t="s">
        <v>12374</v>
      </c>
      <c r="Y1" s="313" t="s">
        <v>12375</v>
      </c>
      <c r="Z1" s="313" t="s">
        <v>12376</v>
      </c>
      <c r="AA1" s="208" t="s">
        <v>12377</v>
      </c>
      <c r="AB1" s="313" t="s">
        <v>12378</v>
      </c>
      <c r="AC1" s="313" t="s">
        <v>12379</v>
      </c>
    </row>
    <row r="2" spans="1:38" ht="12.75">
      <c r="A2" s="315" t="str">
        <f ca="1">IFERROR(__xludf.DUMMYFUNCTION("FILTER('GC maDMP Master Sheet'!J1:AS476,lookup(row(#REF!),if(len(#REF!),row(#REF!)),#REF!)=""Indigenous considerations
Other sections may contain information relevant to indigenous considerations. In addition, some controlled vocabularies may contain sele"&amp;"ctions that are specific to Indigenous considerations (e.g., language). 
"")"),"#N/A")</f>
        <v>#N/A</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row>
    <row r="3" spans="1:38" ht="12.7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row>
    <row r="4" spans="1:38" ht="12.75">
      <c r="A4" s="316"/>
      <c r="B4" s="316"/>
      <c r="C4" s="316"/>
      <c r="D4" s="316"/>
      <c r="E4" s="316"/>
      <c r="F4" s="316"/>
      <c r="G4" s="316"/>
      <c r="H4" s="316"/>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row>
    <row r="5" spans="1:38" ht="12.75">
      <c r="A5" s="316"/>
      <c r="B5" s="316"/>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row>
    <row r="6" spans="1:38" ht="12.75">
      <c r="A6" s="316"/>
      <c r="B6" s="316"/>
      <c r="C6" s="316"/>
      <c r="D6" s="316"/>
      <c r="E6" s="316"/>
      <c r="F6" s="316"/>
      <c r="G6" s="316"/>
      <c r="H6" s="316"/>
      <c r="I6" s="316"/>
      <c r="J6" s="316"/>
      <c r="K6" s="316"/>
      <c r="L6" s="316"/>
      <c r="M6" s="316"/>
      <c r="N6" s="316"/>
      <c r="O6" s="316"/>
      <c r="P6" s="316"/>
      <c r="Q6" s="316"/>
      <c r="R6" s="316"/>
      <c r="S6" s="316"/>
      <c r="T6" s="316"/>
      <c r="U6" s="316"/>
      <c r="V6" s="316"/>
      <c r="W6" s="316"/>
      <c r="X6" s="316"/>
      <c r="Y6" s="316"/>
      <c r="Z6" s="316"/>
      <c r="AA6" s="316"/>
      <c r="AB6" s="316"/>
      <c r="AC6" s="316"/>
      <c r="AD6" s="316"/>
      <c r="AE6" s="316"/>
      <c r="AF6" s="316"/>
      <c r="AG6" s="316"/>
      <c r="AH6" s="316"/>
      <c r="AI6" s="316"/>
      <c r="AJ6" s="316"/>
      <c r="AK6" s="316"/>
      <c r="AL6" s="316"/>
    </row>
    <row r="7" spans="1:38" ht="12.75">
      <c r="A7" s="316"/>
      <c r="B7" s="316"/>
      <c r="C7" s="316"/>
      <c r="D7" s="316"/>
      <c r="E7" s="316"/>
      <c r="F7" s="316"/>
      <c r="G7" s="316"/>
      <c r="H7" s="316"/>
      <c r="I7" s="316"/>
      <c r="J7" s="316"/>
      <c r="K7" s="316"/>
      <c r="L7" s="316"/>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row>
    <row r="8" spans="1:38" ht="12.75">
      <c r="A8" s="316"/>
      <c r="B8" s="316"/>
      <c r="C8" s="316"/>
      <c r="D8" s="316"/>
      <c r="E8" s="316"/>
      <c r="F8" s="316"/>
      <c r="G8" s="316"/>
      <c r="H8" s="316"/>
      <c r="I8" s="316"/>
      <c r="J8" s="316"/>
      <c r="K8" s="316"/>
      <c r="L8" s="316"/>
      <c r="M8" s="316"/>
      <c r="N8" s="316"/>
      <c r="O8" s="316"/>
      <c r="P8" s="316"/>
      <c r="Q8" s="316"/>
      <c r="R8" s="316"/>
      <c r="S8" s="316"/>
      <c r="T8" s="316"/>
      <c r="U8" s="316"/>
      <c r="V8" s="316"/>
      <c r="W8" s="316"/>
      <c r="X8" s="316"/>
      <c r="Y8" s="316"/>
      <c r="Z8" s="316"/>
      <c r="AA8" s="316"/>
      <c r="AB8" s="316"/>
      <c r="AC8" s="316"/>
      <c r="AD8" s="316"/>
      <c r="AE8" s="316"/>
      <c r="AF8" s="316"/>
      <c r="AG8" s="316"/>
      <c r="AH8" s="316"/>
      <c r="AI8" s="316"/>
      <c r="AJ8" s="316"/>
      <c r="AK8" s="316"/>
      <c r="AL8" s="316"/>
    </row>
    <row r="9" spans="1:38" ht="12.75">
      <c r="A9" s="316"/>
      <c r="B9" s="316"/>
      <c r="C9" s="316"/>
      <c r="D9" s="316"/>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row>
    <row r="10" spans="1:38" ht="12.75">
      <c r="A10" s="316"/>
      <c r="B10" s="316"/>
      <c r="C10" s="316"/>
      <c r="D10" s="316"/>
      <c r="E10" s="316"/>
      <c r="F10" s="316"/>
      <c r="G10" s="316"/>
      <c r="H10" s="316"/>
      <c r="I10" s="316"/>
      <c r="J10" s="316"/>
      <c r="K10" s="316"/>
      <c r="L10" s="316"/>
      <c r="M10" s="316"/>
      <c r="N10" s="316"/>
      <c r="O10" s="316"/>
      <c r="P10" s="316"/>
      <c r="Q10" s="316"/>
      <c r="R10" s="316"/>
      <c r="S10" s="316"/>
      <c r="T10" s="316"/>
      <c r="U10" s="316"/>
      <c r="V10" s="316"/>
      <c r="W10" s="316"/>
      <c r="X10" s="316"/>
      <c r="Y10" s="316"/>
      <c r="Z10" s="316"/>
      <c r="AA10" s="316"/>
      <c r="AB10" s="316"/>
      <c r="AC10" s="316"/>
      <c r="AD10" s="316"/>
      <c r="AE10" s="316"/>
      <c r="AF10" s="316"/>
      <c r="AG10" s="316"/>
      <c r="AH10" s="316"/>
      <c r="AI10" s="316"/>
      <c r="AJ10" s="316"/>
      <c r="AK10" s="316"/>
      <c r="AL10" s="316"/>
    </row>
    <row r="11" spans="1:38" ht="12.75">
      <c r="A11" s="316"/>
      <c r="B11" s="316"/>
      <c r="C11" s="316"/>
      <c r="D11" s="316"/>
      <c r="E11" s="316"/>
      <c r="F11" s="316"/>
      <c r="G11" s="316"/>
      <c r="H11" s="316"/>
      <c r="I11" s="316"/>
      <c r="J11" s="316"/>
      <c r="K11" s="316"/>
      <c r="L11" s="316"/>
      <c r="M11" s="316"/>
      <c r="N11" s="316"/>
      <c r="O11" s="316"/>
      <c r="P11" s="316"/>
      <c r="Q11" s="316"/>
      <c r="R11" s="316"/>
      <c r="S11" s="316"/>
      <c r="T11" s="316"/>
      <c r="U11" s="316"/>
      <c r="V11" s="316"/>
      <c r="W11" s="316"/>
      <c r="X11" s="316"/>
      <c r="Y11" s="316"/>
      <c r="Z11" s="316"/>
      <c r="AA11" s="316"/>
      <c r="AB11" s="316"/>
      <c r="AC11" s="316"/>
      <c r="AD11" s="316"/>
      <c r="AE11" s="316"/>
      <c r="AF11" s="316"/>
      <c r="AG11" s="316"/>
      <c r="AH11" s="316"/>
      <c r="AI11" s="316"/>
      <c r="AJ11" s="316"/>
      <c r="AK11" s="316"/>
      <c r="AL11" s="316"/>
    </row>
    <row r="12" spans="1:38" ht="12.75">
      <c r="A12" s="316"/>
      <c r="B12" s="316"/>
      <c r="C12" s="316"/>
      <c r="D12" s="316"/>
      <c r="E12" s="316"/>
      <c r="F12" s="316"/>
      <c r="G12" s="316"/>
      <c r="H12" s="316"/>
      <c r="I12" s="316"/>
      <c r="J12" s="316"/>
      <c r="K12" s="316"/>
      <c r="L12" s="316"/>
      <c r="M12" s="316"/>
      <c r="N12" s="316"/>
      <c r="O12" s="316"/>
      <c r="P12" s="316"/>
      <c r="Q12" s="316"/>
      <c r="R12" s="316"/>
      <c r="S12" s="316"/>
      <c r="T12" s="316"/>
      <c r="U12" s="316"/>
      <c r="V12" s="316"/>
      <c r="W12" s="316"/>
      <c r="X12" s="316"/>
      <c r="Y12" s="316"/>
      <c r="Z12" s="316"/>
      <c r="AA12" s="316"/>
      <c r="AB12" s="316"/>
      <c r="AC12" s="316"/>
      <c r="AD12" s="316"/>
      <c r="AE12" s="316"/>
      <c r="AF12" s="316"/>
      <c r="AG12" s="316"/>
      <c r="AH12" s="316"/>
      <c r="AI12" s="316"/>
      <c r="AJ12" s="316"/>
      <c r="AK12" s="316"/>
      <c r="AL12" s="316"/>
    </row>
    <row r="13" spans="1:38" ht="12.75">
      <c r="A13" s="316"/>
      <c r="B13" s="316"/>
      <c r="C13" s="316"/>
      <c r="D13" s="316"/>
      <c r="E13" s="316"/>
      <c r="F13" s="316"/>
      <c r="G13" s="316"/>
      <c r="H13" s="316"/>
      <c r="I13" s="316"/>
      <c r="J13" s="316"/>
      <c r="K13" s="316"/>
      <c r="L13" s="316"/>
      <c r="M13" s="316"/>
      <c r="N13" s="316"/>
      <c r="O13" s="316"/>
      <c r="P13" s="316"/>
      <c r="Q13" s="316"/>
      <c r="R13" s="316"/>
      <c r="S13" s="316"/>
      <c r="T13" s="316"/>
      <c r="U13" s="316"/>
      <c r="V13" s="316"/>
      <c r="W13" s="316"/>
      <c r="X13" s="316"/>
      <c r="Y13" s="316"/>
      <c r="Z13" s="316"/>
      <c r="AA13" s="316"/>
      <c r="AB13" s="316"/>
      <c r="AC13" s="316"/>
      <c r="AD13" s="316"/>
      <c r="AE13" s="316"/>
      <c r="AF13" s="316"/>
      <c r="AG13" s="316"/>
      <c r="AH13" s="316"/>
      <c r="AI13" s="316"/>
      <c r="AJ13" s="316"/>
      <c r="AK13" s="316"/>
      <c r="AL13" s="316"/>
    </row>
    <row r="14" spans="1:38" ht="12.75">
      <c r="A14" s="316"/>
      <c r="B14" s="316"/>
      <c r="C14" s="316"/>
      <c r="D14" s="316"/>
      <c r="E14" s="316"/>
      <c r="F14" s="316"/>
      <c r="G14" s="316"/>
      <c r="H14" s="316"/>
      <c r="I14" s="316"/>
      <c r="J14" s="316"/>
      <c r="K14" s="316"/>
      <c r="L14" s="316"/>
      <c r="M14" s="316"/>
      <c r="N14" s="316"/>
      <c r="O14" s="316"/>
      <c r="P14" s="316"/>
      <c r="Q14" s="316"/>
      <c r="R14" s="316"/>
      <c r="S14" s="316"/>
      <c r="T14" s="316"/>
      <c r="U14" s="316"/>
      <c r="V14" s="316"/>
      <c r="W14" s="316"/>
      <c r="X14" s="316"/>
      <c r="Y14" s="316"/>
      <c r="Z14" s="316"/>
      <c r="AA14" s="316"/>
      <c r="AB14" s="316"/>
      <c r="AC14" s="316"/>
      <c r="AD14" s="316"/>
      <c r="AE14" s="316"/>
      <c r="AF14" s="316"/>
      <c r="AG14" s="316"/>
      <c r="AH14" s="316"/>
      <c r="AI14" s="316"/>
      <c r="AJ14" s="316"/>
      <c r="AK14" s="316"/>
      <c r="AL14" s="316"/>
    </row>
    <row r="15" spans="1:38" ht="12.75">
      <c r="A15" s="316"/>
      <c r="B15" s="316"/>
      <c r="C15" s="316"/>
      <c r="D15" s="316"/>
      <c r="E15" s="316"/>
      <c r="F15" s="316"/>
      <c r="G15" s="316"/>
      <c r="H15" s="316"/>
      <c r="I15" s="316"/>
      <c r="J15" s="316"/>
      <c r="K15" s="316"/>
      <c r="L15" s="316"/>
      <c r="M15" s="316"/>
      <c r="N15" s="316"/>
      <c r="O15" s="316"/>
      <c r="P15" s="316"/>
      <c r="Q15" s="316"/>
      <c r="R15" s="316"/>
      <c r="S15" s="316"/>
      <c r="T15" s="316"/>
      <c r="U15" s="316"/>
      <c r="V15" s="316"/>
      <c r="W15" s="316"/>
      <c r="X15" s="316"/>
      <c r="Y15" s="316"/>
      <c r="Z15" s="316"/>
      <c r="AA15" s="316"/>
      <c r="AB15" s="316"/>
      <c r="AC15" s="316"/>
      <c r="AD15" s="316"/>
      <c r="AE15" s="316"/>
      <c r="AF15" s="316"/>
      <c r="AG15" s="316"/>
      <c r="AH15" s="316"/>
      <c r="AI15" s="316"/>
      <c r="AJ15" s="316"/>
      <c r="AK15" s="316"/>
      <c r="AL15" s="316"/>
    </row>
    <row r="16" spans="1:38" ht="12.75">
      <c r="A16" s="316"/>
      <c r="B16" s="316"/>
      <c r="C16" s="316"/>
      <c r="D16" s="316"/>
      <c r="E16" s="316"/>
      <c r="F16" s="316"/>
      <c r="G16" s="316"/>
      <c r="H16" s="316"/>
      <c r="I16" s="316"/>
      <c r="J16" s="316"/>
      <c r="K16" s="316"/>
      <c r="L16" s="316"/>
      <c r="M16" s="316"/>
      <c r="N16" s="316"/>
      <c r="O16" s="316"/>
      <c r="P16" s="316"/>
      <c r="Q16" s="316"/>
      <c r="R16" s="316"/>
      <c r="S16" s="316"/>
      <c r="T16" s="316"/>
      <c r="U16" s="316"/>
      <c r="V16" s="316"/>
      <c r="W16" s="316"/>
      <c r="X16" s="316"/>
      <c r="Y16" s="316"/>
      <c r="Z16" s="316"/>
      <c r="AA16" s="316"/>
      <c r="AB16" s="316"/>
      <c r="AC16" s="316"/>
      <c r="AD16" s="316"/>
      <c r="AE16" s="316"/>
      <c r="AF16" s="316"/>
      <c r="AG16" s="316"/>
      <c r="AH16" s="316"/>
      <c r="AI16" s="316"/>
      <c r="AJ16" s="316"/>
      <c r="AK16" s="316"/>
      <c r="AL16" s="316"/>
    </row>
    <row r="17" spans="1:38" ht="12.75">
      <c r="A17" s="316"/>
      <c r="B17" s="316"/>
      <c r="C17" s="316"/>
      <c r="D17" s="316"/>
      <c r="E17" s="316"/>
      <c r="F17" s="316"/>
      <c r="G17" s="316"/>
      <c r="H17" s="316"/>
      <c r="I17" s="316"/>
      <c r="J17" s="316"/>
      <c r="K17" s="316"/>
      <c r="L17" s="316"/>
      <c r="M17" s="316"/>
      <c r="N17" s="316"/>
      <c r="O17" s="316"/>
      <c r="P17" s="316"/>
      <c r="Q17" s="316"/>
      <c r="R17" s="316"/>
      <c r="S17" s="316"/>
      <c r="T17" s="316"/>
      <c r="U17" s="316"/>
      <c r="V17" s="316"/>
      <c r="W17" s="316"/>
      <c r="X17" s="316"/>
      <c r="Y17" s="316"/>
      <c r="Z17" s="316"/>
      <c r="AA17" s="316"/>
      <c r="AB17" s="316"/>
      <c r="AC17" s="316"/>
      <c r="AD17" s="316"/>
      <c r="AE17" s="316"/>
      <c r="AF17" s="316"/>
      <c r="AG17" s="316"/>
      <c r="AH17" s="316"/>
      <c r="AI17" s="316"/>
      <c r="AJ17" s="316"/>
      <c r="AK17" s="316"/>
      <c r="AL17" s="316"/>
    </row>
    <row r="18" spans="1:38" ht="12.75">
      <c r="A18" s="316"/>
      <c r="B18" s="316"/>
      <c r="C18" s="316"/>
      <c r="D18" s="316"/>
      <c r="E18" s="316"/>
      <c r="F18" s="316"/>
      <c r="G18" s="316"/>
      <c r="H18" s="316"/>
      <c r="I18" s="316"/>
      <c r="J18" s="316"/>
      <c r="K18" s="316"/>
      <c r="L18" s="316"/>
      <c r="M18" s="316"/>
      <c r="N18" s="316"/>
      <c r="O18" s="316"/>
      <c r="P18" s="316"/>
      <c r="Q18" s="316"/>
      <c r="R18" s="316"/>
      <c r="S18" s="316"/>
      <c r="T18" s="316"/>
      <c r="U18" s="316"/>
      <c r="V18" s="316"/>
      <c r="W18" s="316"/>
      <c r="X18" s="316"/>
      <c r="Y18" s="316"/>
      <c r="Z18" s="316"/>
      <c r="AA18" s="316"/>
      <c r="AB18" s="316"/>
      <c r="AC18" s="316"/>
      <c r="AD18" s="316"/>
      <c r="AE18" s="316"/>
      <c r="AF18" s="316"/>
      <c r="AG18" s="316"/>
      <c r="AH18" s="316"/>
      <c r="AI18" s="316"/>
      <c r="AJ18" s="316"/>
      <c r="AK18" s="316"/>
      <c r="AL18" s="316"/>
    </row>
    <row r="19" spans="1:38" ht="12.75">
      <c r="A19" s="316"/>
      <c r="B19" s="316"/>
      <c r="C19" s="316"/>
      <c r="D19" s="316"/>
      <c r="E19" s="316"/>
      <c r="F19" s="316"/>
      <c r="G19" s="316"/>
      <c r="H19" s="316"/>
      <c r="I19" s="316"/>
      <c r="J19" s="316"/>
      <c r="K19" s="316"/>
      <c r="L19" s="316"/>
      <c r="M19" s="316"/>
      <c r="N19" s="316"/>
      <c r="O19" s="316"/>
      <c r="P19" s="316"/>
      <c r="Q19" s="316"/>
      <c r="R19" s="316"/>
      <c r="S19" s="316"/>
      <c r="T19" s="316"/>
      <c r="U19" s="316"/>
      <c r="V19" s="316"/>
      <c r="W19" s="316"/>
      <c r="X19" s="316"/>
      <c r="Y19" s="316"/>
      <c r="Z19" s="316"/>
      <c r="AA19" s="316"/>
      <c r="AB19" s="316"/>
      <c r="AC19" s="316"/>
      <c r="AD19" s="316"/>
      <c r="AE19" s="316"/>
      <c r="AF19" s="316"/>
      <c r="AG19" s="316"/>
      <c r="AH19" s="316"/>
      <c r="AI19" s="316"/>
      <c r="AJ19" s="316"/>
      <c r="AK19" s="316"/>
      <c r="AL19" s="316"/>
    </row>
    <row r="20" spans="1:38" ht="12.75">
      <c r="A20" s="317"/>
      <c r="B20" s="317"/>
      <c r="C20" s="317"/>
      <c r="D20" s="317"/>
      <c r="E20" s="317"/>
      <c r="F20" s="317"/>
      <c r="G20" s="317"/>
      <c r="H20" s="317"/>
      <c r="I20" s="317"/>
      <c r="J20" s="317"/>
      <c r="K20" s="317"/>
      <c r="L20" s="317"/>
      <c r="M20" s="317"/>
      <c r="N20" s="317"/>
      <c r="O20" s="317"/>
      <c r="P20" s="317"/>
      <c r="Q20" s="317"/>
      <c r="R20" s="317"/>
      <c r="S20" s="317"/>
      <c r="T20" s="317"/>
      <c r="U20" s="317"/>
      <c r="V20" s="317"/>
      <c r="W20" s="317"/>
      <c r="X20" s="317"/>
      <c r="Y20" s="317"/>
      <c r="Z20" s="317"/>
      <c r="AA20" s="317"/>
      <c r="AB20" s="317"/>
      <c r="AC20" s="317"/>
      <c r="AD20" s="317"/>
      <c r="AE20" s="317"/>
      <c r="AF20" s="317"/>
      <c r="AG20" s="317"/>
      <c r="AH20" s="317"/>
      <c r="AI20" s="317"/>
      <c r="AJ20" s="317"/>
      <c r="AK20" s="317"/>
      <c r="AL20" s="317"/>
    </row>
  </sheetData>
  <hyperlinks>
    <hyperlink ref="A1" r:id="rId1" xr:uid="{00000000-0004-0000-2600-000000000000}"/>
    <hyperlink ref="B1" r:id="rId2" xr:uid="{00000000-0004-0000-2600-000001000000}"/>
    <hyperlink ref="J1" r:id="rId3" xr:uid="{00000000-0004-0000-2600-000002000000}"/>
    <hyperlink ref="P1" r:id="rId4" xr:uid="{00000000-0004-0000-2600-000003000000}"/>
    <hyperlink ref="R1" r:id="rId5" xr:uid="{00000000-0004-0000-2600-000004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0563C1"/>
    <outlinePr summaryBelow="0" summaryRight="0"/>
  </sheetPr>
  <dimension ref="A1:AL16"/>
  <sheetViews>
    <sheetView workbookViewId="0"/>
  </sheetViews>
  <sheetFormatPr baseColWidth="10" defaultColWidth="12.5703125" defaultRowHeight="15.75" customHeight="1"/>
  <sheetData>
    <row r="1" spans="1:38" ht="45" customHeight="1">
      <c r="A1" s="303" t="s">
        <v>12396</v>
      </c>
      <c r="B1" s="209" t="s">
        <v>12397</v>
      </c>
      <c r="C1" s="208" t="s">
        <v>8</v>
      </c>
      <c r="D1" s="304" t="s">
        <v>2192</v>
      </c>
      <c r="E1" s="208" t="s">
        <v>2191</v>
      </c>
      <c r="F1" s="208" t="s">
        <v>5</v>
      </c>
      <c r="G1" s="305" t="s">
        <v>12364</v>
      </c>
      <c r="H1" s="208" t="s">
        <v>10</v>
      </c>
      <c r="I1" s="306" t="s">
        <v>12365</v>
      </c>
      <c r="J1" s="307" t="s">
        <v>12366</v>
      </c>
      <c r="K1" s="208" t="s">
        <v>12367</v>
      </c>
      <c r="L1" s="308" t="s">
        <v>12368</v>
      </c>
      <c r="M1" s="208" t="s">
        <v>3</v>
      </c>
      <c r="N1" s="309" t="s">
        <v>12369</v>
      </c>
      <c r="O1" s="310" t="s">
        <v>12370</v>
      </c>
      <c r="P1" s="311" t="s">
        <v>12</v>
      </c>
      <c r="Q1" s="312" t="s">
        <v>13</v>
      </c>
      <c r="R1" s="312" t="s">
        <v>14</v>
      </c>
      <c r="S1" s="309" t="s">
        <v>15</v>
      </c>
      <c r="T1" s="309" t="s">
        <v>14</v>
      </c>
      <c r="U1" s="310" t="s">
        <v>12371</v>
      </c>
      <c r="V1" s="310" t="s">
        <v>12372</v>
      </c>
      <c r="W1" s="208" t="s">
        <v>12373</v>
      </c>
      <c r="X1" s="313" t="s">
        <v>12374</v>
      </c>
      <c r="Y1" s="313" t="s">
        <v>12375</v>
      </c>
      <c r="Z1" s="313" t="s">
        <v>12376</v>
      </c>
      <c r="AA1" s="208" t="s">
        <v>12377</v>
      </c>
      <c r="AB1" s="313" t="s">
        <v>12378</v>
      </c>
      <c r="AC1" s="313" t="s">
        <v>12379</v>
      </c>
    </row>
    <row r="2" spans="1:38" ht="12.75">
      <c r="A2" s="315" t="str">
        <f ca="1">IFERROR(__xludf.DUMMYFUNCTION("FILTER('GC maDMP Master Sheet'!J1:AS476,lookup(row(#REF!),if(len(#REF!),row(#REF!)),#REF!)=""Security and Privacy
Used to indicate any specific requirements related to security and privacy of a specific dataset, e.g. to indicate that data is not anonymize"&amp;"d."")"),"#N/A")</f>
        <v>#N/A</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row>
    <row r="3" spans="1:38" ht="12.7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row>
    <row r="4" spans="1:38" ht="12.75">
      <c r="A4" s="316"/>
      <c r="B4" s="316"/>
      <c r="C4" s="316"/>
      <c r="D4" s="316"/>
      <c r="E4" s="316"/>
      <c r="F4" s="316"/>
      <c r="G4" s="316"/>
      <c r="H4" s="316"/>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row>
    <row r="5" spans="1:38" ht="12.75">
      <c r="A5" s="316"/>
      <c r="B5" s="316"/>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row>
    <row r="6" spans="1:38" ht="12.75">
      <c r="A6" s="316"/>
      <c r="B6" s="316"/>
      <c r="C6" s="316"/>
      <c r="D6" s="316"/>
      <c r="E6" s="316"/>
      <c r="F6" s="316"/>
      <c r="G6" s="316"/>
      <c r="H6" s="316"/>
      <c r="I6" s="316"/>
      <c r="J6" s="316"/>
      <c r="K6" s="316"/>
      <c r="L6" s="316"/>
      <c r="M6" s="316"/>
      <c r="N6" s="316"/>
      <c r="O6" s="316"/>
      <c r="P6" s="316"/>
      <c r="Q6" s="316"/>
      <c r="R6" s="316"/>
      <c r="S6" s="316"/>
      <c r="T6" s="316"/>
      <c r="U6" s="316"/>
      <c r="V6" s="316"/>
      <c r="W6" s="316"/>
      <c r="X6" s="316"/>
      <c r="Y6" s="316"/>
      <c r="Z6" s="316"/>
      <c r="AA6" s="316"/>
      <c r="AB6" s="316"/>
      <c r="AC6" s="316"/>
      <c r="AD6" s="316"/>
      <c r="AE6" s="316"/>
      <c r="AF6" s="316"/>
      <c r="AG6" s="316"/>
      <c r="AH6" s="316"/>
      <c r="AI6" s="316"/>
      <c r="AJ6" s="316"/>
      <c r="AK6" s="316"/>
      <c r="AL6" s="316"/>
    </row>
    <row r="7" spans="1:38" ht="12.75">
      <c r="A7" s="316"/>
      <c r="B7" s="316"/>
      <c r="C7" s="316"/>
      <c r="D7" s="316"/>
      <c r="E7" s="316"/>
      <c r="F7" s="316"/>
      <c r="G7" s="316"/>
      <c r="H7" s="316"/>
      <c r="I7" s="316"/>
      <c r="J7" s="316"/>
      <c r="K7" s="316"/>
      <c r="L7" s="316"/>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row>
    <row r="8" spans="1:38" ht="12.75">
      <c r="A8" s="316"/>
      <c r="B8" s="316"/>
      <c r="C8" s="316"/>
      <c r="D8" s="316"/>
      <c r="E8" s="316"/>
      <c r="F8" s="316"/>
      <c r="G8" s="316"/>
      <c r="H8" s="316"/>
      <c r="I8" s="316"/>
      <c r="J8" s="316"/>
      <c r="K8" s="316"/>
      <c r="L8" s="316"/>
      <c r="M8" s="316"/>
      <c r="N8" s="316"/>
      <c r="O8" s="316"/>
      <c r="P8" s="316"/>
      <c r="Q8" s="316"/>
      <c r="R8" s="316"/>
      <c r="S8" s="316"/>
      <c r="T8" s="316"/>
      <c r="U8" s="316"/>
      <c r="V8" s="316"/>
      <c r="W8" s="316"/>
      <c r="X8" s="316"/>
      <c r="Y8" s="316"/>
      <c r="Z8" s="316"/>
      <c r="AA8" s="316"/>
      <c r="AB8" s="316"/>
      <c r="AC8" s="316"/>
      <c r="AD8" s="316"/>
      <c r="AE8" s="316"/>
      <c r="AF8" s="316"/>
      <c r="AG8" s="316"/>
      <c r="AH8" s="316"/>
      <c r="AI8" s="316"/>
      <c r="AJ8" s="316"/>
      <c r="AK8" s="316"/>
      <c r="AL8" s="316"/>
    </row>
    <row r="9" spans="1:38" ht="12.75">
      <c r="A9" s="316"/>
      <c r="B9" s="316"/>
      <c r="C9" s="316"/>
      <c r="D9" s="316"/>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row>
    <row r="10" spans="1:38" ht="12.75">
      <c r="A10" s="316"/>
      <c r="B10" s="316"/>
      <c r="C10" s="316"/>
      <c r="D10" s="316"/>
      <c r="E10" s="316"/>
      <c r="F10" s="316"/>
      <c r="G10" s="316"/>
      <c r="H10" s="316"/>
      <c r="I10" s="316"/>
      <c r="J10" s="316"/>
      <c r="K10" s="316"/>
      <c r="L10" s="316"/>
      <c r="M10" s="316"/>
      <c r="N10" s="316"/>
      <c r="O10" s="316"/>
      <c r="P10" s="316"/>
      <c r="Q10" s="316"/>
      <c r="R10" s="316"/>
      <c r="S10" s="316"/>
      <c r="T10" s="316"/>
      <c r="U10" s="316"/>
      <c r="V10" s="316"/>
      <c r="W10" s="316"/>
      <c r="X10" s="316"/>
      <c r="Y10" s="316"/>
      <c r="Z10" s="316"/>
      <c r="AA10" s="316"/>
      <c r="AB10" s="316"/>
      <c r="AC10" s="316"/>
      <c r="AD10" s="316"/>
      <c r="AE10" s="316"/>
      <c r="AF10" s="316"/>
      <c r="AG10" s="316"/>
      <c r="AH10" s="316"/>
      <c r="AI10" s="316"/>
      <c r="AJ10" s="316"/>
      <c r="AK10" s="316"/>
      <c r="AL10" s="316"/>
    </row>
    <row r="11" spans="1:38" ht="12.75">
      <c r="A11" s="316"/>
      <c r="B11" s="316"/>
      <c r="C11" s="316"/>
      <c r="D11" s="316"/>
      <c r="E11" s="316"/>
      <c r="F11" s="316"/>
      <c r="G11" s="316"/>
      <c r="H11" s="316"/>
      <c r="I11" s="316"/>
      <c r="J11" s="316"/>
      <c r="K11" s="316"/>
      <c r="L11" s="316"/>
      <c r="M11" s="316"/>
      <c r="N11" s="316"/>
      <c r="O11" s="316"/>
      <c r="P11" s="316"/>
      <c r="Q11" s="316"/>
      <c r="R11" s="316"/>
      <c r="S11" s="316"/>
      <c r="T11" s="316"/>
      <c r="U11" s="316"/>
      <c r="V11" s="316"/>
      <c r="W11" s="316"/>
      <c r="X11" s="316"/>
      <c r="Y11" s="316"/>
      <c r="Z11" s="316"/>
      <c r="AA11" s="316"/>
      <c r="AB11" s="316"/>
      <c r="AC11" s="316"/>
      <c r="AD11" s="316"/>
      <c r="AE11" s="316"/>
      <c r="AF11" s="316"/>
      <c r="AG11" s="316"/>
      <c r="AH11" s="316"/>
      <c r="AI11" s="316"/>
      <c r="AJ11" s="316"/>
      <c r="AK11" s="316"/>
      <c r="AL11" s="316"/>
    </row>
    <row r="12" spans="1:38" ht="12.75">
      <c r="A12" s="316"/>
      <c r="B12" s="316"/>
      <c r="C12" s="316"/>
      <c r="D12" s="316"/>
      <c r="E12" s="316"/>
      <c r="F12" s="316"/>
      <c r="G12" s="316"/>
      <c r="H12" s="316"/>
      <c r="I12" s="316"/>
      <c r="J12" s="316"/>
      <c r="K12" s="316"/>
      <c r="L12" s="316"/>
      <c r="M12" s="316"/>
      <c r="N12" s="316"/>
      <c r="O12" s="316"/>
      <c r="P12" s="316"/>
      <c r="Q12" s="316"/>
      <c r="R12" s="316"/>
      <c r="S12" s="316"/>
      <c r="T12" s="316"/>
      <c r="U12" s="316"/>
      <c r="V12" s="316"/>
      <c r="W12" s="316"/>
      <c r="X12" s="316"/>
      <c r="Y12" s="316"/>
      <c r="Z12" s="316"/>
      <c r="AA12" s="316"/>
      <c r="AB12" s="316"/>
      <c r="AC12" s="316"/>
      <c r="AD12" s="316"/>
      <c r="AE12" s="316"/>
      <c r="AF12" s="316"/>
      <c r="AG12" s="316"/>
      <c r="AH12" s="316"/>
      <c r="AI12" s="316"/>
      <c r="AJ12" s="316"/>
      <c r="AK12" s="316"/>
      <c r="AL12" s="316"/>
    </row>
    <row r="13" spans="1:38" ht="12.75">
      <c r="A13" s="316"/>
      <c r="B13" s="316"/>
      <c r="C13" s="316"/>
      <c r="D13" s="316"/>
      <c r="E13" s="316"/>
      <c r="F13" s="316"/>
      <c r="G13" s="316"/>
      <c r="H13" s="316"/>
      <c r="I13" s="316"/>
      <c r="J13" s="316"/>
      <c r="K13" s="316"/>
      <c r="L13" s="316"/>
      <c r="M13" s="316"/>
      <c r="N13" s="316"/>
      <c r="O13" s="316"/>
      <c r="P13" s="316"/>
      <c r="Q13" s="316"/>
      <c r="R13" s="316"/>
      <c r="S13" s="316"/>
      <c r="T13" s="316"/>
      <c r="U13" s="316"/>
      <c r="V13" s="316"/>
      <c r="W13" s="316"/>
      <c r="X13" s="316"/>
      <c r="Y13" s="316"/>
      <c r="Z13" s="316"/>
      <c r="AA13" s="316"/>
      <c r="AB13" s="316"/>
      <c r="AC13" s="316"/>
      <c r="AD13" s="316"/>
      <c r="AE13" s="316"/>
      <c r="AF13" s="316"/>
      <c r="AG13" s="316"/>
      <c r="AH13" s="316"/>
      <c r="AI13" s="316"/>
      <c r="AJ13" s="316"/>
      <c r="AK13" s="316"/>
      <c r="AL13" s="316"/>
    </row>
    <row r="14" spans="1:38" ht="12.75">
      <c r="A14" s="316"/>
      <c r="B14" s="316"/>
      <c r="C14" s="316"/>
      <c r="D14" s="316"/>
      <c r="E14" s="316"/>
      <c r="F14" s="316"/>
      <c r="G14" s="316"/>
      <c r="H14" s="316"/>
      <c r="I14" s="316"/>
      <c r="J14" s="316"/>
      <c r="K14" s="316"/>
      <c r="L14" s="316"/>
      <c r="M14" s="316"/>
      <c r="N14" s="316"/>
      <c r="O14" s="316"/>
      <c r="P14" s="316"/>
      <c r="Q14" s="316"/>
      <c r="R14" s="316"/>
      <c r="S14" s="316"/>
      <c r="T14" s="316"/>
      <c r="U14" s="316"/>
      <c r="V14" s="316"/>
      <c r="W14" s="316"/>
      <c r="X14" s="316"/>
      <c r="Y14" s="316"/>
      <c r="Z14" s="316"/>
      <c r="AA14" s="316"/>
      <c r="AB14" s="316"/>
      <c r="AC14" s="316"/>
      <c r="AD14" s="316"/>
      <c r="AE14" s="316"/>
      <c r="AF14" s="316"/>
      <c r="AG14" s="316"/>
      <c r="AH14" s="316"/>
      <c r="AI14" s="316"/>
      <c r="AJ14" s="316"/>
      <c r="AK14" s="316"/>
      <c r="AL14" s="316"/>
    </row>
    <row r="15" spans="1:38" ht="12.75">
      <c r="A15" s="316"/>
      <c r="B15" s="316"/>
      <c r="C15" s="316"/>
      <c r="D15" s="316"/>
      <c r="E15" s="316"/>
      <c r="F15" s="316"/>
      <c r="G15" s="316"/>
      <c r="H15" s="316"/>
      <c r="I15" s="316"/>
      <c r="J15" s="316"/>
      <c r="K15" s="316"/>
      <c r="L15" s="316"/>
      <c r="M15" s="316"/>
      <c r="N15" s="316"/>
      <c r="O15" s="316"/>
      <c r="P15" s="316"/>
      <c r="Q15" s="316"/>
      <c r="R15" s="316"/>
      <c r="S15" s="316"/>
      <c r="T15" s="316"/>
      <c r="U15" s="316"/>
      <c r="V15" s="316"/>
      <c r="W15" s="316"/>
      <c r="X15" s="316"/>
      <c r="Y15" s="316"/>
      <c r="Z15" s="316"/>
      <c r="AA15" s="316"/>
      <c r="AB15" s="316"/>
      <c r="AC15" s="316"/>
      <c r="AD15" s="316"/>
      <c r="AE15" s="316"/>
      <c r="AF15" s="316"/>
      <c r="AG15" s="316"/>
      <c r="AH15" s="316"/>
      <c r="AI15" s="316"/>
      <c r="AJ15" s="316"/>
      <c r="AK15" s="316"/>
      <c r="AL15" s="316"/>
    </row>
    <row r="16" spans="1:38" ht="12.75">
      <c r="A16" s="317"/>
      <c r="B16" s="317"/>
      <c r="C16" s="317"/>
      <c r="D16" s="317"/>
      <c r="E16" s="317"/>
      <c r="F16" s="317"/>
      <c r="G16" s="317"/>
      <c r="H16" s="317"/>
      <c r="I16" s="317"/>
      <c r="J16" s="317"/>
      <c r="K16" s="317"/>
      <c r="L16" s="317"/>
      <c r="M16" s="317"/>
      <c r="N16" s="317"/>
      <c r="O16" s="317"/>
      <c r="P16" s="317"/>
      <c r="Q16" s="317"/>
      <c r="R16" s="317"/>
      <c r="S16" s="317"/>
      <c r="T16" s="317"/>
      <c r="U16" s="317"/>
      <c r="V16" s="317"/>
      <c r="W16" s="317"/>
      <c r="X16" s="317"/>
      <c r="Y16" s="317"/>
      <c r="Z16" s="317"/>
      <c r="AA16" s="317"/>
      <c r="AB16" s="317"/>
      <c r="AC16" s="317"/>
      <c r="AD16" s="317"/>
      <c r="AE16" s="317"/>
      <c r="AF16" s="317"/>
      <c r="AG16" s="317"/>
      <c r="AH16" s="317"/>
      <c r="AI16" s="317"/>
      <c r="AJ16" s="317"/>
      <c r="AK16" s="317"/>
      <c r="AL16" s="317"/>
    </row>
  </sheetData>
  <hyperlinks>
    <hyperlink ref="A1" r:id="rId1" xr:uid="{00000000-0004-0000-2700-000000000000}"/>
    <hyperlink ref="B1" r:id="rId2" xr:uid="{00000000-0004-0000-2700-000001000000}"/>
    <hyperlink ref="J1" r:id="rId3" xr:uid="{00000000-0004-0000-2700-000002000000}"/>
    <hyperlink ref="P1" r:id="rId4" xr:uid="{00000000-0004-0000-2700-000003000000}"/>
    <hyperlink ref="R1" r:id="rId5" xr:uid="{00000000-0004-0000-2700-000004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0563C1"/>
    <outlinePr summaryBelow="0" summaryRight="0"/>
  </sheetPr>
  <dimension ref="A1:AL5"/>
  <sheetViews>
    <sheetView workbookViewId="0"/>
  </sheetViews>
  <sheetFormatPr baseColWidth="10" defaultColWidth="12.5703125" defaultRowHeight="15.75" customHeight="1"/>
  <sheetData>
    <row r="1" spans="1:38" ht="45" customHeight="1">
      <c r="A1" s="303" t="s">
        <v>12398</v>
      </c>
      <c r="B1" s="209" t="s">
        <v>12399</v>
      </c>
      <c r="C1" s="208" t="s">
        <v>8</v>
      </c>
      <c r="D1" s="304" t="s">
        <v>2192</v>
      </c>
      <c r="E1" s="208" t="s">
        <v>2191</v>
      </c>
      <c r="F1" s="208" t="s">
        <v>5</v>
      </c>
      <c r="G1" s="305" t="s">
        <v>12364</v>
      </c>
      <c r="H1" s="208" t="s">
        <v>10</v>
      </c>
      <c r="I1" s="306" t="s">
        <v>12365</v>
      </c>
      <c r="J1" s="307" t="s">
        <v>12366</v>
      </c>
      <c r="K1" s="208" t="s">
        <v>12367</v>
      </c>
      <c r="L1" s="308" t="s">
        <v>12368</v>
      </c>
      <c r="M1" s="208" t="s">
        <v>3</v>
      </c>
      <c r="N1" s="309" t="s">
        <v>12369</v>
      </c>
      <c r="O1" s="310" t="s">
        <v>12370</v>
      </c>
      <c r="P1" s="311" t="s">
        <v>12</v>
      </c>
      <c r="Q1" s="312" t="s">
        <v>13</v>
      </c>
      <c r="R1" s="312" t="s">
        <v>14</v>
      </c>
      <c r="S1" s="309" t="s">
        <v>15</v>
      </c>
      <c r="T1" s="309" t="s">
        <v>14</v>
      </c>
      <c r="U1" s="310" t="s">
        <v>12371</v>
      </c>
      <c r="V1" s="310" t="s">
        <v>12372</v>
      </c>
      <c r="W1" s="208" t="s">
        <v>12373</v>
      </c>
      <c r="X1" s="313" t="s">
        <v>12374</v>
      </c>
      <c r="Y1" s="313" t="s">
        <v>12375</v>
      </c>
      <c r="Z1" s="313" t="s">
        <v>12376</v>
      </c>
      <c r="AA1" s="208" t="s">
        <v>12377</v>
      </c>
      <c r="AB1" s="313" t="s">
        <v>12378</v>
      </c>
      <c r="AC1" s="313" t="s">
        <v>12379</v>
      </c>
    </row>
    <row r="2" spans="1:38" ht="12.75">
      <c r="A2" s="315" t="str">
        <f ca="1">IFERROR(__xludf.DUMMYFUNCTION("FILTER('GC maDMP Master Sheet'!J1:AS476,lookup(row(#REF!),if(len(#REF!),row(#REF!)),#REF!)=""Intellectual property"")"),"#N/A")</f>
        <v>#N/A</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row>
    <row r="3" spans="1:38" ht="12.7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row>
    <row r="4" spans="1:38" ht="12.75">
      <c r="A4" s="316"/>
      <c r="B4" s="316"/>
      <c r="C4" s="316"/>
      <c r="D4" s="316"/>
      <c r="E4" s="316"/>
      <c r="F4" s="316"/>
      <c r="G4" s="316"/>
      <c r="H4" s="316"/>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row>
    <row r="5" spans="1:38" ht="12.75">
      <c r="A5" s="317"/>
      <c r="B5" s="317"/>
      <c r="C5" s="317"/>
      <c r="D5" s="317"/>
      <c r="E5" s="317"/>
      <c r="F5" s="317"/>
      <c r="G5" s="317"/>
      <c r="H5" s="317"/>
      <c r="I5" s="317"/>
      <c r="J5" s="317"/>
      <c r="K5" s="317"/>
      <c r="L5" s="317"/>
      <c r="M5" s="317"/>
      <c r="N5" s="317"/>
      <c r="O5" s="317"/>
      <c r="P5" s="317"/>
      <c r="Q5" s="317"/>
      <c r="R5" s="317"/>
      <c r="S5" s="317"/>
      <c r="T5" s="317"/>
      <c r="U5" s="317"/>
      <c r="V5" s="317"/>
      <c r="W5" s="317"/>
      <c r="X5" s="317"/>
      <c r="Y5" s="317"/>
      <c r="Z5" s="317"/>
      <c r="AA5" s="317"/>
      <c r="AB5" s="317"/>
      <c r="AC5" s="317"/>
      <c r="AD5" s="317"/>
      <c r="AE5" s="317"/>
      <c r="AF5" s="317"/>
      <c r="AG5" s="317"/>
      <c r="AH5" s="317"/>
      <c r="AI5" s="317"/>
      <c r="AJ5" s="317"/>
      <c r="AK5" s="317"/>
      <c r="AL5" s="317"/>
    </row>
  </sheetData>
  <hyperlinks>
    <hyperlink ref="A1" r:id="rId1" xr:uid="{00000000-0004-0000-2800-000000000000}"/>
    <hyperlink ref="B1" r:id="rId2" xr:uid="{00000000-0004-0000-2800-000001000000}"/>
    <hyperlink ref="J1" r:id="rId3" xr:uid="{00000000-0004-0000-2800-000002000000}"/>
    <hyperlink ref="P1" r:id="rId4" xr:uid="{00000000-0004-0000-2800-000003000000}"/>
    <hyperlink ref="R1" r:id="rId5" xr:uid="{00000000-0004-0000-2800-000004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0563C1"/>
    <outlinePr summaryBelow="0" summaryRight="0"/>
  </sheetPr>
  <dimension ref="A1:AL4"/>
  <sheetViews>
    <sheetView workbookViewId="0"/>
  </sheetViews>
  <sheetFormatPr baseColWidth="10" defaultColWidth="12.5703125" defaultRowHeight="15.75" customHeight="1"/>
  <sheetData>
    <row r="1" spans="1:38" ht="45" customHeight="1">
      <c r="A1" s="303" t="s">
        <v>12400</v>
      </c>
      <c r="B1" s="209" t="s">
        <v>12401</v>
      </c>
      <c r="C1" s="208" t="s">
        <v>8</v>
      </c>
      <c r="D1" s="304" t="s">
        <v>2192</v>
      </c>
      <c r="E1" s="208" t="s">
        <v>2191</v>
      </c>
      <c r="F1" s="208" t="s">
        <v>5</v>
      </c>
      <c r="G1" s="305" t="s">
        <v>12364</v>
      </c>
      <c r="H1" s="208" t="s">
        <v>10</v>
      </c>
      <c r="I1" s="306" t="s">
        <v>12365</v>
      </c>
      <c r="J1" s="307" t="s">
        <v>12366</v>
      </c>
      <c r="K1" s="208" t="s">
        <v>12367</v>
      </c>
      <c r="L1" s="308" t="s">
        <v>12368</v>
      </c>
      <c r="M1" s="208" t="s">
        <v>3</v>
      </c>
      <c r="N1" s="309" t="s">
        <v>12369</v>
      </c>
      <c r="O1" s="310" t="s">
        <v>12370</v>
      </c>
      <c r="P1" s="311" t="s">
        <v>12</v>
      </c>
      <c r="Q1" s="312" t="s">
        <v>13</v>
      </c>
      <c r="R1" s="312" t="s">
        <v>14</v>
      </c>
      <c r="S1" s="309" t="s">
        <v>15</v>
      </c>
      <c r="T1" s="309" t="s">
        <v>14</v>
      </c>
      <c r="U1" s="310" t="s">
        <v>12371</v>
      </c>
      <c r="V1" s="310" t="s">
        <v>12372</v>
      </c>
      <c r="W1" s="208" t="s">
        <v>12373</v>
      </c>
      <c r="X1" s="313" t="s">
        <v>12374</v>
      </c>
      <c r="Y1" s="313" t="s">
        <v>12375</v>
      </c>
      <c r="Z1" s="313" t="s">
        <v>12376</v>
      </c>
      <c r="AA1" s="208" t="s">
        <v>12377</v>
      </c>
      <c r="AB1" s="313" t="s">
        <v>12378</v>
      </c>
      <c r="AC1" s="313" t="s">
        <v>12379</v>
      </c>
    </row>
    <row r="2" spans="1:38" ht="12.75">
      <c r="A2" s="315" t="str">
        <f ca="1">IFERROR(__xludf.DUMMYFUNCTION("FILTER('GC maDMP Master Sheet'!J1:AS476,lookup(row(#REF!),if(len(#REF!),row(#REF!)),#REF!)=""License and/or other arrangement
Used to indicate the license under which data (each specific Distribution of the data) will be made available. It also allows for"&amp;" modelling embargoes. See FAQ for more details."")"),"#N/A")</f>
        <v>#N/A</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row>
    <row r="3" spans="1:38" ht="12.7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row>
    <row r="4" spans="1:38" ht="12.75">
      <c r="A4" s="317"/>
      <c r="B4" s="317"/>
      <c r="C4" s="317"/>
      <c r="D4" s="317"/>
      <c r="E4" s="317"/>
      <c r="F4" s="317"/>
      <c r="G4" s="317"/>
      <c r="H4" s="317"/>
      <c r="I4" s="317"/>
      <c r="J4" s="317"/>
      <c r="K4" s="317"/>
      <c r="L4" s="317"/>
      <c r="M4" s="317"/>
      <c r="N4" s="317"/>
      <c r="O4" s="317"/>
      <c r="P4" s="317"/>
      <c r="Q4" s="317"/>
      <c r="R4" s="317"/>
      <c r="S4" s="317"/>
      <c r="T4" s="317"/>
      <c r="U4" s="317"/>
      <c r="V4" s="317"/>
      <c r="W4" s="317"/>
      <c r="X4" s="317"/>
      <c r="Y4" s="317"/>
      <c r="Z4" s="317"/>
      <c r="AA4" s="317"/>
      <c r="AB4" s="317"/>
      <c r="AC4" s="317"/>
      <c r="AD4" s="317"/>
      <c r="AE4" s="317"/>
      <c r="AF4" s="317"/>
      <c r="AG4" s="317"/>
      <c r="AH4" s="317"/>
      <c r="AI4" s="317"/>
      <c r="AJ4" s="317"/>
      <c r="AK4" s="317"/>
      <c r="AL4" s="317"/>
    </row>
  </sheetData>
  <hyperlinks>
    <hyperlink ref="A1" r:id="rId1" xr:uid="{00000000-0004-0000-2900-000000000000}"/>
    <hyperlink ref="B1" r:id="rId2" xr:uid="{00000000-0004-0000-2900-000001000000}"/>
    <hyperlink ref="J1" r:id="rId3" xr:uid="{00000000-0004-0000-2900-000002000000}"/>
    <hyperlink ref="P1" r:id="rId4" xr:uid="{00000000-0004-0000-2900-000003000000}"/>
    <hyperlink ref="R1" r:id="rId5" xr:uid="{00000000-0004-0000-2900-000004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0563C1"/>
    <outlinePr summaryBelow="0" summaryRight="0"/>
  </sheetPr>
  <dimension ref="A1:AL7"/>
  <sheetViews>
    <sheetView workbookViewId="0"/>
  </sheetViews>
  <sheetFormatPr baseColWidth="10" defaultColWidth="12.5703125" defaultRowHeight="15.75" customHeight="1"/>
  <sheetData>
    <row r="1" spans="1:38" ht="45" customHeight="1">
      <c r="A1" s="303" t="s">
        <v>12402</v>
      </c>
      <c r="B1" s="209" t="s">
        <v>12403</v>
      </c>
      <c r="C1" s="208" t="s">
        <v>8</v>
      </c>
      <c r="D1" s="304" t="s">
        <v>2192</v>
      </c>
      <c r="E1" s="208" t="s">
        <v>2191</v>
      </c>
      <c r="F1" s="208" t="s">
        <v>5</v>
      </c>
      <c r="G1" s="305" t="s">
        <v>12364</v>
      </c>
      <c r="H1" s="208" t="s">
        <v>10</v>
      </c>
      <c r="I1" s="306" t="s">
        <v>12365</v>
      </c>
      <c r="J1" s="307" t="s">
        <v>12366</v>
      </c>
      <c r="K1" s="208" t="s">
        <v>12367</v>
      </c>
      <c r="L1" s="308" t="s">
        <v>12368</v>
      </c>
      <c r="M1" s="208" t="s">
        <v>3</v>
      </c>
      <c r="N1" s="309" t="s">
        <v>12369</v>
      </c>
      <c r="O1" s="310" t="s">
        <v>12370</v>
      </c>
      <c r="P1" s="311" t="s">
        <v>12</v>
      </c>
      <c r="Q1" s="312" t="s">
        <v>13</v>
      </c>
      <c r="R1" s="312" t="s">
        <v>14</v>
      </c>
      <c r="S1" s="309" t="s">
        <v>15</v>
      </c>
      <c r="T1" s="309" t="s">
        <v>14</v>
      </c>
      <c r="U1" s="310" t="s">
        <v>12371</v>
      </c>
      <c r="V1" s="310" t="s">
        <v>12372</v>
      </c>
      <c r="W1" s="208" t="s">
        <v>12373</v>
      </c>
      <c r="X1" s="313" t="s">
        <v>12374</v>
      </c>
      <c r="Y1" s="313" t="s">
        <v>12375</v>
      </c>
      <c r="Z1" s="313" t="s">
        <v>12376</v>
      </c>
      <c r="AA1" s="208" t="s">
        <v>12377</v>
      </c>
      <c r="AB1" s="313" t="s">
        <v>12378</v>
      </c>
      <c r="AC1" s="313" t="s">
        <v>12379</v>
      </c>
    </row>
    <row r="2" spans="1:38" ht="12.75">
      <c r="A2" s="315" t="str">
        <f ca="1">IFERROR(__xludf.DUMMYFUNCTION("FILTER('GC maDMP Master Sheet'!J1:AS476,lookup(row(#REF!),if(len(#REF!),row(#REF!)),#REF!)=""8. DATASET METADATA - nested data structure
Provides a pointer to a metadata standard used to describe the data. It does not contain any actual metadata relating "&amp;"to the dataset."")"),"#N/A")</f>
        <v>#N/A</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row>
    <row r="3" spans="1:38" ht="12.7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row>
    <row r="4" spans="1:38" ht="12.75">
      <c r="A4" s="316"/>
      <c r="B4" s="316"/>
      <c r="C4" s="316"/>
      <c r="D4" s="316"/>
      <c r="E4" s="316"/>
      <c r="F4" s="316"/>
      <c r="G4" s="316"/>
      <c r="H4" s="316"/>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row>
    <row r="5" spans="1:38" ht="12.75">
      <c r="A5" s="316"/>
      <c r="B5" s="316"/>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row>
    <row r="6" spans="1:38" ht="12.75">
      <c r="A6" s="316"/>
      <c r="B6" s="316"/>
      <c r="C6" s="316"/>
      <c r="D6" s="316"/>
      <c r="E6" s="316"/>
      <c r="F6" s="316"/>
      <c r="G6" s="316"/>
      <c r="H6" s="316"/>
      <c r="I6" s="316"/>
      <c r="J6" s="316"/>
      <c r="K6" s="316"/>
      <c r="L6" s="316"/>
      <c r="M6" s="316"/>
      <c r="N6" s="316"/>
      <c r="O6" s="316"/>
      <c r="P6" s="316"/>
      <c r="Q6" s="316"/>
      <c r="R6" s="316"/>
      <c r="S6" s="316"/>
      <c r="T6" s="316"/>
      <c r="U6" s="316"/>
      <c r="V6" s="316"/>
      <c r="W6" s="316"/>
      <c r="X6" s="316"/>
      <c r="Y6" s="316"/>
      <c r="Z6" s="316"/>
      <c r="AA6" s="316"/>
      <c r="AB6" s="316"/>
      <c r="AC6" s="316"/>
      <c r="AD6" s="316"/>
      <c r="AE6" s="316"/>
      <c r="AF6" s="316"/>
      <c r="AG6" s="316"/>
      <c r="AH6" s="316"/>
      <c r="AI6" s="316"/>
      <c r="AJ6" s="316"/>
      <c r="AK6" s="316"/>
      <c r="AL6" s="316"/>
    </row>
    <row r="7" spans="1:38" ht="12.75">
      <c r="A7" s="317"/>
      <c r="B7" s="317"/>
      <c r="C7" s="317"/>
      <c r="D7" s="317"/>
      <c r="E7" s="317"/>
      <c r="F7" s="317"/>
      <c r="G7" s="317"/>
      <c r="H7" s="317"/>
      <c r="I7" s="317"/>
      <c r="J7" s="317"/>
      <c r="K7" s="317"/>
      <c r="L7" s="317"/>
      <c r="M7" s="317"/>
      <c r="N7" s="317"/>
      <c r="O7" s="317"/>
      <c r="P7" s="317"/>
      <c r="Q7" s="317"/>
      <c r="R7" s="317"/>
      <c r="S7" s="317"/>
      <c r="T7" s="317"/>
      <c r="U7" s="317"/>
      <c r="V7" s="317"/>
      <c r="W7" s="317"/>
      <c r="X7" s="317"/>
      <c r="Y7" s="317"/>
      <c r="Z7" s="317"/>
      <c r="AA7" s="317"/>
      <c r="AB7" s="317"/>
      <c r="AC7" s="317"/>
      <c r="AD7" s="317"/>
      <c r="AE7" s="317"/>
      <c r="AF7" s="317"/>
      <c r="AG7" s="317"/>
      <c r="AH7" s="317"/>
      <c r="AI7" s="317"/>
      <c r="AJ7" s="317"/>
      <c r="AK7" s="317"/>
      <c r="AL7" s="317"/>
    </row>
  </sheetData>
  <hyperlinks>
    <hyperlink ref="A1" r:id="rId1" xr:uid="{00000000-0004-0000-2A00-000000000000}"/>
    <hyperlink ref="B1" r:id="rId2" xr:uid="{00000000-0004-0000-2A00-000001000000}"/>
    <hyperlink ref="J1" r:id="rId3" xr:uid="{00000000-0004-0000-2A00-000002000000}"/>
    <hyperlink ref="P1" r:id="rId4" xr:uid="{00000000-0004-0000-2A00-000003000000}"/>
    <hyperlink ref="R1" r:id="rId5" xr:uid="{00000000-0004-0000-2A00-000004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0563C1"/>
    <outlinePr summaryBelow="0" summaryRight="0"/>
  </sheetPr>
  <dimension ref="A1:AL51"/>
  <sheetViews>
    <sheetView workbookViewId="0"/>
  </sheetViews>
  <sheetFormatPr baseColWidth="10" defaultColWidth="12.5703125" defaultRowHeight="15.75" customHeight="1"/>
  <sheetData>
    <row r="1" spans="1:38" ht="45" customHeight="1">
      <c r="A1" s="303" t="s">
        <v>12404</v>
      </c>
      <c r="B1" s="209" t="s">
        <v>12405</v>
      </c>
      <c r="C1" s="208" t="s">
        <v>8</v>
      </c>
      <c r="D1" s="304" t="s">
        <v>2192</v>
      </c>
      <c r="E1" s="208" t="s">
        <v>2191</v>
      </c>
      <c r="F1" s="208" t="s">
        <v>5</v>
      </c>
      <c r="G1" s="305" t="s">
        <v>12364</v>
      </c>
      <c r="H1" s="208" t="s">
        <v>10</v>
      </c>
      <c r="I1" s="306" t="s">
        <v>12365</v>
      </c>
      <c r="J1" s="307" t="s">
        <v>12366</v>
      </c>
      <c r="K1" s="208" t="s">
        <v>12367</v>
      </c>
      <c r="L1" s="308" t="s">
        <v>12368</v>
      </c>
      <c r="M1" s="208" t="s">
        <v>3</v>
      </c>
      <c r="N1" s="309" t="s">
        <v>12369</v>
      </c>
      <c r="O1" s="310" t="s">
        <v>12370</v>
      </c>
      <c r="P1" s="311" t="s">
        <v>12</v>
      </c>
      <c r="Q1" s="312" t="s">
        <v>13</v>
      </c>
      <c r="R1" s="312" t="s">
        <v>14</v>
      </c>
      <c r="S1" s="309" t="s">
        <v>15</v>
      </c>
      <c r="T1" s="309" t="s">
        <v>14</v>
      </c>
      <c r="U1" s="310" t="s">
        <v>12371</v>
      </c>
      <c r="V1" s="310" t="s">
        <v>12372</v>
      </c>
      <c r="W1" s="208" t="s">
        <v>12373</v>
      </c>
      <c r="X1" s="313" t="s">
        <v>12374</v>
      </c>
      <c r="Y1" s="313" t="s">
        <v>12375</v>
      </c>
      <c r="Z1" s="313" t="s">
        <v>12376</v>
      </c>
      <c r="AA1" s="208" t="s">
        <v>12377</v>
      </c>
      <c r="AB1" s="313" t="s">
        <v>12378</v>
      </c>
      <c r="AC1" s="313" t="s">
        <v>12379</v>
      </c>
    </row>
    <row r="2" spans="1:38" ht="12.75">
      <c r="A2" s="315" t="str">
        <f ca="1">IFERROR(__xludf.DUMMYFUNCTION("FILTER('GC maDMP Master Sheet'!J1:AS476,lookup(row(#REF!),if(len(#REF!),row(#REF!)),#REF!)=""9. DATASET
This follows the defintion of Dataset in the W3C DCAT specification. Dataset can be understood as a logical entity depicting data, e.g. raw data. It pr"&amp;"ovides high level information about the data. The granularity of dataset depends on a specific setting. In edge cases it can be a file, but also a collection of files in different formats. See FAQ for more details."")"),"#N/A")</f>
        <v>#N/A</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row>
    <row r="3" spans="1:38" ht="12.7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row>
    <row r="4" spans="1:38" ht="12.75">
      <c r="A4" s="316"/>
      <c r="B4" s="316"/>
      <c r="C4" s="316"/>
      <c r="D4" s="316"/>
      <c r="E4" s="316"/>
      <c r="F4" s="316"/>
      <c r="G4" s="316"/>
      <c r="H4" s="316"/>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row>
    <row r="5" spans="1:38" ht="12.75">
      <c r="A5" s="316"/>
      <c r="B5" s="316"/>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row>
    <row r="6" spans="1:38" ht="12.75">
      <c r="A6" s="316"/>
      <c r="B6" s="316"/>
      <c r="C6" s="316"/>
      <c r="D6" s="316"/>
      <c r="E6" s="316"/>
      <c r="F6" s="316"/>
      <c r="G6" s="316"/>
      <c r="H6" s="316"/>
      <c r="I6" s="316"/>
      <c r="J6" s="316"/>
      <c r="K6" s="316"/>
      <c r="L6" s="316"/>
      <c r="M6" s="316"/>
      <c r="N6" s="316"/>
      <c r="O6" s="316"/>
      <c r="P6" s="316"/>
      <c r="Q6" s="316"/>
      <c r="R6" s="316"/>
      <c r="S6" s="316"/>
      <c r="T6" s="316"/>
      <c r="U6" s="316"/>
      <c r="V6" s="316"/>
      <c r="W6" s="316"/>
      <c r="X6" s="316"/>
      <c r="Y6" s="316"/>
      <c r="Z6" s="316"/>
      <c r="AA6" s="316"/>
      <c r="AB6" s="316"/>
      <c r="AC6" s="316"/>
      <c r="AD6" s="316"/>
      <c r="AE6" s="316"/>
      <c r="AF6" s="316"/>
      <c r="AG6" s="316"/>
      <c r="AH6" s="316"/>
      <c r="AI6" s="316"/>
      <c r="AJ6" s="316"/>
      <c r="AK6" s="316"/>
      <c r="AL6" s="316"/>
    </row>
    <row r="7" spans="1:38" ht="12.75">
      <c r="A7" s="316"/>
      <c r="B7" s="316"/>
      <c r="C7" s="316"/>
      <c r="D7" s="316"/>
      <c r="E7" s="316"/>
      <c r="F7" s="316"/>
      <c r="G7" s="316"/>
      <c r="H7" s="316"/>
      <c r="I7" s="316"/>
      <c r="J7" s="316"/>
      <c r="K7" s="316"/>
      <c r="L7" s="316"/>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row>
    <row r="8" spans="1:38" ht="12.75">
      <c r="A8" s="316"/>
      <c r="B8" s="316"/>
      <c r="C8" s="316"/>
      <c r="D8" s="316"/>
      <c r="E8" s="316"/>
      <c r="F8" s="316"/>
      <c r="G8" s="316"/>
      <c r="H8" s="316"/>
      <c r="I8" s="316"/>
      <c r="J8" s="316"/>
      <c r="K8" s="316"/>
      <c r="L8" s="316"/>
      <c r="M8" s="316"/>
      <c r="N8" s="316"/>
      <c r="O8" s="316"/>
      <c r="P8" s="316"/>
      <c r="Q8" s="316"/>
      <c r="R8" s="316"/>
      <c r="S8" s="316"/>
      <c r="T8" s="316"/>
      <c r="U8" s="316"/>
      <c r="V8" s="316"/>
      <c r="W8" s="316"/>
      <c r="X8" s="316"/>
      <c r="Y8" s="316"/>
      <c r="Z8" s="316"/>
      <c r="AA8" s="316"/>
      <c r="AB8" s="316"/>
      <c r="AC8" s="316"/>
      <c r="AD8" s="316"/>
      <c r="AE8" s="316"/>
      <c r="AF8" s="316"/>
      <c r="AG8" s="316"/>
      <c r="AH8" s="316"/>
      <c r="AI8" s="316"/>
      <c r="AJ8" s="316"/>
      <c r="AK8" s="316"/>
      <c r="AL8" s="316"/>
    </row>
    <row r="9" spans="1:38" ht="12.75">
      <c r="A9" s="316"/>
      <c r="B9" s="316"/>
      <c r="C9" s="316"/>
      <c r="D9" s="316"/>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row>
    <row r="10" spans="1:38" ht="12.75">
      <c r="A10" s="316"/>
      <c r="B10" s="316"/>
      <c r="C10" s="316"/>
      <c r="D10" s="316"/>
      <c r="E10" s="316"/>
      <c r="F10" s="316"/>
      <c r="G10" s="316"/>
      <c r="H10" s="316"/>
      <c r="I10" s="316"/>
      <c r="J10" s="316"/>
      <c r="K10" s="316"/>
      <c r="L10" s="316"/>
      <c r="M10" s="316"/>
      <c r="N10" s="316"/>
      <c r="O10" s="316"/>
      <c r="P10" s="316"/>
      <c r="Q10" s="316"/>
      <c r="R10" s="316"/>
      <c r="S10" s="316"/>
      <c r="T10" s="316"/>
      <c r="U10" s="316"/>
      <c r="V10" s="316"/>
      <c r="W10" s="316"/>
      <c r="X10" s="316"/>
      <c r="Y10" s="316"/>
      <c r="Z10" s="316"/>
      <c r="AA10" s="316"/>
      <c r="AB10" s="316"/>
      <c r="AC10" s="316"/>
      <c r="AD10" s="316"/>
      <c r="AE10" s="316"/>
      <c r="AF10" s="316"/>
      <c r="AG10" s="316"/>
      <c r="AH10" s="316"/>
      <c r="AI10" s="316"/>
      <c r="AJ10" s="316"/>
      <c r="AK10" s="316"/>
      <c r="AL10" s="316"/>
    </row>
    <row r="11" spans="1:38" ht="12.75">
      <c r="A11" s="316"/>
      <c r="B11" s="316"/>
      <c r="C11" s="316"/>
      <c r="D11" s="316"/>
      <c r="E11" s="316"/>
      <c r="F11" s="316"/>
      <c r="G11" s="316"/>
      <c r="H11" s="316"/>
      <c r="I11" s="316"/>
      <c r="J11" s="316"/>
      <c r="K11" s="316"/>
      <c r="L11" s="316"/>
      <c r="M11" s="316"/>
      <c r="N11" s="316"/>
      <c r="O11" s="316"/>
      <c r="P11" s="316"/>
      <c r="Q11" s="316"/>
      <c r="R11" s="316"/>
      <c r="S11" s="316"/>
      <c r="T11" s="316"/>
      <c r="U11" s="316"/>
      <c r="V11" s="316"/>
      <c r="W11" s="316"/>
      <c r="X11" s="316"/>
      <c r="Y11" s="316"/>
      <c r="Z11" s="316"/>
      <c r="AA11" s="316"/>
      <c r="AB11" s="316"/>
      <c r="AC11" s="316"/>
      <c r="AD11" s="316"/>
      <c r="AE11" s="316"/>
      <c r="AF11" s="316"/>
      <c r="AG11" s="316"/>
      <c r="AH11" s="316"/>
      <c r="AI11" s="316"/>
      <c r="AJ11" s="316"/>
      <c r="AK11" s="316"/>
      <c r="AL11" s="316"/>
    </row>
    <row r="12" spans="1:38" ht="12.75">
      <c r="A12" s="316"/>
      <c r="B12" s="316"/>
      <c r="C12" s="316"/>
      <c r="D12" s="316"/>
      <c r="E12" s="316"/>
      <c r="F12" s="316"/>
      <c r="G12" s="316"/>
      <c r="H12" s="316"/>
      <c r="I12" s="316"/>
      <c r="J12" s="316"/>
      <c r="K12" s="316"/>
      <c r="L12" s="316"/>
      <c r="M12" s="316"/>
      <c r="N12" s="316"/>
      <c r="O12" s="316"/>
      <c r="P12" s="316"/>
      <c r="Q12" s="316"/>
      <c r="R12" s="316"/>
      <c r="S12" s="316"/>
      <c r="T12" s="316"/>
      <c r="U12" s="316"/>
      <c r="V12" s="316"/>
      <c r="W12" s="316"/>
      <c r="X12" s="316"/>
      <c r="Y12" s="316"/>
      <c r="Z12" s="316"/>
      <c r="AA12" s="316"/>
      <c r="AB12" s="316"/>
      <c r="AC12" s="316"/>
      <c r="AD12" s="316"/>
      <c r="AE12" s="316"/>
      <c r="AF12" s="316"/>
      <c r="AG12" s="316"/>
      <c r="AH12" s="316"/>
      <c r="AI12" s="316"/>
      <c r="AJ12" s="316"/>
      <c r="AK12" s="316"/>
      <c r="AL12" s="316"/>
    </row>
    <row r="13" spans="1:38" ht="12.75">
      <c r="A13" s="316"/>
      <c r="B13" s="316"/>
      <c r="C13" s="316"/>
      <c r="D13" s="316"/>
      <c r="E13" s="316"/>
      <c r="F13" s="316"/>
      <c r="G13" s="316"/>
      <c r="H13" s="316"/>
      <c r="I13" s="316"/>
      <c r="J13" s="316"/>
      <c r="K13" s="316"/>
      <c r="L13" s="316"/>
      <c r="M13" s="316"/>
      <c r="N13" s="316"/>
      <c r="O13" s="316"/>
      <c r="P13" s="316"/>
      <c r="Q13" s="316"/>
      <c r="R13" s="316"/>
      <c r="S13" s="316"/>
      <c r="T13" s="316"/>
      <c r="U13" s="316"/>
      <c r="V13" s="316"/>
      <c r="W13" s="316"/>
      <c r="X13" s="316"/>
      <c r="Y13" s="316"/>
      <c r="Z13" s="316"/>
      <c r="AA13" s="316"/>
      <c r="AB13" s="316"/>
      <c r="AC13" s="316"/>
      <c r="AD13" s="316"/>
      <c r="AE13" s="316"/>
      <c r="AF13" s="316"/>
      <c r="AG13" s="316"/>
      <c r="AH13" s="316"/>
      <c r="AI13" s="316"/>
      <c r="AJ13" s="316"/>
      <c r="AK13" s="316"/>
      <c r="AL13" s="316"/>
    </row>
    <row r="14" spans="1:38" ht="12.75">
      <c r="A14" s="316"/>
      <c r="B14" s="316"/>
      <c r="C14" s="316"/>
      <c r="D14" s="316"/>
      <c r="E14" s="316"/>
      <c r="F14" s="316"/>
      <c r="G14" s="316"/>
      <c r="H14" s="316"/>
      <c r="I14" s="316"/>
      <c r="J14" s="316"/>
      <c r="K14" s="316"/>
      <c r="L14" s="316"/>
      <c r="M14" s="316"/>
      <c r="N14" s="316"/>
      <c r="O14" s="316"/>
      <c r="P14" s="316"/>
      <c r="Q14" s="316"/>
      <c r="R14" s="316"/>
      <c r="S14" s="316"/>
      <c r="T14" s="316"/>
      <c r="U14" s="316"/>
      <c r="V14" s="316"/>
      <c r="W14" s="316"/>
      <c r="X14" s="316"/>
      <c r="Y14" s="316"/>
      <c r="Z14" s="316"/>
      <c r="AA14" s="316"/>
      <c r="AB14" s="316"/>
      <c r="AC14" s="316"/>
      <c r="AD14" s="316"/>
      <c r="AE14" s="316"/>
      <c r="AF14" s="316"/>
      <c r="AG14" s="316"/>
      <c r="AH14" s="316"/>
      <c r="AI14" s="316"/>
      <c r="AJ14" s="316"/>
      <c r="AK14" s="316"/>
      <c r="AL14" s="316"/>
    </row>
    <row r="15" spans="1:38" ht="12.75">
      <c r="A15" s="316"/>
      <c r="B15" s="316"/>
      <c r="C15" s="316"/>
      <c r="D15" s="316"/>
      <c r="E15" s="316"/>
      <c r="F15" s="316"/>
      <c r="G15" s="316"/>
      <c r="H15" s="316"/>
      <c r="I15" s="316"/>
      <c r="J15" s="316"/>
      <c r="K15" s="316"/>
      <c r="L15" s="316"/>
      <c r="M15" s="316"/>
      <c r="N15" s="316"/>
      <c r="O15" s="316"/>
      <c r="P15" s="316"/>
      <c r="Q15" s="316"/>
      <c r="R15" s="316"/>
      <c r="S15" s="316"/>
      <c r="T15" s="316"/>
      <c r="U15" s="316"/>
      <c r="V15" s="316"/>
      <c r="W15" s="316"/>
      <c r="X15" s="316"/>
      <c r="Y15" s="316"/>
      <c r="Z15" s="316"/>
      <c r="AA15" s="316"/>
      <c r="AB15" s="316"/>
      <c r="AC15" s="316"/>
      <c r="AD15" s="316"/>
      <c r="AE15" s="316"/>
      <c r="AF15" s="316"/>
      <c r="AG15" s="316"/>
      <c r="AH15" s="316"/>
      <c r="AI15" s="316"/>
      <c r="AJ15" s="316"/>
      <c r="AK15" s="316"/>
      <c r="AL15" s="316"/>
    </row>
    <row r="16" spans="1:38" ht="12.75">
      <c r="A16" s="316"/>
      <c r="B16" s="316"/>
      <c r="C16" s="316"/>
      <c r="D16" s="316"/>
      <c r="E16" s="316"/>
      <c r="F16" s="316"/>
      <c r="G16" s="316"/>
      <c r="H16" s="316"/>
      <c r="I16" s="316"/>
      <c r="J16" s="316"/>
      <c r="K16" s="316"/>
      <c r="L16" s="316"/>
      <c r="M16" s="316"/>
      <c r="N16" s="316"/>
      <c r="O16" s="316"/>
      <c r="P16" s="316"/>
      <c r="Q16" s="316"/>
      <c r="R16" s="316"/>
      <c r="S16" s="316"/>
      <c r="T16" s="316"/>
      <c r="U16" s="316"/>
      <c r="V16" s="316"/>
      <c r="W16" s="316"/>
      <c r="X16" s="316"/>
      <c r="Y16" s="316"/>
      <c r="Z16" s="316"/>
      <c r="AA16" s="316"/>
      <c r="AB16" s="316"/>
      <c r="AC16" s="316"/>
      <c r="AD16" s="316"/>
      <c r="AE16" s="316"/>
      <c r="AF16" s="316"/>
      <c r="AG16" s="316"/>
      <c r="AH16" s="316"/>
      <c r="AI16" s="316"/>
      <c r="AJ16" s="316"/>
      <c r="AK16" s="316"/>
      <c r="AL16" s="316"/>
    </row>
    <row r="17" spans="1:38" ht="12.75">
      <c r="A17" s="316"/>
      <c r="B17" s="316"/>
      <c r="C17" s="316"/>
      <c r="D17" s="316"/>
      <c r="E17" s="316"/>
      <c r="F17" s="316"/>
      <c r="G17" s="316"/>
      <c r="H17" s="316"/>
      <c r="I17" s="316"/>
      <c r="J17" s="316"/>
      <c r="K17" s="316"/>
      <c r="L17" s="316"/>
      <c r="M17" s="316"/>
      <c r="N17" s="316"/>
      <c r="O17" s="316"/>
      <c r="P17" s="316"/>
      <c r="Q17" s="316"/>
      <c r="R17" s="316"/>
      <c r="S17" s="316"/>
      <c r="T17" s="316"/>
      <c r="U17" s="316"/>
      <c r="V17" s="316"/>
      <c r="W17" s="316"/>
      <c r="X17" s="316"/>
      <c r="Y17" s="316"/>
      <c r="Z17" s="316"/>
      <c r="AA17" s="316"/>
      <c r="AB17" s="316"/>
      <c r="AC17" s="316"/>
      <c r="AD17" s="316"/>
      <c r="AE17" s="316"/>
      <c r="AF17" s="316"/>
      <c r="AG17" s="316"/>
      <c r="AH17" s="316"/>
      <c r="AI17" s="316"/>
      <c r="AJ17" s="316"/>
      <c r="AK17" s="316"/>
      <c r="AL17" s="316"/>
    </row>
    <row r="18" spans="1:38" ht="12.75">
      <c r="A18" s="316"/>
      <c r="B18" s="316"/>
      <c r="C18" s="316"/>
      <c r="D18" s="316"/>
      <c r="E18" s="316"/>
      <c r="F18" s="316"/>
      <c r="G18" s="316"/>
      <c r="H18" s="316"/>
      <c r="I18" s="316"/>
      <c r="J18" s="316"/>
      <c r="K18" s="316"/>
      <c r="L18" s="316"/>
      <c r="M18" s="316"/>
      <c r="N18" s="316"/>
      <c r="O18" s="316"/>
      <c r="P18" s="316"/>
      <c r="Q18" s="316"/>
      <c r="R18" s="316"/>
      <c r="S18" s="316"/>
      <c r="T18" s="316"/>
      <c r="U18" s="316"/>
      <c r="V18" s="316"/>
      <c r="W18" s="316"/>
      <c r="X18" s="316"/>
      <c r="Y18" s="316"/>
      <c r="Z18" s="316"/>
      <c r="AA18" s="316"/>
      <c r="AB18" s="316"/>
      <c r="AC18" s="316"/>
      <c r="AD18" s="316"/>
      <c r="AE18" s="316"/>
      <c r="AF18" s="316"/>
      <c r="AG18" s="316"/>
      <c r="AH18" s="316"/>
      <c r="AI18" s="316"/>
      <c r="AJ18" s="316"/>
      <c r="AK18" s="316"/>
      <c r="AL18" s="316"/>
    </row>
    <row r="19" spans="1:38" ht="12.75">
      <c r="A19" s="316"/>
      <c r="B19" s="316"/>
      <c r="C19" s="316"/>
      <c r="D19" s="316"/>
      <c r="E19" s="316"/>
      <c r="F19" s="316"/>
      <c r="G19" s="316"/>
      <c r="H19" s="316"/>
      <c r="I19" s="316"/>
      <c r="J19" s="316"/>
      <c r="K19" s="316"/>
      <c r="L19" s="316"/>
      <c r="M19" s="316"/>
      <c r="N19" s="316"/>
      <c r="O19" s="316"/>
      <c r="P19" s="316"/>
      <c r="Q19" s="316"/>
      <c r="R19" s="316"/>
      <c r="S19" s="316"/>
      <c r="T19" s="316"/>
      <c r="U19" s="316"/>
      <c r="V19" s="316"/>
      <c r="W19" s="316"/>
      <c r="X19" s="316"/>
      <c r="Y19" s="316"/>
      <c r="Z19" s="316"/>
      <c r="AA19" s="316"/>
      <c r="AB19" s="316"/>
      <c r="AC19" s="316"/>
      <c r="AD19" s="316"/>
      <c r="AE19" s="316"/>
      <c r="AF19" s="316"/>
      <c r="AG19" s="316"/>
      <c r="AH19" s="316"/>
      <c r="AI19" s="316"/>
      <c r="AJ19" s="316"/>
      <c r="AK19" s="316"/>
      <c r="AL19" s="316"/>
    </row>
    <row r="20" spans="1:38" ht="12.75">
      <c r="A20" s="316"/>
      <c r="B20" s="316"/>
      <c r="C20" s="316"/>
      <c r="D20" s="316"/>
      <c r="E20" s="316"/>
      <c r="F20" s="316"/>
      <c r="G20" s="316"/>
      <c r="H20" s="316"/>
      <c r="I20" s="316"/>
      <c r="J20" s="316"/>
      <c r="K20" s="316"/>
      <c r="L20" s="316"/>
      <c r="M20" s="316"/>
      <c r="N20" s="316"/>
      <c r="O20" s="316"/>
      <c r="P20" s="316"/>
      <c r="Q20" s="316"/>
      <c r="R20" s="316"/>
      <c r="S20" s="316"/>
      <c r="T20" s="316"/>
      <c r="U20" s="316"/>
      <c r="V20" s="316"/>
      <c r="W20" s="316"/>
      <c r="X20" s="316"/>
      <c r="Y20" s="316"/>
      <c r="Z20" s="316"/>
      <c r="AA20" s="316"/>
      <c r="AB20" s="316"/>
      <c r="AC20" s="316"/>
      <c r="AD20" s="316"/>
      <c r="AE20" s="316"/>
      <c r="AF20" s="316"/>
      <c r="AG20" s="316"/>
      <c r="AH20" s="316"/>
      <c r="AI20" s="316"/>
      <c r="AJ20" s="316"/>
      <c r="AK20" s="316"/>
      <c r="AL20" s="316"/>
    </row>
    <row r="21" spans="1:38" ht="12.75">
      <c r="A21" s="316"/>
      <c r="B21" s="316"/>
      <c r="C21" s="316"/>
      <c r="D21" s="316"/>
      <c r="E21" s="316"/>
      <c r="F21" s="316"/>
      <c r="G21" s="316"/>
      <c r="H21" s="316"/>
      <c r="I21" s="316"/>
      <c r="J21" s="316"/>
      <c r="K21" s="316"/>
      <c r="L21" s="316"/>
      <c r="M21" s="316"/>
      <c r="N21" s="316"/>
      <c r="O21" s="316"/>
      <c r="P21" s="316"/>
      <c r="Q21" s="316"/>
      <c r="R21" s="316"/>
      <c r="S21" s="316"/>
      <c r="T21" s="316"/>
      <c r="U21" s="316"/>
      <c r="V21" s="316"/>
      <c r="W21" s="316"/>
      <c r="X21" s="316"/>
      <c r="Y21" s="316"/>
      <c r="Z21" s="316"/>
      <c r="AA21" s="316"/>
      <c r="AB21" s="316"/>
      <c r="AC21" s="316"/>
      <c r="AD21" s="316"/>
      <c r="AE21" s="316"/>
      <c r="AF21" s="316"/>
      <c r="AG21" s="316"/>
      <c r="AH21" s="316"/>
      <c r="AI21" s="316"/>
      <c r="AJ21" s="316"/>
      <c r="AK21" s="316"/>
      <c r="AL21" s="316"/>
    </row>
    <row r="22" spans="1:38" ht="12.75">
      <c r="A22" s="316"/>
      <c r="B22" s="316"/>
      <c r="C22" s="316"/>
      <c r="D22" s="316"/>
      <c r="E22" s="316"/>
      <c r="F22" s="316"/>
      <c r="G22" s="316"/>
      <c r="H22" s="316"/>
      <c r="I22" s="316"/>
      <c r="J22" s="316"/>
      <c r="K22" s="316"/>
      <c r="L22" s="316"/>
      <c r="M22" s="316"/>
      <c r="N22" s="316"/>
      <c r="O22" s="316"/>
      <c r="P22" s="316"/>
      <c r="Q22" s="316"/>
      <c r="R22" s="316"/>
      <c r="S22" s="316"/>
      <c r="T22" s="316"/>
      <c r="U22" s="316"/>
      <c r="V22" s="316"/>
      <c r="W22" s="316"/>
      <c r="X22" s="316"/>
      <c r="Y22" s="316"/>
      <c r="Z22" s="316"/>
      <c r="AA22" s="316"/>
      <c r="AB22" s="316"/>
      <c r="AC22" s="316"/>
      <c r="AD22" s="316"/>
      <c r="AE22" s="316"/>
      <c r="AF22" s="316"/>
      <c r="AG22" s="316"/>
      <c r="AH22" s="316"/>
      <c r="AI22" s="316"/>
      <c r="AJ22" s="316"/>
      <c r="AK22" s="316"/>
      <c r="AL22" s="316"/>
    </row>
    <row r="23" spans="1:38" ht="12.75">
      <c r="A23" s="316"/>
      <c r="B23" s="316"/>
      <c r="C23" s="316"/>
      <c r="D23" s="316"/>
      <c r="E23" s="316"/>
      <c r="F23" s="316"/>
      <c r="G23" s="316"/>
      <c r="H23" s="316"/>
      <c r="I23" s="316"/>
      <c r="J23" s="316"/>
      <c r="K23" s="316"/>
      <c r="L23" s="316"/>
      <c r="M23" s="316"/>
      <c r="N23" s="316"/>
      <c r="O23" s="316"/>
      <c r="P23" s="316"/>
      <c r="Q23" s="316"/>
      <c r="R23" s="316"/>
      <c r="S23" s="316"/>
      <c r="T23" s="316"/>
      <c r="U23" s="316"/>
      <c r="V23" s="316"/>
      <c r="W23" s="316"/>
      <c r="X23" s="316"/>
      <c r="Y23" s="316"/>
      <c r="Z23" s="316"/>
      <c r="AA23" s="316"/>
      <c r="AB23" s="316"/>
      <c r="AC23" s="316"/>
      <c r="AD23" s="316"/>
      <c r="AE23" s="316"/>
      <c r="AF23" s="316"/>
      <c r="AG23" s="316"/>
      <c r="AH23" s="316"/>
      <c r="AI23" s="316"/>
      <c r="AJ23" s="316"/>
      <c r="AK23" s="316"/>
      <c r="AL23" s="316"/>
    </row>
    <row r="24" spans="1:38" ht="12.75">
      <c r="A24" s="316"/>
      <c r="B24" s="316"/>
      <c r="C24" s="316"/>
      <c r="D24" s="316"/>
      <c r="E24" s="316"/>
      <c r="F24" s="316"/>
      <c r="G24" s="316"/>
      <c r="H24" s="316"/>
      <c r="I24" s="316"/>
      <c r="J24" s="316"/>
      <c r="K24" s="316"/>
      <c r="L24" s="316"/>
      <c r="M24" s="316"/>
      <c r="N24" s="316"/>
      <c r="O24" s="316"/>
      <c r="P24" s="316"/>
      <c r="Q24" s="316"/>
      <c r="R24" s="316"/>
      <c r="S24" s="316"/>
      <c r="T24" s="316"/>
      <c r="U24" s="316"/>
      <c r="V24" s="316"/>
      <c r="W24" s="316"/>
      <c r="X24" s="316"/>
      <c r="Y24" s="316"/>
      <c r="Z24" s="316"/>
      <c r="AA24" s="316"/>
      <c r="AB24" s="316"/>
      <c r="AC24" s="316"/>
      <c r="AD24" s="316"/>
      <c r="AE24" s="316"/>
      <c r="AF24" s="316"/>
      <c r="AG24" s="316"/>
      <c r="AH24" s="316"/>
      <c r="AI24" s="316"/>
      <c r="AJ24" s="316"/>
      <c r="AK24" s="316"/>
      <c r="AL24" s="316"/>
    </row>
    <row r="25" spans="1:38" ht="12.75">
      <c r="A25" s="316"/>
      <c r="B25" s="316"/>
      <c r="C25" s="316"/>
      <c r="D25" s="316"/>
      <c r="E25" s="316"/>
      <c r="F25" s="316"/>
      <c r="G25" s="316"/>
      <c r="H25" s="316"/>
      <c r="I25" s="316"/>
      <c r="J25" s="316"/>
      <c r="K25" s="316"/>
      <c r="L25" s="316"/>
      <c r="M25" s="316"/>
      <c r="N25" s="316"/>
      <c r="O25" s="316"/>
      <c r="P25" s="316"/>
      <c r="Q25" s="316"/>
      <c r="R25" s="316"/>
      <c r="S25" s="316"/>
      <c r="T25" s="316"/>
      <c r="U25" s="316"/>
      <c r="V25" s="316"/>
      <c r="W25" s="316"/>
      <c r="X25" s="316"/>
      <c r="Y25" s="316"/>
      <c r="Z25" s="316"/>
      <c r="AA25" s="316"/>
      <c r="AB25" s="316"/>
      <c r="AC25" s="316"/>
      <c r="AD25" s="316"/>
      <c r="AE25" s="316"/>
      <c r="AF25" s="316"/>
      <c r="AG25" s="316"/>
      <c r="AH25" s="316"/>
      <c r="AI25" s="316"/>
      <c r="AJ25" s="316"/>
      <c r="AK25" s="316"/>
      <c r="AL25" s="316"/>
    </row>
    <row r="26" spans="1:38" ht="12.75">
      <c r="A26" s="316"/>
      <c r="B26" s="316"/>
      <c r="C26" s="316"/>
      <c r="D26" s="316"/>
      <c r="E26" s="316"/>
      <c r="F26" s="316"/>
      <c r="G26" s="316"/>
      <c r="H26" s="316"/>
      <c r="I26" s="316"/>
      <c r="J26" s="316"/>
      <c r="K26" s="316"/>
      <c r="L26" s="316"/>
      <c r="M26" s="316"/>
      <c r="N26" s="316"/>
      <c r="O26" s="316"/>
      <c r="P26" s="316"/>
      <c r="Q26" s="316"/>
      <c r="R26" s="316"/>
      <c r="S26" s="316"/>
      <c r="T26" s="316"/>
      <c r="U26" s="316"/>
      <c r="V26" s="316"/>
      <c r="W26" s="316"/>
      <c r="X26" s="316"/>
      <c r="Y26" s="316"/>
      <c r="Z26" s="316"/>
      <c r="AA26" s="316"/>
      <c r="AB26" s="316"/>
      <c r="AC26" s="316"/>
      <c r="AD26" s="316"/>
      <c r="AE26" s="316"/>
      <c r="AF26" s="316"/>
      <c r="AG26" s="316"/>
      <c r="AH26" s="316"/>
      <c r="AI26" s="316"/>
      <c r="AJ26" s="316"/>
      <c r="AK26" s="316"/>
      <c r="AL26" s="316"/>
    </row>
    <row r="27" spans="1:38" ht="12.75">
      <c r="A27" s="316"/>
      <c r="B27" s="316"/>
      <c r="C27" s="316"/>
      <c r="D27" s="316"/>
      <c r="E27" s="316"/>
      <c r="F27" s="316"/>
      <c r="G27" s="316"/>
      <c r="H27" s="316"/>
      <c r="I27" s="316"/>
      <c r="J27" s="316"/>
      <c r="K27" s="316"/>
      <c r="L27" s="316"/>
      <c r="M27" s="316"/>
      <c r="N27" s="316"/>
      <c r="O27" s="316"/>
      <c r="P27" s="316"/>
      <c r="Q27" s="316"/>
      <c r="R27" s="316"/>
      <c r="S27" s="316"/>
      <c r="T27" s="316"/>
      <c r="U27" s="316"/>
      <c r="V27" s="316"/>
      <c r="W27" s="316"/>
      <c r="X27" s="316"/>
      <c r="Y27" s="316"/>
      <c r="Z27" s="316"/>
      <c r="AA27" s="316"/>
      <c r="AB27" s="316"/>
      <c r="AC27" s="316"/>
      <c r="AD27" s="316"/>
      <c r="AE27" s="316"/>
      <c r="AF27" s="316"/>
      <c r="AG27" s="316"/>
      <c r="AH27" s="316"/>
      <c r="AI27" s="316"/>
      <c r="AJ27" s="316"/>
      <c r="AK27" s="316"/>
      <c r="AL27" s="316"/>
    </row>
    <row r="28" spans="1:38" ht="12.75">
      <c r="A28" s="316"/>
      <c r="B28" s="316"/>
      <c r="C28" s="316"/>
      <c r="D28" s="316"/>
      <c r="E28" s="316"/>
      <c r="F28" s="316"/>
      <c r="G28" s="316"/>
      <c r="H28" s="316"/>
      <c r="I28" s="316"/>
      <c r="J28" s="316"/>
      <c r="K28" s="316"/>
      <c r="L28" s="316"/>
      <c r="M28" s="316"/>
      <c r="N28" s="316"/>
      <c r="O28" s="316"/>
      <c r="P28" s="316"/>
      <c r="Q28" s="316"/>
      <c r="R28" s="316"/>
      <c r="S28" s="316"/>
      <c r="T28" s="316"/>
      <c r="U28" s="316"/>
      <c r="V28" s="316"/>
      <c r="W28" s="316"/>
      <c r="X28" s="316"/>
      <c r="Y28" s="316"/>
      <c r="Z28" s="316"/>
      <c r="AA28" s="316"/>
      <c r="AB28" s="316"/>
      <c r="AC28" s="316"/>
      <c r="AD28" s="316"/>
      <c r="AE28" s="316"/>
      <c r="AF28" s="316"/>
      <c r="AG28" s="316"/>
      <c r="AH28" s="316"/>
      <c r="AI28" s="316"/>
      <c r="AJ28" s="316"/>
      <c r="AK28" s="316"/>
      <c r="AL28" s="316"/>
    </row>
    <row r="29" spans="1:38" ht="12.75">
      <c r="A29" s="316"/>
      <c r="B29" s="316"/>
      <c r="C29" s="316"/>
      <c r="D29" s="316"/>
      <c r="E29" s="316"/>
      <c r="F29" s="316"/>
      <c r="G29" s="316"/>
      <c r="H29" s="316"/>
      <c r="I29" s="316"/>
      <c r="J29" s="316"/>
      <c r="K29" s="316"/>
      <c r="L29" s="316"/>
      <c r="M29" s="316"/>
      <c r="N29" s="316"/>
      <c r="O29" s="316"/>
      <c r="P29" s="316"/>
      <c r="Q29" s="316"/>
      <c r="R29" s="316"/>
      <c r="S29" s="316"/>
      <c r="T29" s="316"/>
      <c r="U29" s="316"/>
      <c r="V29" s="316"/>
      <c r="W29" s="316"/>
      <c r="X29" s="316"/>
      <c r="Y29" s="316"/>
      <c r="Z29" s="316"/>
      <c r="AA29" s="316"/>
      <c r="AB29" s="316"/>
      <c r="AC29" s="316"/>
      <c r="AD29" s="316"/>
      <c r="AE29" s="316"/>
      <c r="AF29" s="316"/>
      <c r="AG29" s="316"/>
      <c r="AH29" s="316"/>
      <c r="AI29" s="316"/>
      <c r="AJ29" s="316"/>
      <c r="AK29" s="316"/>
      <c r="AL29" s="316"/>
    </row>
    <row r="30" spans="1:38" ht="12.75">
      <c r="A30" s="316"/>
      <c r="B30" s="316"/>
      <c r="C30" s="316"/>
      <c r="D30" s="316"/>
      <c r="E30" s="316"/>
      <c r="F30" s="316"/>
      <c r="G30" s="316"/>
      <c r="H30" s="316"/>
      <c r="I30" s="316"/>
      <c r="J30" s="316"/>
      <c r="K30" s="316"/>
      <c r="L30" s="316"/>
      <c r="M30" s="316"/>
      <c r="N30" s="316"/>
      <c r="O30" s="316"/>
      <c r="P30" s="316"/>
      <c r="Q30" s="316"/>
      <c r="R30" s="316"/>
      <c r="S30" s="316"/>
      <c r="T30" s="316"/>
      <c r="U30" s="316"/>
      <c r="V30" s="316"/>
      <c r="W30" s="316"/>
      <c r="X30" s="316"/>
      <c r="Y30" s="316"/>
      <c r="Z30" s="316"/>
      <c r="AA30" s="316"/>
      <c r="AB30" s="316"/>
      <c r="AC30" s="316"/>
      <c r="AD30" s="316"/>
      <c r="AE30" s="316"/>
      <c r="AF30" s="316"/>
      <c r="AG30" s="316"/>
      <c r="AH30" s="316"/>
      <c r="AI30" s="316"/>
      <c r="AJ30" s="316"/>
      <c r="AK30" s="316"/>
      <c r="AL30" s="316"/>
    </row>
    <row r="31" spans="1:38" ht="12.75">
      <c r="A31" s="316"/>
      <c r="B31" s="316"/>
      <c r="C31" s="316"/>
      <c r="D31" s="316"/>
      <c r="E31" s="316"/>
      <c r="F31" s="316"/>
      <c r="G31" s="316"/>
      <c r="H31" s="316"/>
      <c r="I31" s="316"/>
      <c r="J31" s="316"/>
      <c r="K31" s="316"/>
      <c r="L31" s="316"/>
      <c r="M31" s="316"/>
      <c r="N31" s="316"/>
      <c r="O31" s="316"/>
      <c r="P31" s="316"/>
      <c r="Q31" s="316"/>
      <c r="R31" s="316"/>
      <c r="S31" s="316"/>
      <c r="T31" s="316"/>
      <c r="U31" s="316"/>
      <c r="V31" s="316"/>
      <c r="W31" s="316"/>
      <c r="X31" s="316"/>
      <c r="Y31" s="316"/>
      <c r="Z31" s="316"/>
      <c r="AA31" s="316"/>
      <c r="AB31" s="316"/>
      <c r="AC31" s="316"/>
      <c r="AD31" s="316"/>
      <c r="AE31" s="316"/>
      <c r="AF31" s="316"/>
      <c r="AG31" s="316"/>
      <c r="AH31" s="316"/>
      <c r="AI31" s="316"/>
      <c r="AJ31" s="316"/>
      <c r="AK31" s="316"/>
      <c r="AL31" s="316"/>
    </row>
    <row r="32" spans="1:38" ht="12.75">
      <c r="A32" s="316"/>
      <c r="B32" s="316"/>
      <c r="C32" s="316"/>
      <c r="D32" s="316"/>
      <c r="E32" s="316"/>
      <c r="F32" s="316"/>
      <c r="G32" s="316"/>
      <c r="H32" s="316"/>
      <c r="I32" s="316"/>
      <c r="J32" s="316"/>
      <c r="K32" s="316"/>
      <c r="L32" s="316"/>
      <c r="M32" s="316"/>
      <c r="N32" s="316"/>
      <c r="O32" s="316"/>
      <c r="P32" s="316"/>
      <c r="Q32" s="316"/>
      <c r="R32" s="316"/>
      <c r="S32" s="316"/>
      <c r="T32" s="316"/>
      <c r="U32" s="316"/>
      <c r="V32" s="316"/>
      <c r="W32" s="316"/>
      <c r="X32" s="316"/>
      <c r="Y32" s="316"/>
      <c r="Z32" s="316"/>
      <c r="AA32" s="316"/>
      <c r="AB32" s="316"/>
      <c r="AC32" s="316"/>
      <c r="AD32" s="316"/>
      <c r="AE32" s="316"/>
      <c r="AF32" s="316"/>
      <c r="AG32" s="316"/>
      <c r="AH32" s="316"/>
      <c r="AI32" s="316"/>
      <c r="AJ32" s="316"/>
      <c r="AK32" s="316"/>
      <c r="AL32" s="316"/>
    </row>
    <row r="33" spans="1:38" ht="12.75">
      <c r="A33" s="316"/>
      <c r="B33" s="316"/>
      <c r="C33" s="316"/>
      <c r="D33" s="316"/>
      <c r="E33" s="316"/>
      <c r="F33" s="316"/>
      <c r="G33" s="316"/>
      <c r="H33" s="316"/>
      <c r="I33" s="316"/>
      <c r="J33" s="316"/>
      <c r="K33" s="316"/>
      <c r="L33" s="316"/>
      <c r="M33" s="316"/>
      <c r="N33" s="316"/>
      <c r="O33" s="316"/>
      <c r="P33" s="316"/>
      <c r="Q33" s="316"/>
      <c r="R33" s="316"/>
      <c r="S33" s="316"/>
      <c r="T33" s="316"/>
      <c r="U33" s="316"/>
      <c r="V33" s="316"/>
      <c r="W33" s="316"/>
      <c r="X33" s="316"/>
      <c r="Y33" s="316"/>
      <c r="Z33" s="316"/>
      <c r="AA33" s="316"/>
      <c r="AB33" s="316"/>
      <c r="AC33" s="316"/>
      <c r="AD33" s="316"/>
      <c r="AE33" s="316"/>
      <c r="AF33" s="316"/>
      <c r="AG33" s="316"/>
      <c r="AH33" s="316"/>
      <c r="AI33" s="316"/>
      <c r="AJ33" s="316"/>
      <c r="AK33" s="316"/>
      <c r="AL33" s="316"/>
    </row>
    <row r="34" spans="1:38" ht="12.75">
      <c r="A34" s="316"/>
      <c r="B34" s="316"/>
      <c r="C34" s="316"/>
      <c r="D34" s="316"/>
      <c r="E34" s="316"/>
      <c r="F34" s="316"/>
      <c r="G34" s="316"/>
      <c r="H34" s="316"/>
      <c r="I34" s="316"/>
      <c r="J34" s="316"/>
      <c r="K34" s="316"/>
      <c r="L34" s="316"/>
      <c r="M34" s="316"/>
      <c r="N34" s="316"/>
      <c r="O34" s="316"/>
      <c r="P34" s="316"/>
      <c r="Q34" s="316"/>
      <c r="R34" s="316"/>
      <c r="S34" s="316"/>
      <c r="T34" s="316"/>
      <c r="U34" s="316"/>
      <c r="V34" s="316"/>
      <c r="W34" s="316"/>
      <c r="X34" s="316"/>
      <c r="Y34" s="316"/>
      <c r="Z34" s="316"/>
      <c r="AA34" s="316"/>
      <c r="AB34" s="316"/>
      <c r="AC34" s="316"/>
      <c r="AD34" s="316"/>
      <c r="AE34" s="316"/>
      <c r="AF34" s="316"/>
      <c r="AG34" s="316"/>
      <c r="AH34" s="316"/>
      <c r="AI34" s="316"/>
      <c r="AJ34" s="316"/>
      <c r="AK34" s="316"/>
      <c r="AL34" s="316"/>
    </row>
    <row r="35" spans="1:38" ht="12.75">
      <c r="A35" s="316"/>
      <c r="B35" s="316"/>
      <c r="C35" s="316"/>
      <c r="D35" s="316"/>
      <c r="E35" s="316"/>
      <c r="F35" s="316"/>
      <c r="G35" s="316"/>
      <c r="H35" s="316"/>
      <c r="I35" s="316"/>
      <c r="J35" s="316"/>
      <c r="K35" s="316"/>
      <c r="L35" s="316"/>
      <c r="M35" s="316"/>
      <c r="N35" s="316"/>
      <c r="O35" s="316"/>
      <c r="P35" s="316"/>
      <c r="Q35" s="316"/>
      <c r="R35" s="316"/>
      <c r="S35" s="316"/>
      <c r="T35" s="316"/>
      <c r="U35" s="316"/>
      <c r="V35" s="316"/>
      <c r="W35" s="316"/>
      <c r="X35" s="316"/>
      <c r="Y35" s="316"/>
      <c r="Z35" s="316"/>
      <c r="AA35" s="316"/>
      <c r="AB35" s="316"/>
      <c r="AC35" s="316"/>
      <c r="AD35" s="316"/>
      <c r="AE35" s="316"/>
      <c r="AF35" s="316"/>
      <c r="AG35" s="316"/>
      <c r="AH35" s="316"/>
      <c r="AI35" s="316"/>
      <c r="AJ35" s="316"/>
      <c r="AK35" s="316"/>
      <c r="AL35" s="316"/>
    </row>
    <row r="36" spans="1:38" ht="12.75">
      <c r="A36" s="316"/>
      <c r="B36" s="316"/>
      <c r="C36" s="316"/>
      <c r="D36" s="316"/>
      <c r="E36" s="316"/>
      <c r="F36" s="316"/>
      <c r="G36" s="316"/>
      <c r="H36" s="316"/>
      <c r="I36" s="316"/>
      <c r="J36" s="316"/>
      <c r="K36" s="316"/>
      <c r="L36" s="316"/>
      <c r="M36" s="316"/>
      <c r="N36" s="316"/>
      <c r="O36" s="316"/>
      <c r="P36" s="316"/>
      <c r="Q36" s="316"/>
      <c r="R36" s="316"/>
      <c r="S36" s="316"/>
      <c r="T36" s="316"/>
      <c r="U36" s="316"/>
      <c r="V36" s="316"/>
      <c r="W36" s="316"/>
      <c r="X36" s="316"/>
      <c r="Y36" s="316"/>
      <c r="Z36" s="316"/>
      <c r="AA36" s="316"/>
      <c r="AB36" s="316"/>
      <c r="AC36" s="316"/>
      <c r="AD36" s="316"/>
      <c r="AE36" s="316"/>
      <c r="AF36" s="316"/>
      <c r="AG36" s="316"/>
      <c r="AH36" s="316"/>
      <c r="AI36" s="316"/>
      <c r="AJ36" s="316"/>
      <c r="AK36" s="316"/>
      <c r="AL36" s="316"/>
    </row>
    <row r="37" spans="1:38" ht="12.75">
      <c r="A37" s="316"/>
      <c r="B37" s="316"/>
      <c r="C37" s="316"/>
      <c r="D37" s="316"/>
      <c r="E37" s="316"/>
      <c r="F37" s="316"/>
      <c r="G37" s="316"/>
      <c r="H37" s="316"/>
      <c r="I37" s="316"/>
      <c r="J37" s="316"/>
      <c r="K37" s="316"/>
      <c r="L37" s="316"/>
      <c r="M37" s="316"/>
      <c r="N37" s="316"/>
      <c r="O37" s="316"/>
      <c r="P37" s="316"/>
      <c r="Q37" s="316"/>
      <c r="R37" s="316"/>
      <c r="S37" s="316"/>
      <c r="T37" s="316"/>
      <c r="U37" s="316"/>
      <c r="V37" s="316"/>
      <c r="W37" s="316"/>
      <c r="X37" s="316"/>
      <c r="Y37" s="316"/>
      <c r="Z37" s="316"/>
      <c r="AA37" s="316"/>
      <c r="AB37" s="316"/>
      <c r="AC37" s="316"/>
      <c r="AD37" s="316"/>
      <c r="AE37" s="316"/>
      <c r="AF37" s="316"/>
      <c r="AG37" s="316"/>
      <c r="AH37" s="316"/>
      <c r="AI37" s="316"/>
      <c r="AJ37" s="316"/>
      <c r="AK37" s="316"/>
      <c r="AL37" s="316"/>
    </row>
    <row r="38" spans="1:38" ht="12.75">
      <c r="A38" s="316"/>
      <c r="B38" s="316"/>
      <c r="C38" s="316"/>
      <c r="D38" s="316"/>
      <c r="E38" s="316"/>
      <c r="F38" s="316"/>
      <c r="G38" s="316"/>
      <c r="H38" s="316"/>
      <c r="I38" s="316"/>
      <c r="J38" s="316"/>
      <c r="K38" s="316"/>
      <c r="L38" s="316"/>
      <c r="M38" s="316"/>
      <c r="N38" s="316"/>
      <c r="O38" s="316"/>
      <c r="P38" s="316"/>
      <c r="Q38" s="316"/>
      <c r="R38" s="316"/>
      <c r="S38" s="316"/>
      <c r="T38" s="316"/>
      <c r="U38" s="316"/>
      <c r="V38" s="316"/>
      <c r="W38" s="316"/>
      <c r="X38" s="316"/>
      <c r="Y38" s="316"/>
      <c r="Z38" s="316"/>
      <c r="AA38" s="316"/>
      <c r="AB38" s="316"/>
      <c r="AC38" s="316"/>
      <c r="AD38" s="316"/>
      <c r="AE38" s="316"/>
      <c r="AF38" s="316"/>
      <c r="AG38" s="316"/>
      <c r="AH38" s="316"/>
      <c r="AI38" s="316"/>
      <c r="AJ38" s="316"/>
      <c r="AK38" s="316"/>
      <c r="AL38" s="316"/>
    </row>
    <row r="39" spans="1:38" ht="12.75">
      <c r="A39" s="316"/>
      <c r="B39" s="316"/>
      <c r="C39" s="316"/>
      <c r="D39" s="316"/>
      <c r="E39" s="316"/>
      <c r="F39" s="316"/>
      <c r="G39" s="316"/>
      <c r="H39" s="316"/>
      <c r="I39" s="316"/>
      <c r="J39" s="316"/>
      <c r="K39" s="316"/>
      <c r="L39" s="316"/>
      <c r="M39" s="316"/>
      <c r="N39" s="316"/>
      <c r="O39" s="316"/>
      <c r="P39" s="316"/>
      <c r="Q39" s="316"/>
      <c r="R39" s="316"/>
      <c r="S39" s="316"/>
      <c r="T39" s="316"/>
      <c r="U39" s="316"/>
      <c r="V39" s="316"/>
      <c r="W39" s="316"/>
      <c r="X39" s="316"/>
      <c r="Y39" s="316"/>
      <c r="Z39" s="316"/>
      <c r="AA39" s="316"/>
      <c r="AB39" s="316"/>
      <c r="AC39" s="316"/>
      <c r="AD39" s="316"/>
      <c r="AE39" s="316"/>
      <c r="AF39" s="316"/>
      <c r="AG39" s="316"/>
      <c r="AH39" s="316"/>
      <c r="AI39" s="316"/>
      <c r="AJ39" s="316"/>
      <c r="AK39" s="316"/>
      <c r="AL39" s="316"/>
    </row>
    <row r="40" spans="1:38" ht="12.75">
      <c r="A40" s="316"/>
      <c r="B40" s="316"/>
      <c r="C40" s="316"/>
      <c r="D40" s="316"/>
      <c r="E40" s="316"/>
      <c r="F40" s="316"/>
      <c r="G40" s="316"/>
      <c r="H40" s="316"/>
      <c r="I40" s="316"/>
      <c r="J40" s="316"/>
      <c r="K40" s="316"/>
      <c r="L40" s="316"/>
      <c r="M40" s="316"/>
      <c r="N40" s="316"/>
      <c r="O40" s="316"/>
      <c r="P40" s="316"/>
      <c r="Q40" s="316"/>
      <c r="R40" s="316"/>
      <c r="S40" s="316"/>
      <c r="T40" s="316"/>
      <c r="U40" s="316"/>
      <c r="V40" s="316"/>
      <c r="W40" s="316"/>
      <c r="X40" s="316"/>
      <c r="Y40" s="316"/>
      <c r="Z40" s="316"/>
      <c r="AA40" s="316"/>
      <c r="AB40" s="316"/>
      <c r="AC40" s="316"/>
      <c r="AD40" s="316"/>
      <c r="AE40" s="316"/>
      <c r="AF40" s="316"/>
      <c r="AG40" s="316"/>
      <c r="AH40" s="316"/>
      <c r="AI40" s="316"/>
      <c r="AJ40" s="316"/>
      <c r="AK40" s="316"/>
      <c r="AL40" s="316"/>
    </row>
    <row r="41" spans="1:38" ht="12.75">
      <c r="A41" s="316"/>
      <c r="B41" s="316"/>
      <c r="C41" s="316"/>
      <c r="D41" s="316"/>
      <c r="E41" s="316"/>
      <c r="F41" s="316"/>
      <c r="G41" s="316"/>
      <c r="H41" s="316"/>
      <c r="I41" s="316"/>
      <c r="J41" s="316"/>
      <c r="K41" s="316"/>
      <c r="L41" s="316"/>
      <c r="M41" s="316"/>
      <c r="N41" s="316"/>
      <c r="O41" s="316"/>
      <c r="P41" s="316"/>
      <c r="Q41" s="316"/>
      <c r="R41" s="316"/>
      <c r="S41" s="316"/>
      <c r="T41" s="316"/>
      <c r="U41" s="316"/>
      <c r="V41" s="316"/>
      <c r="W41" s="316"/>
      <c r="X41" s="316"/>
      <c r="Y41" s="316"/>
      <c r="Z41" s="316"/>
      <c r="AA41" s="316"/>
      <c r="AB41" s="316"/>
      <c r="AC41" s="316"/>
      <c r="AD41" s="316"/>
      <c r="AE41" s="316"/>
      <c r="AF41" s="316"/>
      <c r="AG41" s="316"/>
      <c r="AH41" s="316"/>
      <c r="AI41" s="316"/>
      <c r="AJ41" s="316"/>
      <c r="AK41" s="316"/>
      <c r="AL41" s="316"/>
    </row>
    <row r="42" spans="1:38" ht="12.75">
      <c r="A42" s="316"/>
      <c r="B42" s="316"/>
      <c r="C42" s="316"/>
      <c r="D42" s="316"/>
      <c r="E42" s="316"/>
      <c r="F42" s="316"/>
      <c r="G42" s="316"/>
      <c r="H42" s="316"/>
      <c r="I42" s="316"/>
      <c r="J42" s="316"/>
      <c r="K42" s="316"/>
      <c r="L42" s="316"/>
      <c r="M42" s="316"/>
      <c r="N42" s="316"/>
      <c r="O42" s="316"/>
      <c r="P42" s="316"/>
      <c r="Q42" s="316"/>
      <c r="R42" s="316"/>
      <c r="S42" s="316"/>
      <c r="T42" s="316"/>
      <c r="U42" s="316"/>
      <c r="V42" s="316"/>
      <c r="W42" s="316"/>
      <c r="X42" s="316"/>
      <c r="Y42" s="316"/>
      <c r="Z42" s="316"/>
      <c r="AA42" s="316"/>
      <c r="AB42" s="316"/>
      <c r="AC42" s="316"/>
      <c r="AD42" s="316"/>
      <c r="AE42" s="316"/>
      <c r="AF42" s="316"/>
      <c r="AG42" s="316"/>
      <c r="AH42" s="316"/>
      <c r="AI42" s="316"/>
      <c r="AJ42" s="316"/>
      <c r="AK42" s="316"/>
      <c r="AL42" s="316"/>
    </row>
    <row r="43" spans="1:38" ht="12.75">
      <c r="A43" s="316"/>
      <c r="B43" s="316"/>
      <c r="C43" s="316"/>
      <c r="D43" s="316"/>
      <c r="E43" s="316"/>
      <c r="F43" s="316"/>
      <c r="G43" s="316"/>
      <c r="H43" s="316"/>
      <c r="I43" s="316"/>
      <c r="J43" s="316"/>
      <c r="K43" s="316"/>
      <c r="L43" s="316"/>
      <c r="M43" s="316"/>
      <c r="N43" s="316"/>
      <c r="O43" s="316"/>
      <c r="P43" s="316"/>
      <c r="Q43" s="316"/>
      <c r="R43" s="316"/>
      <c r="S43" s="316"/>
      <c r="T43" s="316"/>
      <c r="U43" s="316"/>
      <c r="V43" s="316"/>
      <c r="W43" s="316"/>
      <c r="X43" s="316"/>
      <c r="Y43" s="316"/>
      <c r="Z43" s="316"/>
      <c r="AA43" s="316"/>
      <c r="AB43" s="316"/>
      <c r="AC43" s="316"/>
      <c r="AD43" s="316"/>
      <c r="AE43" s="316"/>
      <c r="AF43" s="316"/>
      <c r="AG43" s="316"/>
      <c r="AH43" s="316"/>
      <c r="AI43" s="316"/>
      <c r="AJ43" s="316"/>
      <c r="AK43" s="316"/>
      <c r="AL43" s="316"/>
    </row>
    <row r="44" spans="1:38" ht="12.75">
      <c r="A44" s="316"/>
      <c r="B44" s="316"/>
      <c r="C44" s="316"/>
      <c r="D44" s="316"/>
      <c r="E44" s="316"/>
      <c r="F44" s="316"/>
      <c r="G44" s="316"/>
      <c r="H44" s="316"/>
      <c r="I44" s="316"/>
      <c r="J44" s="316"/>
      <c r="K44" s="316"/>
      <c r="L44" s="316"/>
      <c r="M44" s="316"/>
      <c r="N44" s="316"/>
      <c r="O44" s="316"/>
      <c r="P44" s="316"/>
      <c r="Q44" s="316"/>
      <c r="R44" s="316"/>
      <c r="S44" s="316"/>
      <c r="T44" s="316"/>
      <c r="U44" s="316"/>
      <c r="V44" s="316"/>
      <c r="W44" s="316"/>
      <c r="X44" s="316"/>
      <c r="Y44" s="316"/>
      <c r="Z44" s="316"/>
      <c r="AA44" s="316"/>
      <c r="AB44" s="316"/>
      <c r="AC44" s="316"/>
      <c r="AD44" s="316"/>
      <c r="AE44" s="316"/>
      <c r="AF44" s="316"/>
      <c r="AG44" s="316"/>
      <c r="AH44" s="316"/>
      <c r="AI44" s="316"/>
      <c r="AJ44" s="316"/>
      <c r="AK44" s="316"/>
      <c r="AL44" s="316"/>
    </row>
    <row r="45" spans="1:38" ht="12.75">
      <c r="A45" s="316"/>
      <c r="B45" s="316"/>
      <c r="C45" s="316"/>
      <c r="D45" s="316"/>
      <c r="E45" s="316"/>
      <c r="F45" s="316"/>
      <c r="G45" s="316"/>
      <c r="H45" s="316"/>
      <c r="I45" s="316"/>
      <c r="J45" s="316"/>
      <c r="K45" s="316"/>
      <c r="L45" s="316"/>
      <c r="M45" s="316"/>
      <c r="N45" s="316"/>
      <c r="O45" s="316"/>
      <c r="P45" s="316"/>
      <c r="Q45" s="316"/>
      <c r="R45" s="316"/>
      <c r="S45" s="316"/>
      <c r="T45" s="316"/>
      <c r="U45" s="316"/>
      <c r="V45" s="316"/>
      <c r="W45" s="316"/>
      <c r="X45" s="316"/>
      <c r="Y45" s="316"/>
      <c r="Z45" s="316"/>
      <c r="AA45" s="316"/>
      <c r="AB45" s="316"/>
      <c r="AC45" s="316"/>
      <c r="AD45" s="316"/>
      <c r="AE45" s="316"/>
      <c r="AF45" s="316"/>
      <c r="AG45" s="316"/>
      <c r="AH45" s="316"/>
      <c r="AI45" s="316"/>
      <c r="AJ45" s="316"/>
      <c r="AK45" s="316"/>
      <c r="AL45" s="316"/>
    </row>
    <row r="46" spans="1:38" ht="12.75">
      <c r="A46" s="316"/>
      <c r="B46" s="316"/>
      <c r="C46" s="316"/>
      <c r="D46" s="316"/>
      <c r="E46" s="316"/>
      <c r="F46" s="316"/>
      <c r="G46" s="316"/>
      <c r="H46" s="316"/>
      <c r="I46" s="316"/>
      <c r="J46" s="316"/>
      <c r="K46" s="316"/>
      <c r="L46" s="316"/>
      <c r="M46" s="316"/>
      <c r="N46" s="316"/>
      <c r="O46" s="316"/>
      <c r="P46" s="316"/>
      <c r="Q46" s="316"/>
      <c r="R46" s="316"/>
      <c r="S46" s="316"/>
      <c r="T46" s="316"/>
      <c r="U46" s="316"/>
      <c r="V46" s="316"/>
      <c r="W46" s="316"/>
      <c r="X46" s="316"/>
      <c r="Y46" s="316"/>
      <c r="Z46" s="316"/>
      <c r="AA46" s="316"/>
      <c r="AB46" s="316"/>
      <c r="AC46" s="316"/>
      <c r="AD46" s="316"/>
      <c r="AE46" s="316"/>
      <c r="AF46" s="316"/>
      <c r="AG46" s="316"/>
      <c r="AH46" s="316"/>
      <c r="AI46" s="316"/>
      <c r="AJ46" s="316"/>
      <c r="AK46" s="316"/>
      <c r="AL46" s="316"/>
    </row>
    <row r="47" spans="1:38" ht="12.75">
      <c r="A47" s="316"/>
      <c r="B47" s="316"/>
      <c r="C47" s="316"/>
      <c r="D47" s="316"/>
      <c r="E47" s="316"/>
      <c r="F47" s="316"/>
      <c r="G47" s="316"/>
      <c r="H47" s="316"/>
      <c r="I47" s="316"/>
      <c r="J47" s="316"/>
      <c r="K47" s="316"/>
      <c r="L47" s="316"/>
      <c r="M47" s="316"/>
      <c r="N47" s="316"/>
      <c r="O47" s="316"/>
      <c r="P47" s="316"/>
      <c r="Q47" s="316"/>
      <c r="R47" s="316"/>
      <c r="S47" s="316"/>
      <c r="T47" s="316"/>
      <c r="U47" s="316"/>
      <c r="V47" s="316"/>
      <c r="W47" s="316"/>
      <c r="X47" s="316"/>
      <c r="Y47" s="316"/>
      <c r="Z47" s="316"/>
      <c r="AA47" s="316"/>
      <c r="AB47" s="316"/>
      <c r="AC47" s="316"/>
      <c r="AD47" s="316"/>
      <c r="AE47" s="316"/>
      <c r="AF47" s="316"/>
      <c r="AG47" s="316"/>
      <c r="AH47" s="316"/>
      <c r="AI47" s="316"/>
      <c r="AJ47" s="316"/>
      <c r="AK47" s="316"/>
      <c r="AL47" s="316"/>
    </row>
    <row r="48" spans="1:38" ht="12.75">
      <c r="A48" s="316"/>
      <c r="B48" s="316"/>
      <c r="C48" s="316"/>
      <c r="D48" s="316"/>
      <c r="E48" s="316"/>
      <c r="F48" s="316"/>
      <c r="G48" s="316"/>
      <c r="H48" s="316"/>
      <c r="I48" s="316"/>
      <c r="J48" s="316"/>
      <c r="K48" s="316"/>
      <c r="L48" s="316"/>
      <c r="M48" s="316"/>
      <c r="N48" s="316"/>
      <c r="O48" s="316"/>
      <c r="P48" s="316"/>
      <c r="Q48" s="316"/>
      <c r="R48" s="316"/>
      <c r="S48" s="316"/>
      <c r="T48" s="316"/>
      <c r="U48" s="316"/>
      <c r="V48" s="316"/>
      <c r="W48" s="316"/>
      <c r="X48" s="316"/>
      <c r="Y48" s="316"/>
      <c r="Z48" s="316"/>
      <c r="AA48" s="316"/>
      <c r="AB48" s="316"/>
      <c r="AC48" s="316"/>
      <c r="AD48" s="316"/>
      <c r="AE48" s="316"/>
      <c r="AF48" s="316"/>
      <c r="AG48" s="316"/>
      <c r="AH48" s="316"/>
      <c r="AI48" s="316"/>
      <c r="AJ48" s="316"/>
      <c r="AK48" s="316"/>
      <c r="AL48" s="316"/>
    </row>
    <row r="49" spans="1:38" ht="12.75">
      <c r="A49" s="316"/>
      <c r="B49" s="316"/>
      <c r="C49" s="316"/>
      <c r="D49" s="316"/>
      <c r="E49" s="316"/>
      <c r="F49" s="316"/>
      <c r="G49" s="316"/>
      <c r="H49" s="316"/>
      <c r="I49" s="316"/>
      <c r="J49" s="316"/>
      <c r="K49" s="316"/>
      <c r="L49" s="316"/>
      <c r="M49" s="316"/>
      <c r="N49" s="316"/>
      <c r="O49" s="316"/>
      <c r="P49" s="316"/>
      <c r="Q49" s="316"/>
      <c r="R49" s="316"/>
      <c r="S49" s="316"/>
      <c r="T49" s="316"/>
      <c r="U49" s="316"/>
      <c r="V49" s="316"/>
      <c r="W49" s="316"/>
      <c r="X49" s="316"/>
      <c r="Y49" s="316"/>
      <c r="Z49" s="316"/>
      <c r="AA49" s="316"/>
      <c r="AB49" s="316"/>
      <c r="AC49" s="316"/>
      <c r="AD49" s="316"/>
      <c r="AE49" s="316"/>
      <c r="AF49" s="316"/>
      <c r="AG49" s="316"/>
      <c r="AH49" s="316"/>
      <c r="AI49" s="316"/>
      <c r="AJ49" s="316"/>
      <c r="AK49" s="316"/>
      <c r="AL49" s="316"/>
    </row>
    <row r="50" spans="1:38" ht="12.75">
      <c r="A50" s="316"/>
      <c r="B50" s="316"/>
      <c r="C50" s="316"/>
      <c r="D50" s="316"/>
      <c r="E50" s="316"/>
      <c r="F50" s="316"/>
      <c r="G50" s="316"/>
      <c r="H50" s="316"/>
      <c r="I50" s="316"/>
      <c r="J50" s="316"/>
      <c r="K50" s="316"/>
      <c r="L50" s="316"/>
      <c r="M50" s="316"/>
      <c r="N50" s="316"/>
      <c r="O50" s="316"/>
      <c r="P50" s="316"/>
      <c r="Q50" s="316"/>
      <c r="R50" s="316"/>
      <c r="S50" s="316"/>
      <c r="T50" s="316"/>
      <c r="U50" s="316"/>
      <c r="V50" s="316"/>
      <c r="W50" s="316"/>
      <c r="X50" s="316"/>
      <c r="Y50" s="316"/>
      <c r="Z50" s="316"/>
      <c r="AA50" s="316"/>
      <c r="AB50" s="316"/>
      <c r="AC50" s="316"/>
      <c r="AD50" s="316"/>
      <c r="AE50" s="316"/>
      <c r="AF50" s="316"/>
      <c r="AG50" s="316"/>
      <c r="AH50" s="316"/>
      <c r="AI50" s="316"/>
      <c r="AJ50" s="316"/>
      <c r="AK50" s="316"/>
      <c r="AL50" s="316"/>
    </row>
    <row r="51" spans="1:38" ht="12.75">
      <c r="A51" s="317"/>
      <c r="B51" s="317"/>
      <c r="C51" s="317"/>
      <c r="D51" s="317"/>
      <c r="E51" s="317"/>
      <c r="F51" s="317"/>
      <c r="G51" s="317"/>
      <c r="H51" s="317"/>
      <c r="I51" s="317"/>
      <c r="J51" s="317"/>
      <c r="K51" s="317"/>
      <c r="L51" s="317"/>
      <c r="M51" s="317"/>
      <c r="N51" s="317"/>
      <c r="O51" s="317"/>
      <c r="P51" s="317"/>
      <c r="Q51" s="317"/>
      <c r="R51" s="317"/>
      <c r="S51" s="317"/>
      <c r="T51" s="317"/>
      <c r="U51" s="317"/>
      <c r="V51" s="317"/>
      <c r="W51" s="317"/>
      <c r="X51" s="317"/>
      <c r="Y51" s="317"/>
      <c r="Z51" s="317"/>
      <c r="AA51" s="317"/>
      <c r="AB51" s="317"/>
      <c r="AC51" s="317"/>
      <c r="AD51" s="317"/>
      <c r="AE51" s="317"/>
      <c r="AF51" s="317"/>
      <c r="AG51" s="317"/>
      <c r="AH51" s="317"/>
      <c r="AI51" s="317"/>
      <c r="AJ51" s="317"/>
      <c r="AK51" s="317"/>
      <c r="AL51" s="317"/>
    </row>
  </sheetData>
  <hyperlinks>
    <hyperlink ref="A1" r:id="rId1" xr:uid="{00000000-0004-0000-2B00-000000000000}"/>
    <hyperlink ref="B1" r:id="rId2" xr:uid="{00000000-0004-0000-2B00-000001000000}"/>
    <hyperlink ref="J1" r:id="rId3" xr:uid="{00000000-0004-0000-2B00-000002000000}"/>
    <hyperlink ref="P1" r:id="rId4" xr:uid="{00000000-0004-0000-2B00-000003000000}"/>
    <hyperlink ref="R1" r:id="rId5" xr:uid="{00000000-0004-0000-2B00-000004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0563C1"/>
    <outlinePr summaryBelow="0" summaryRight="0"/>
  </sheetPr>
  <dimension ref="A1:AL41"/>
  <sheetViews>
    <sheetView workbookViewId="0"/>
  </sheetViews>
  <sheetFormatPr baseColWidth="10" defaultColWidth="12.5703125" defaultRowHeight="15.75" customHeight="1"/>
  <sheetData>
    <row r="1" spans="1:38" ht="45" customHeight="1">
      <c r="A1" s="303" t="s">
        <v>12406</v>
      </c>
      <c r="B1" s="209" t="s">
        <v>12407</v>
      </c>
      <c r="C1" s="208" t="s">
        <v>8</v>
      </c>
      <c r="D1" s="304" t="s">
        <v>2192</v>
      </c>
      <c r="E1" s="208" t="s">
        <v>2191</v>
      </c>
      <c r="F1" s="208" t="s">
        <v>5</v>
      </c>
      <c r="G1" s="305" t="s">
        <v>12364</v>
      </c>
      <c r="H1" s="208" t="s">
        <v>10</v>
      </c>
      <c r="I1" s="306" t="s">
        <v>12365</v>
      </c>
      <c r="J1" s="307" t="s">
        <v>12366</v>
      </c>
      <c r="K1" s="208" t="s">
        <v>12367</v>
      </c>
      <c r="L1" s="308" t="s">
        <v>12368</v>
      </c>
      <c r="M1" s="208" t="s">
        <v>3</v>
      </c>
      <c r="N1" s="309" t="s">
        <v>12369</v>
      </c>
      <c r="O1" s="310" t="s">
        <v>12370</v>
      </c>
      <c r="P1" s="311" t="s">
        <v>12</v>
      </c>
      <c r="Q1" s="312" t="s">
        <v>13</v>
      </c>
      <c r="R1" s="312" t="s">
        <v>14</v>
      </c>
      <c r="S1" s="309" t="s">
        <v>15</v>
      </c>
      <c r="T1" s="309" t="s">
        <v>14</v>
      </c>
      <c r="U1" s="310" t="s">
        <v>12371</v>
      </c>
      <c r="V1" s="310" t="s">
        <v>12372</v>
      </c>
      <c r="W1" s="208" t="s">
        <v>12373</v>
      </c>
      <c r="X1" s="313" t="s">
        <v>12374</v>
      </c>
      <c r="Y1" s="313" t="s">
        <v>12375</v>
      </c>
      <c r="Z1" s="313" t="s">
        <v>12376</v>
      </c>
      <c r="AA1" s="208" t="s">
        <v>12377</v>
      </c>
      <c r="AB1" s="313" t="s">
        <v>12378</v>
      </c>
      <c r="AC1" s="313" t="s">
        <v>12379</v>
      </c>
    </row>
    <row r="2" spans="1:38" ht="12.75">
      <c r="A2" s="315" t="str">
        <f ca="1">IFERROR(__xludf.DUMMYFUNCTION("FILTER('GC maDMP Master Sheet'!J1:AS476,lookup(row(#REF!),if(len(#REF!),row(#REF!)),#REF!)=""10. DATASET DISTRIBUTIONS - nested data structure
The term 'distribution' used here is as defined by the very widely used W3C DCAT metadata application profile. I"&amp;"t is used to mean a particular instance of a dataset that has been, or is intended to be, made available in some fashion. It is important to separate the logical notion of a 'dataset' from its distributions, of which there may be several, especially to at"&amp;"tach more specific metadata properties such as 'size' and 'license'. The lifecycle of the DMP has no particular bearing on this, and a 'distribution' may be defined even if the DMP is never actually realised."")"),"#N/A")</f>
        <v>#N/A</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row>
    <row r="3" spans="1:38" ht="12.7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row>
    <row r="4" spans="1:38" ht="12.75">
      <c r="A4" s="316"/>
      <c r="B4" s="316"/>
      <c r="C4" s="316"/>
      <c r="D4" s="316"/>
      <c r="E4" s="316"/>
      <c r="F4" s="316"/>
      <c r="G4" s="316"/>
      <c r="H4" s="316"/>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row>
    <row r="5" spans="1:38" ht="12.75">
      <c r="A5" s="316"/>
      <c r="B5" s="316"/>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row>
    <row r="6" spans="1:38" ht="12.75">
      <c r="A6" s="316"/>
      <c r="B6" s="316"/>
      <c r="C6" s="316"/>
      <c r="D6" s="316"/>
      <c r="E6" s="316"/>
      <c r="F6" s="316"/>
      <c r="G6" s="316"/>
      <c r="H6" s="316"/>
      <c r="I6" s="316"/>
      <c r="J6" s="316"/>
      <c r="K6" s="316"/>
      <c r="L6" s="316"/>
      <c r="M6" s="316"/>
      <c r="N6" s="316"/>
      <c r="O6" s="316"/>
      <c r="P6" s="316"/>
      <c r="Q6" s="316"/>
      <c r="R6" s="316"/>
      <c r="S6" s="316"/>
      <c r="T6" s="316"/>
      <c r="U6" s="316"/>
      <c r="V6" s="316"/>
      <c r="W6" s="316"/>
      <c r="X6" s="316"/>
      <c r="Y6" s="316"/>
      <c r="Z6" s="316"/>
      <c r="AA6" s="316"/>
      <c r="AB6" s="316"/>
      <c r="AC6" s="316"/>
      <c r="AD6" s="316"/>
      <c r="AE6" s="316"/>
      <c r="AF6" s="316"/>
      <c r="AG6" s="316"/>
      <c r="AH6" s="316"/>
      <c r="AI6" s="316"/>
      <c r="AJ6" s="316"/>
      <c r="AK6" s="316"/>
      <c r="AL6" s="316"/>
    </row>
    <row r="7" spans="1:38" ht="12.75">
      <c r="A7" s="316"/>
      <c r="B7" s="316"/>
      <c r="C7" s="316"/>
      <c r="D7" s="316"/>
      <c r="E7" s="316"/>
      <c r="F7" s="316"/>
      <c r="G7" s="316"/>
      <c r="H7" s="316"/>
      <c r="I7" s="316"/>
      <c r="J7" s="316"/>
      <c r="K7" s="316"/>
      <c r="L7" s="316"/>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row>
    <row r="8" spans="1:38" ht="12.75">
      <c r="A8" s="316"/>
      <c r="B8" s="316"/>
      <c r="C8" s="316"/>
      <c r="D8" s="316"/>
      <c r="E8" s="316"/>
      <c r="F8" s="316"/>
      <c r="G8" s="316"/>
      <c r="H8" s="316"/>
      <c r="I8" s="316"/>
      <c r="J8" s="316"/>
      <c r="K8" s="316"/>
      <c r="L8" s="316"/>
      <c r="M8" s="316"/>
      <c r="N8" s="316"/>
      <c r="O8" s="316"/>
      <c r="P8" s="316"/>
      <c r="Q8" s="316"/>
      <c r="R8" s="316"/>
      <c r="S8" s="316"/>
      <c r="T8" s="316"/>
      <c r="U8" s="316"/>
      <c r="V8" s="316"/>
      <c r="W8" s="316"/>
      <c r="X8" s="316"/>
      <c r="Y8" s="316"/>
      <c r="Z8" s="316"/>
      <c r="AA8" s="316"/>
      <c r="AB8" s="316"/>
      <c r="AC8" s="316"/>
      <c r="AD8" s="316"/>
      <c r="AE8" s="316"/>
      <c r="AF8" s="316"/>
      <c r="AG8" s="316"/>
      <c r="AH8" s="316"/>
      <c r="AI8" s="316"/>
      <c r="AJ8" s="316"/>
      <c r="AK8" s="316"/>
      <c r="AL8" s="316"/>
    </row>
    <row r="9" spans="1:38" ht="12.75">
      <c r="A9" s="316"/>
      <c r="B9" s="316"/>
      <c r="C9" s="316"/>
      <c r="D9" s="316"/>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row>
    <row r="10" spans="1:38" ht="12.75">
      <c r="A10" s="316"/>
      <c r="B10" s="316"/>
      <c r="C10" s="316"/>
      <c r="D10" s="316"/>
      <c r="E10" s="316"/>
      <c r="F10" s="316"/>
      <c r="G10" s="316"/>
      <c r="H10" s="316"/>
      <c r="I10" s="316"/>
      <c r="J10" s="316"/>
      <c r="K10" s="316"/>
      <c r="L10" s="316"/>
      <c r="M10" s="316"/>
      <c r="N10" s="316"/>
      <c r="O10" s="316"/>
      <c r="P10" s="316"/>
      <c r="Q10" s="316"/>
      <c r="R10" s="316"/>
      <c r="S10" s="316"/>
      <c r="T10" s="316"/>
      <c r="U10" s="316"/>
      <c r="V10" s="316"/>
      <c r="W10" s="316"/>
      <c r="X10" s="316"/>
      <c r="Y10" s="316"/>
      <c r="Z10" s="316"/>
      <c r="AA10" s="316"/>
      <c r="AB10" s="316"/>
      <c r="AC10" s="316"/>
      <c r="AD10" s="316"/>
      <c r="AE10" s="316"/>
      <c r="AF10" s="316"/>
      <c r="AG10" s="316"/>
      <c r="AH10" s="316"/>
      <c r="AI10" s="316"/>
      <c r="AJ10" s="316"/>
      <c r="AK10" s="316"/>
      <c r="AL10" s="316"/>
    </row>
    <row r="11" spans="1:38" ht="12.75">
      <c r="A11" s="316"/>
      <c r="B11" s="316"/>
      <c r="C11" s="316"/>
      <c r="D11" s="316"/>
      <c r="E11" s="316"/>
      <c r="F11" s="316"/>
      <c r="G11" s="316"/>
      <c r="H11" s="316"/>
      <c r="I11" s="316"/>
      <c r="J11" s="316"/>
      <c r="K11" s="316"/>
      <c r="L11" s="316"/>
      <c r="M11" s="316"/>
      <c r="N11" s="316"/>
      <c r="O11" s="316"/>
      <c r="P11" s="316"/>
      <c r="Q11" s="316"/>
      <c r="R11" s="316"/>
      <c r="S11" s="316"/>
      <c r="T11" s="316"/>
      <c r="U11" s="316"/>
      <c r="V11" s="316"/>
      <c r="W11" s="316"/>
      <c r="X11" s="316"/>
      <c r="Y11" s="316"/>
      <c r="Z11" s="316"/>
      <c r="AA11" s="316"/>
      <c r="AB11" s="316"/>
      <c r="AC11" s="316"/>
      <c r="AD11" s="316"/>
      <c r="AE11" s="316"/>
      <c r="AF11" s="316"/>
      <c r="AG11" s="316"/>
      <c r="AH11" s="316"/>
      <c r="AI11" s="316"/>
      <c r="AJ11" s="316"/>
      <c r="AK11" s="316"/>
      <c r="AL11" s="316"/>
    </row>
    <row r="12" spans="1:38" ht="12.75">
      <c r="A12" s="316"/>
      <c r="B12" s="316"/>
      <c r="C12" s="316"/>
      <c r="D12" s="316"/>
      <c r="E12" s="316"/>
      <c r="F12" s="316"/>
      <c r="G12" s="316"/>
      <c r="H12" s="316"/>
      <c r="I12" s="316"/>
      <c r="J12" s="316"/>
      <c r="K12" s="316"/>
      <c r="L12" s="316"/>
      <c r="M12" s="316"/>
      <c r="N12" s="316"/>
      <c r="O12" s="316"/>
      <c r="P12" s="316"/>
      <c r="Q12" s="316"/>
      <c r="R12" s="316"/>
      <c r="S12" s="316"/>
      <c r="T12" s="316"/>
      <c r="U12" s="316"/>
      <c r="V12" s="316"/>
      <c r="W12" s="316"/>
      <c r="X12" s="316"/>
      <c r="Y12" s="316"/>
      <c r="Z12" s="316"/>
      <c r="AA12" s="316"/>
      <c r="AB12" s="316"/>
      <c r="AC12" s="316"/>
      <c r="AD12" s="316"/>
      <c r="AE12" s="316"/>
      <c r="AF12" s="316"/>
      <c r="AG12" s="316"/>
      <c r="AH12" s="316"/>
      <c r="AI12" s="316"/>
      <c r="AJ12" s="316"/>
      <c r="AK12" s="316"/>
      <c r="AL12" s="316"/>
    </row>
    <row r="13" spans="1:38" ht="12.75">
      <c r="A13" s="316"/>
      <c r="B13" s="316"/>
      <c r="C13" s="316"/>
      <c r="D13" s="316"/>
      <c r="E13" s="316"/>
      <c r="F13" s="316"/>
      <c r="G13" s="316"/>
      <c r="H13" s="316"/>
      <c r="I13" s="316"/>
      <c r="J13" s="316"/>
      <c r="K13" s="316"/>
      <c r="L13" s="316"/>
      <c r="M13" s="316"/>
      <c r="N13" s="316"/>
      <c r="O13" s="316"/>
      <c r="P13" s="316"/>
      <c r="Q13" s="316"/>
      <c r="R13" s="316"/>
      <c r="S13" s="316"/>
      <c r="T13" s="316"/>
      <c r="U13" s="316"/>
      <c r="V13" s="316"/>
      <c r="W13" s="316"/>
      <c r="X13" s="316"/>
      <c r="Y13" s="316"/>
      <c r="Z13" s="316"/>
      <c r="AA13" s="316"/>
      <c r="AB13" s="316"/>
      <c r="AC13" s="316"/>
      <c r="AD13" s="316"/>
      <c r="AE13" s="316"/>
      <c r="AF13" s="316"/>
      <c r="AG13" s="316"/>
      <c r="AH13" s="316"/>
      <c r="AI13" s="316"/>
      <c r="AJ13" s="316"/>
      <c r="AK13" s="316"/>
      <c r="AL13" s="316"/>
    </row>
    <row r="14" spans="1:38" ht="12.75">
      <c r="A14" s="316"/>
      <c r="B14" s="316"/>
      <c r="C14" s="316"/>
      <c r="D14" s="316"/>
      <c r="E14" s="316"/>
      <c r="F14" s="316"/>
      <c r="G14" s="316"/>
      <c r="H14" s="316"/>
      <c r="I14" s="316"/>
      <c r="J14" s="316"/>
      <c r="K14" s="316"/>
      <c r="L14" s="316"/>
      <c r="M14" s="316"/>
      <c r="N14" s="316"/>
      <c r="O14" s="316"/>
      <c r="P14" s="316"/>
      <c r="Q14" s="316"/>
      <c r="R14" s="316"/>
      <c r="S14" s="316"/>
      <c r="T14" s="316"/>
      <c r="U14" s="316"/>
      <c r="V14" s="316"/>
      <c r="W14" s="316"/>
      <c r="X14" s="316"/>
      <c r="Y14" s="316"/>
      <c r="Z14" s="316"/>
      <c r="AA14" s="316"/>
      <c r="AB14" s="316"/>
      <c r="AC14" s="316"/>
      <c r="AD14" s="316"/>
      <c r="AE14" s="316"/>
      <c r="AF14" s="316"/>
      <c r="AG14" s="316"/>
      <c r="AH14" s="316"/>
      <c r="AI14" s="316"/>
      <c r="AJ14" s="316"/>
      <c r="AK14" s="316"/>
      <c r="AL14" s="316"/>
    </row>
    <row r="15" spans="1:38" ht="12.75">
      <c r="A15" s="316"/>
      <c r="B15" s="316"/>
      <c r="C15" s="316"/>
      <c r="D15" s="316"/>
      <c r="E15" s="316"/>
      <c r="F15" s="316"/>
      <c r="G15" s="316"/>
      <c r="H15" s="316"/>
      <c r="I15" s="316"/>
      <c r="J15" s="316"/>
      <c r="K15" s="316"/>
      <c r="L15" s="316"/>
      <c r="M15" s="316"/>
      <c r="N15" s="316"/>
      <c r="O15" s="316"/>
      <c r="P15" s="316"/>
      <c r="Q15" s="316"/>
      <c r="R15" s="316"/>
      <c r="S15" s="316"/>
      <c r="T15" s="316"/>
      <c r="U15" s="316"/>
      <c r="V15" s="316"/>
      <c r="W15" s="316"/>
      <c r="X15" s="316"/>
      <c r="Y15" s="316"/>
      <c r="Z15" s="316"/>
      <c r="AA15" s="316"/>
      <c r="AB15" s="316"/>
      <c r="AC15" s="316"/>
      <c r="AD15" s="316"/>
      <c r="AE15" s="316"/>
      <c r="AF15" s="316"/>
      <c r="AG15" s="316"/>
      <c r="AH15" s="316"/>
      <c r="AI15" s="316"/>
      <c r="AJ15" s="316"/>
      <c r="AK15" s="316"/>
      <c r="AL15" s="316"/>
    </row>
    <row r="16" spans="1:38" ht="12.75">
      <c r="A16" s="316"/>
      <c r="B16" s="316"/>
      <c r="C16" s="316"/>
      <c r="D16" s="316"/>
      <c r="E16" s="316"/>
      <c r="F16" s="316"/>
      <c r="G16" s="316"/>
      <c r="H16" s="316"/>
      <c r="I16" s="316"/>
      <c r="J16" s="316"/>
      <c r="K16" s="316"/>
      <c r="L16" s="316"/>
      <c r="M16" s="316"/>
      <c r="N16" s="316"/>
      <c r="O16" s="316"/>
      <c r="P16" s="316"/>
      <c r="Q16" s="316"/>
      <c r="R16" s="316"/>
      <c r="S16" s="316"/>
      <c r="T16" s="316"/>
      <c r="U16" s="316"/>
      <c r="V16" s="316"/>
      <c r="W16" s="316"/>
      <c r="X16" s="316"/>
      <c r="Y16" s="316"/>
      <c r="Z16" s="316"/>
      <c r="AA16" s="316"/>
      <c r="AB16" s="316"/>
      <c r="AC16" s="316"/>
      <c r="AD16" s="316"/>
      <c r="AE16" s="316"/>
      <c r="AF16" s="316"/>
      <c r="AG16" s="316"/>
      <c r="AH16" s="316"/>
      <c r="AI16" s="316"/>
      <c r="AJ16" s="316"/>
      <c r="AK16" s="316"/>
      <c r="AL16" s="316"/>
    </row>
    <row r="17" spans="1:38" ht="12.75">
      <c r="A17" s="316"/>
      <c r="B17" s="316"/>
      <c r="C17" s="316"/>
      <c r="D17" s="316"/>
      <c r="E17" s="316"/>
      <c r="F17" s="316"/>
      <c r="G17" s="316"/>
      <c r="H17" s="316"/>
      <c r="I17" s="316"/>
      <c r="J17" s="316"/>
      <c r="K17" s="316"/>
      <c r="L17" s="316"/>
      <c r="M17" s="316"/>
      <c r="N17" s="316"/>
      <c r="O17" s="316"/>
      <c r="P17" s="316"/>
      <c r="Q17" s="316"/>
      <c r="R17" s="316"/>
      <c r="S17" s="316"/>
      <c r="T17" s="316"/>
      <c r="U17" s="316"/>
      <c r="V17" s="316"/>
      <c r="W17" s="316"/>
      <c r="X17" s="316"/>
      <c r="Y17" s="316"/>
      <c r="Z17" s="316"/>
      <c r="AA17" s="316"/>
      <c r="AB17" s="316"/>
      <c r="AC17" s="316"/>
      <c r="AD17" s="316"/>
      <c r="AE17" s="316"/>
      <c r="AF17" s="316"/>
      <c r="AG17" s="316"/>
      <c r="AH17" s="316"/>
      <c r="AI17" s="316"/>
      <c r="AJ17" s="316"/>
      <c r="AK17" s="316"/>
      <c r="AL17" s="316"/>
    </row>
    <row r="18" spans="1:38" ht="12.75">
      <c r="A18" s="316"/>
      <c r="B18" s="316"/>
      <c r="C18" s="316"/>
      <c r="D18" s="316"/>
      <c r="E18" s="316"/>
      <c r="F18" s="316"/>
      <c r="G18" s="316"/>
      <c r="H18" s="316"/>
      <c r="I18" s="316"/>
      <c r="J18" s="316"/>
      <c r="K18" s="316"/>
      <c r="L18" s="316"/>
      <c r="M18" s="316"/>
      <c r="N18" s="316"/>
      <c r="O18" s="316"/>
      <c r="P18" s="316"/>
      <c r="Q18" s="316"/>
      <c r="R18" s="316"/>
      <c r="S18" s="316"/>
      <c r="T18" s="316"/>
      <c r="U18" s="316"/>
      <c r="V18" s="316"/>
      <c r="W18" s="316"/>
      <c r="X18" s="316"/>
      <c r="Y18" s="316"/>
      <c r="Z18" s="316"/>
      <c r="AA18" s="316"/>
      <c r="AB18" s="316"/>
      <c r="AC18" s="316"/>
      <c r="AD18" s="316"/>
      <c r="AE18" s="316"/>
      <c r="AF18" s="316"/>
      <c r="AG18" s="316"/>
      <c r="AH18" s="316"/>
      <c r="AI18" s="316"/>
      <c r="AJ18" s="316"/>
      <c r="AK18" s="316"/>
      <c r="AL18" s="316"/>
    </row>
    <row r="19" spans="1:38" ht="12.75">
      <c r="A19" s="316"/>
      <c r="B19" s="316"/>
      <c r="C19" s="316"/>
      <c r="D19" s="316"/>
      <c r="E19" s="316"/>
      <c r="F19" s="316"/>
      <c r="G19" s="316"/>
      <c r="H19" s="316"/>
      <c r="I19" s="316"/>
      <c r="J19" s="316"/>
      <c r="K19" s="316"/>
      <c r="L19" s="316"/>
      <c r="M19" s="316"/>
      <c r="N19" s="316"/>
      <c r="O19" s="316"/>
      <c r="P19" s="316"/>
      <c r="Q19" s="316"/>
      <c r="R19" s="316"/>
      <c r="S19" s="316"/>
      <c r="T19" s="316"/>
      <c r="U19" s="316"/>
      <c r="V19" s="316"/>
      <c r="W19" s="316"/>
      <c r="X19" s="316"/>
      <c r="Y19" s="316"/>
      <c r="Z19" s="316"/>
      <c r="AA19" s="316"/>
      <c r="AB19" s="316"/>
      <c r="AC19" s="316"/>
      <c r="AD19" s="316"/>
      <c r="AE19" s="316"/>
      <c r="AF19" s="316"/>
      <c r="AG19" s="316"/>
      <c r="AH19" s="316"/>
      <c r="AI19" s="316"/>
      <c r="AJ19" s="316"/>
      <c r="AK19" s="316"/>
      <c r="AL19" s="316"/>
    </row>
    <row r="20" spans="1:38" ht="12.75">
      <c r="A20" s="316"/>
      <c r="B20" s="316"/>
      <c r="C20" s="316"/>
      <c r="D20" s="316"/>
      <c r="E20" s="316"/>
      <c r="F20" s="316"/>
      <c r="G20" s="316"/>
      <c r="H20" s="316"/>
      <c r="I20" s="316"/>
      <c r="J20" s="316"/>
      <c r="K20" s="316"/>
      <c r="L20" s="316"/>
      <c r="M20" s="316"/>
      <c r="N20" s="316"/>
      <c r="O20" s="316"/>
      <c r="P20" s="316"/>
      <c r="Q20" s="316"/>
      <c r="R20" s="316"/>
      <c r="S20" s="316"/>
      <c r="T20" s="316"/>
      <c r="U20" s="316"/>
      <c r="V20" s="316"/>
      <c r="W20" s="316"/>
      <c r="X20" s="316"/>
      <c r="Y20" s="316"/>
      <c r="Z20" s="316"/>
      <c r="AA20" s="316"/>
      <c r="AB20" s="316"/>
      <c r="AC20" s="316"/>
      <c r="AD20" s="316"/>
      <c r="AE20" s="316"/>
      <c r="AF20" s="316"/>
      <c r="AG20" s="316"/>
      <c r="AH20" s="316"/>
      <c r="AI20" s="316"/>
      <c r="AJ20" s="316"/>
      <c r="AK20" s="316"/>
      <c r="AL20" s="316"/>
    </row>
    <row r="21" spans="1:38" ht="12.75">
      <c r="A21" s="316"/>
      <c r="B21" s="316"/>
      <c r="C21" s="316"/>
      <c r="D21" s="316"/>
      <c r="E21" s="316"/>
      <c r="F21" s="316"/>
      <c r="G21" s="316"/>
      <c r="H21" s="316"/>
      <c r="I21" s="316"/>
      <c r="J21" s="316"/>
      <c r="K21" s="316"/>
      <c r="L21" s="316"/>
      <c r="M21" s="316"/>
      <c r="N21" s="316"/>
      <c r="O21" s="316"/>
      <c r="P21" s="316"/>
      <c r="Q21" s="316"/>
      <c r="R21" s="316"/>
      <c r="S21" s="316"/>
      <c r="T21" s="316"/>
      <c r="U21" s="316"/>
      <c r="V21" s="316"/>
      <c r="W21" s="316"/>
      <c r="X21" s="316"/>
      <c r="Y21" s="316"/>
      <c r="Z21" s="316"/>
      <c r="AA21" s="316"/>
      <c r="AB21" s="316"/>
      <c r="AC21" s="316"/>
      <c r="AD21" s="316"/>
      <c r="AE21" s="316"/>
      <c r="AF21" s="316"/>
      <c r="AG21" s="316"/>
      <c r="AH21" s="316"/>
      <c r="AI21" s="316"/>
      <c r="AJ21" s="316"/>
      <c r="AK21" s="316"/>
      <c r="AL21" s="316"/>
    </row>
    <row r="22" spans="1:38" ht="12.75">
      <c r="A22" s="316"/>
      <c r="B22" s="316"/>
      <c r="C22" s="316"/>
      <c r="D22" s="316"/>
      <c r="E22" s="316"/>
      <c r="F22" s="316"/>
      <c r="G22" s="316"/>
      <c r="H22" s="316"/>
      <c r="I22" s="316"/>
      <c r="J22" s="316"/>
      <c r="K22" s="316"/>
      <c r="L22" s="316"/>
      <c r="M22" s="316"/>
      <c r="N22" s="316"/>
      <c r="O22" s="316"/>
      <c r="P22" s="316"/>
      <c r="Q22" s="316"/>
      <c r="R22" s="316"/>
      <c r="S22" s="316"/>
      <c r="T22" s="316"/>
      <c r="U22" s="316"/>
      <c r="V22" s="316"/>
      <c r="W22" s="316"/>
      <c r="X22" s="316"/>
      <c r="Y22" s="316"/>
      <c r="Z22" s="316"/>
      <c r="AA22" s="316"/>
      <c r="AB22" s="316"/>
      <c r="AC22" s="316"/>
      <c r="AD22" s="316"/>
      <c r="AE22" s="316"/>
      <c r="AF22" s="316"/>
      <c r="AG22" s="316"/>
      <c r="AH22" s="316"/>
      <c r="AI22" s="316"/>
      <c r="AJ22" s="316"/>
      <c r="AK22" s="316"/>
      <c r="AL22" s="316"/>
    </row>
    <row r="23" spans="1:38" ht="12.75">
      <c r="A23" s="316"/>
      <c r="B23" s="316"/>
      <c r="C23" s="316"/>
      <c r="D23" s="316"/>
      <c r="E23" s="316"/>
      <c r="F23" s="316"/>
      <c r="G23" s="316"/>
      <c r="H23" s="316"/>
      <c r="I23" s="316"/>
      <c r="J23" s="316"/>
      <c r="K23" s="316"/>
      <c r="L23" s="316"/>
      <c r="M23" s="316"/>
      <c r="N23" s="316"/>
      <c r="O23" s="316"/>
      <c r="P23" s="316"/>
      <c r="Q23" s="316"/>
      <c r="R23" s="316"/>
      <c r="S23" s="316"/>
      <c r="T23" s="316"/>
      <c r="U23" s="316"/>
      <c r="V23" s="316"/>
      <c r="W23" s="316"/>
      <c r="X23" s="316"/>
      <c r="Y23" s="316"/>
      <c r="Z23" s="316"/>
      <c r="AA23" s="316"/>
      <c r="AB23" s="316"/>
      <c r="AC23" s="316"/>
      <c r="AD23" s="316"/>
      <c r="AE23" s="316"/>
      <c r="AF23" s="316"/>
      <c r="AG23" s="316"/>
      <c r="AH23" s="316"/>
      <c r="AI23" s="316"/>
      <c r="AJ23" s="316"/>
      <c r="AK23" s="316"/>
      <c r="AL23" s="316"/>
    </row>
    <row r="24" spans="1:38" ht="12.75">
      <c r="A24" s="316"/>
      <c r="B24" s="316"/>
      <c r="C24" s="316"/>
      <c r="D24" s="316"/>
      <c r="E24" s="316"/>
      <c r="F24" s="316"/>
      <c r="G24" s="316"/>
      <c r="H24" s="316"/>
      <c r="I24" s="316"/>
      <c r="J24" s="316"/>
      <c r="K24" s="316"/>
      <c r="L24" s="316"/>
      <c r="M24" s="316"/>
      <c r="N24" s="316"/>
      <c r="O24" s="316"/>
      <c r="P24" s="316"/>
      <c r="Q24" s="316"/>
      <c r="R24" s="316"/>
      <c r="S24" s="316"/>
      <c r="T24" s="316"/>
      <c r="U24" s="316"/>
      <c r="V24" s="316"/>
      <c r="W24" s="316"/>
      <c r="X24" s="316"/>
      <c r="Y24" s="316"/>
      <c r="Z24" s="316"/>
      <c r="AA24" s="316"/>
      <c r="AB24" s="316"/>
      <c r="AC24" s="316"/>
      <c r="AD24" s="316"/>
      <c r="AE24" s="316"/>
      <c r="AF24" s="316"/>
      <c r="AG24" s="316"/>
      <c r="AH24" s="316"/>
      <c r="AI24" s="316"/>
      <c r="AJ24" s="316"/>
      <c r="AK24" s="316"/>
      <c r="AL24" s="316"/>
    </row>
    <row r="25" spans="1:38" ht="12.75">
      <c r="A25" s="316"/>
      <c r="B25" s="316"/>
      <c r="C25" s="316"/>
      <c r="D25" s="316"/>
      <c r="E25" s="316"/>
      <c r="F25" s="316"/>
      <c r="G25" s="316"/>
      <c r="H25" s="316"/>
      <c r="I25" s="316"/>
      <c r="J25" s="316"/>
      <c r="K25" s="316"/>
      <c r="L25" s="316"/>
      <c r="M25" s="316"/>
      <c r="N25" s="316"/>
      <c r="O25" s="316"/>
      <c r="P25" s="316"/>
      <c r="Q25" s="316"/>
      <c r="R25" s="316"/>
      <c r="S25" s="316"/>
      <c r="T25" s="316"/>
      <c r="U25" s="316"/>
      <c r="V25" s="316"/>
      <c r="W25" s="316"/>
      <c r="X25" s="316"/>
      <c r="Y25" s="316"/>
      <c r="Z25" s="316"/>
      <c r="AA25" s="316"/>
      <c r="AB25" s="316"/>
      <c r="AC25" s="316"/>
      <c r="AD25" s="316"/>
      <c r="AE25" s="316"/>
      <c r="AF25" s="316"/>
      <c r="AG25" s="316"/>
      <c r="AH25" s="316"/>
      <c r="AI25" s="316"/>
      <c r="AJ25" s="316"/>
      <c r="AK25" s="316"/>
      <c r="AL25" s="316"/>
    </row>
    <row r="26" spans="1:38" ht="12.75">
      <c r="A26" s="316"/>
      <c r="B26" s="316"/>
      <c r="C26" s="316"/>
      <c r="D26" s="316"/>
      <c r="E26" s="316"/>
      <c r="F26" s="316"/>
      <c r="G26" s="316"/>
      <c r="H26" s="316"/>
      <c r="I26" s="316"/>
      <c r="J26" s="316"/>
      <c r="K26" s="316"/>
      <c r="L26" s="316"/>
      <c r="M26" s="316"/>
      <c r="N26" s="316"/>
      <c r="O26" s="316"/>
      <c r="P26" s="316"/>
      <c r="Q26" s="316"/>
      <c r="R26" s="316"/>
      <c r="S26" s="316"/>
      <c r="T26" s="316"/>
      <c r="U26" s="316"/>
      <c r="V26" s="316"/>
      <c r="W26" s="316"/>
      <c r="X26" s="316"/>
      <c r="Y26" s="316"/>
      <c r="Z26" s="316"/>
      <c r="AA26" s="316"/>
      <c r="AB26" s="316"/>
      <c r="AC26" s="316"/>
      <c r="AD26" s="316"/>
      <c r="AE26" s="316"/>
      <c r="AF26" s="316"/>
      <c r="AG26" s="316"/>
      <c r="AH26" s="316"/>
      <c r="AI26" s="316"/>
      <c r="AJ26" s="316"/>
      <c r="AK26" s="316"/>
      <c r="AL26" s="316"/>
    </row>
    <row r="27" spans="1:38" ht="12.75">
      <c r="A27" s="316"/>
      <c r="B27" s="316"/>
      <c r="C27" s="316"/>
      <c r="D27" s="316"/>
      <c r="E27" s="316"/>
      <c r="F27" s="316"/>
      <c r="G27" s="316"/>
      <c r="H27" s="316"/>
      <c r="I27" s="316"/>
      <c r="J27" s="316"/>
      <c r="K27" s="316"/>
      <c r="L27" s="316"/>
      <c r="M27" s="316"/>
      <c r="N27" s="316"/>
      <c r="O27" s="316"/>
      <c r="P27" s="316"/>
      <c r="Q27" s="316"/>
      <c r="R27" s="316"/>
      <c r="S27" s="316"/>
      <c r="T27" s="316"/>
      <c r="U27" s="316"/>
      <c r="V27" s="316"/>
      <c r="W27" s="316"/>
      <c r="X27" s="316"/>
      <c r="Y27" s="316"/>
      <c r="Z27" s="316"/>
      <c r="AA27" s="316"/>
      <c r="AB27" s="316"/>
      <c r="AC27" s="316"/>
      <c r="AD27" s="316"/>
      <c r="AE27" s="316"/>
      <c r="AF27" s="316"/>
      <c r="AG27" s="316"/>
      <c r="AH27" s="316"/>
      <c r="AI27" s="316"/>
      <c r="AJ27" s="316"/>
      <c r="AK27" s="316"/>
      <c r="AL27" s="316"/>
    </row>
    <row r="28" spans="1:38" ht="12.75">
      <c r="A28" s="316"/>
      <c r="B28" s="316"/>
      <c r="C28" s="316"/>
      <c r="D28" s="316"/>
      <c r="E28" s="316"/>
      <c r="F28" s="316"/>
      <c r="G28" s="316"/>
      <c r="H28" s="316"/>
      <c r="I28" s="316"/>
      <c r="J28" s="316"/>
      <c r="K28" s="316"/>
      <c r="L28" s="316"/>
      <c r="M28" s="316"/>
      <c r="N28" s="316"/>
      <c r="O28" s="316"/>
      <c r="P28" s="316"/>
      <c r="Q28" s="316"/>
      <c r="R28" s="316"/>
      <c r="S28" s="316"/>
      <c r="T28" s="316"/>
      <c r="U28" s="316"/>
      <c r="V28" s="316"/>
      <c r="W28" s="316"/>
      <c r="X28" s="316"/>
      <c r="Y28" s="316"/>
      <c r="Z28" s="316"/>
      <c r="AA28" s="316"/>
      <c r="AB28" s="316"/>
      <c r="AC28" s="316"/>
      <c r="AD28" s="316"/>
      <c r="AE28" s="316"/>
      <c r="AF28" s="316"/>
      <c r="AG28" s="316"/>
      <c r="AH28" s="316"/>
      <c r="AI28" s="316"/>
      <c r="AJ28" s="316"/>
      <c r="AK28" s="316"/>
      <c r="AL28" s="316"/>
    </row>
    <row r="29" spans="1:38" ht="12.75">
      <c r="A29" s="316"/>
      <c r="B29" s="316"/>
      <c r="C29" s="316"/>
      <c r="D29" s="316"/>
      <c r="E29" s="316"/>
      <c r="F29" s="316"/>
      <c r="G29" s="316"/>
      <c r="H29" s="316"/>
      <c r="I29" s="316"/>
      <c r="J29" s="316"/>
      <c r="K29" s="316"/>
      <c r="L29" s="316"/>
      <c r="M29" s="316"/>
      <c r="N29" s="316"/>
      <c r="O29" s="316"/>
      <c r="P29" s="316"/>
      <c r="Q29" s="316"/>
      <c r="R29" s="316"/>
      <c r="S29" s="316"/>
      <c r="T29" s="316"/>
      <c r="U29" s="316"/>
      <c r="V29" s="316"/>
      <c r="W29" s="316"/>
      <c r="X29" s="316"/>
      <c r="Y29" s="316"/>
      <c r="Z29" s="316"/>
      <c r="AA29" s="316"/>
      <c r="AB29" s="316"/>
      <c r="AC29" s="316"/>
      <c r="AD29" s="316"/>
      <c r="AE29" s="316"/>
      <c r="AF29" s="316"/>
      <c r="AG29" s="316"/>
      <c r="AH29" s="316"/>
      <c r="AI29" s="316"/>
      <c r="AJ29" s="316"/>
      <c r="AK29" s="316"/>
      <c r="AL29" s="316"/>
    </row>
    <row r="30" spans="1:38" ht="12.75">
      <c r="A30" s="316"/>
      <c r="B30" s="316"/>
      <c r="C30" s="316"/>
      <c r="D30" s="316"/>
      <c r="E30" s="316"/>
      <c r="F30" s="316"/>
      <c r="G30" s="316"/>
      <c r="H30" s="316"/>
      <c r="I30" s="316"/>
      <c r="J30" s="316"/>
      <c r="K30" s="316"/>
      <c r="L30" s="316"/>
      <c r="M30" s="316"/>
      <c r="N30" s="316"/>
      <c r="O30" s="316"/>
      <c r="P30" s="316"/>
      <c r="Q30" s="316"/>
      <c r="R30" s="316"/>
      <c r="S30" s="316"/>
      <c r="T30" s="316"/>
      <c r="U30" s="316"/>
      <c r="V30" s="316"/>
      <c r="W30" s="316"/>
      <c r="X30" s="316"/>
      <c r="Y30" s="316"/>
      <c r="Z30" s="316"/>
      <c r="AA30" s="316"/>
      <c r="AB30" s="316"/>
      <c r="AC30" s="316"/>
      <c r="AD30" s="316"/>
      <c r="AE30" s="316"/>
      <c r="AF30" s="316"/>
      <c r="AG30" s="316"/>
      <c r="AH30" s="316"/>
      <c r="AI30" s="316"/>
      <c r="AJ30" s="316"/>
      <c r="AK30" s="316"/>
      <c r="AL30" s="316"/>
    </row>
    <row r="31" spans="1:38" ht="12.75">
      <c r="A31" s="316"/>
      <c r="B31" s="316"/>
      <c r="C31" s="316"/>
      <c r="D31" s="316"/>
      <c r="E31" s="316"/>
      <c r="F31" s="316"/>
      <c r="G31" s="316"/>
      <c r="H31" s="316"/>
      <c r="I31" s="316"/>
      <c r="J31" s="316"/>
      <c r="K31" s="316"/>
      <c r="L31" s="316"/>
      <c r="M31" s="316"/>
      <c r="N31" s="316"/>
      <c r="O31" s="316"/>
      <c r="P31" s="316"/>
      <c r="Q31" s="316"/>
      <c r="R31" s="316"/>
      <c r="S31" s="316"/>
      <c r="T31" s="316"/>
      <c r="U31" s="316"/>
      <c r="V31" s="316"/>
      <c r="W31" s="316"/>
      <c r="X31" s="316"/>
      <c r="Y31" s="316"/>
      <c r="Z31" s="316"/>
      <c r="AA31" s="316"/>
      <c r="AB31" s="316"/>
      <c r="AC31" s="316"/>
      <c r="AD31" s="316"/>
      <c r="AE31" s="316"/>
      <c r="AF31" s="316"/>
      <c r="AG31" s="316"/>
      <c r="AH31" s="316"/>
      <c r="AI31" s="316"/>
      <c r="AJ31" s="316"/>
      <c r="AK31" s="316"/>
      <c r="AL31" s="316"/>
    </row>
    <row r="32" spans="1:38" ht="12.75">
      <c r="A32" s="316"/>
      <c r="B32" s="316"/>
      <c r="C32" s="316"/>
      <c r="D32" s="316"/>
      <c r="E32" s="316"/>
      <c r="F32" s="316"/>
      <c r="G32" s="316"/>
      <c r="H32" s="316"/>
      <c r="I32" s="316"/>
      <c r="J32" s="316"/>
      <c r="K32" s="316"/>
      <c r="L32" s="316"/>
      <c r="M32" s="316"/>
      <c r="N32" s="316"/>
      <c r="O32" s="316"/>
      <c r="P32" s="316"/>
      <c r="Q32" s="316"/>
      <c r="R32" s="316"/>
      <c r="S32" s="316"/>
      <c r="T32" s="316"/>
      <c r="U32" s="316"/>
      <c r="V32" s="316"/>
      <c r="W32" s="316"/>
      <c r="X32" s="316"/>
      <c r="Y32" s="316"/>
      <c r="Z32" s="316"/>
      <c r="AA32" s="316"/>
      <c r="AB32" s="316"/>
      <c r="AC32" s="316"/>
      <c r="AD32" s="316"/>
      <c r="AE32" s="316"/>
      <c r="AF32" s="316"/>
      <c r="AG32" s="316"/>
      <c r="AH32" s="316"/>
      <c r="AI32" s="316"/>
      <c r="AJ32" s="316"/>
      <c r="AK32" s="316"/>
      <c r="AL32" s="316"/>
    </row>
    <row r="33" spans="1:38" ht="12.75">
      <c r="A33" s="316"/>
      <c r="B33" s="316"/>
      <c r="C33" s="316"/>
      <c r="D33" s="316"/>
      <c r="E33" s="316"/>
      <c r="F33" s="316"/>
      <c r="G33" s="316"/>
      <c r="H33" s="316"/>
      <c r="I33" s="316"/>
      <c r="J33" s="316"/>
      <c r="K33" s="316"/>
      <c r="L33" s="316"/>
      <c r="M33" s="316"/>
      <c r="N33" s="316"/>
      <c r="O33" s="316"/>
      <c r="P33" s="316"/>
      <c r="Q33" s="316"/>
      <c r="R33" s="316"/>
      <c r="S33" s="316"/>
      <c r="T33" s="316"/>
      <c r="U33" s="316"/>
      <c r="V33" s="316"/>
      <c r="W33" s="316"/>
      <c r="X33" s="316"/>
      <c r="Y33" s="316"/>
      <c r="Z33" s="316"/>
      <c r="AA33" s="316"/>
      <c r="AB33" s="316"/>
      <c r="AC33" s="316"/>
      <c r="AD33" s="316"/>
      <c r="AE33" s="316"/>
      <c r="AF33" s="316"/>
      <c r="AG33" s="316"/>
      <c r="AH33" s="316"/>
      <c r="AI33" s="316"/>
      <c r="AJ33" s="316"/>
      <c r="AK33" s="316"/>
      <c r="AL33" s="316"/>
    </row>
    <row r="34" spans="1:38" ht="12.75">
      <c r="A34" s="316"/>
      <c r="B34" s="316"/>
      <c r="C34" s="316"/>
      <c r="D34" s="316"/>
      <c r="E34" s="316"/>
      <c r="F34" s="316"/>
      <c r="G34" s="316"/>
      <c r="H34" s="316"/>
      <c r="I34" s="316"/>
      <c r="J34" s="316"/>
      <c r="K34" s="316"/>
      <c r="L34" s="316"/>
      <c r="M34" s="316"/>
      <c r="N34" s="316"/>
      <c r="O34" s="316"/>
      <c r="P34" s="316"/>
      <c r="Q34" s="316"/>
      <c r="R34" s="316"/>
      <c r="S34" s="316"/>
      <c r="T34" s="316"/>
      <c r="U34" s="316"/>
      <c r="V34" s="316"/>
      <c r="W34" s="316"/>
      <c r="X34" s="316"/>
      <c r="Y34" s="316"/>
      <c r="Z34" s="316"/>
      <c r="AA34" s="316"/>
      <c r="AB34" s="316"/>
      <c r="AC34" s="316"/>
      <c r="AD34" s="316"/>
      <c r="AE34" s="316"/>
      <c r="AF34" s="316"/>
      <c r="AG34" s="316"/>
      <c r="AH34" s="316"/>
      <c r="AI34" s="316"/>
      <c r="AJ34" s="316"/>
      <c r="AK34" s="316"/>
      <c r="AL34" s="316"/>
    </row>
    <row r="35" spans="1:38" ht="12.75">
      <c r="A35" s="316"/>
      <c r="B35" s="316"/>
      <c r="C35" s="316"/>
      <c r="D35" s="316"/>
      <c r="E35" s="316"/>
      <c r="F35" s="316"/>
      <c r="G35" s="316"/>
      <c r="H35" s="316"/>
      <c r="I35" s="316"/>
      <c r="J35" s="316"/>
      <c r="K35" s="316"/>
      <c r="L35" s="316"/>
      <c r="M35" s="316"/>
      <c r="N35" s="316"/>
      <c r="O35" s="316"/>
      <c r="P35" s="316"/>
      <c r="Q35" s="316"/>
      <c r="R35" s="316"/>
      <c r="S35" s="316"/>
      <c r="T35" s="316"/>
      <c r="U35" s="316"/>
      <c r="V35" s="316"/>
      <c r="W35" s="316"/>
      <c r="X35" s="316"/>
      <c r="Y35" s="316"/>
      <c r="Z35" s="316"/>
      <c r="AA35" s="316"/>
      <c r="AB35" s="316"/>
      <c r="AC35" s="316"/>
      <c r="AD35" s="316"/>
      <c r="AE35" s="316"/>
      <c r="AF35" s="316"/>
      <c r="AG35" s="316"/>
      <c r="AH35" s="316"/>
      <c r="AI35" s="316"/>
      <c r="AJ35" s="316"/>
      <c r="AK35" s="316"/>
      <c r="AL35" s="316"/>
    </row>
    <row r="36" spans="1:38" ht="12.75">
      <c r="A36" s="316"/>
      <c r="B36" s="316"/>
      <c r="C36" s="316"/>
      <c r="D36" s="316"/>
      <c r="E36" s="316"/>
      <c r="F36" s="316"/>
      <c r="G36" s="316"/>
      <c r="H36" s="316"/>
      <c r="I36" s="316"/>
      <c r="J36" s="316"/>
      <c r="K36" s="316"/>
      <c r="L36" s="316"/>
      <c r="M36" s="316"/>
      <c r="N36" s="316"/>
      <c r="O36" s="316"/>
      <c r="P36" s="316"/>
      <c r="Q36" s="316"/>
      <c r="R36" s="316"/>
      <c r="S36" s="316"/>
      <c r="T36" s="316"/>
      <c r="U36" s="316"/>
      <c r="V36" s="316"/>
      <c r="W36" s="316"/>
      <c r="X36" s="316"/>
      <c r="Y36" s="316"/>
      <c r="Z36" s="316"/>
      <c r="AA36" s="316"/>
      <c r="AB36" s="316"/>
      <c r="AC36" s="316"/>
      <c r="AD36" s="316"/>
      <c r="AE36" s="316"/>
      <c r="AF36" s="316"/>
      <c r="AG36" s="316"/>
      <c r="AH36" s="316"/>
      <c r="AI36" s="316"/>
      <c r="AJ36" s="316"/>
      <c r="AK36" s="316"/>
      <c r="AL36" s="316"/>
    </row>
    <row r="37" spans="1:38" ht="12.75">
      <c r="A37" s="316"/>
      <c r="B37" s="316"/>
      <c r="C37" s="316"/>
      <c r="D37" s="316"/>
      <c r="E37" s="316"/>
      <c r="F37" s="316"/>
      <c r="G37" s="316"/>
      <c r="H37" s="316"/>
      <c r="I37" s="316"/>
      <c r="J37" s="316"/>
      <c r="K37" s="316"/>
      <c r="L37" s="316"/>
      <c r="M37" s="316"/>
      <c r="N37" s="316"/>
      <c r="O37" s="316"/>
      <c r="P37" s="316"/>
      <c r="Q37" s="316"/>
      <c r="R37" s="316"/>
      <c r="S37" s="316"/>
      <c r="T37" s="316"/>
      <c r="U37" s="316"/>
      <c r="V37" s="316"/>
      <c r="W37" s="316"/>
      <c r="X37" s="316"/>
      <c r="Y37" s="316"/>
      <c r="Z37" s="316"/>
      <c r="AA37" s="316"/>
      <c r="AB37" s="316"/>
      <c r="AC37" s="316"/>
      <c r="AD37" s="316"/>
      <c r="AE37" s="316"/>
      <c r="AF37" s="316"/>
      <c r="AG37" s="316"/>
      <c r="AH37" s="316"/>
      <c r="AI37" s="316"/>
      <c r="AJ37" s="316"/>
      <c r="AK37" s="316"/>
      <c r="AL37" s="316"/>
    </row>
    <row r="38" spans="1:38" ht="12.75">
      <c r="A38" s="316"/>
      <c r="B38" s="316"/>
      <c r="C38" s="316"/>
      <c r="D38" s="316"/>
      <c r="E38" s="316"/>
      <c r="F38" s="316"/>
      <c r="G38" s="316"/>
      <c r="H38" s="316"/>
      <c r="I38" s="316"/>
      <c r="J38" s="316"/>
      <c r="K38" s="316"/>
      <c r="L38" s="316"/>
      <c r="M38" s="316"/>
      <c r="N38" s="316"/>
      <c r="O38" s="316"/>
      <c r="P38" s="316"/>
      <c r="Q38" s="316"/>
      <c r="R38" s="316"/>
      <c r="S38" s="316"/>
      <c r="T38" s="316"/>
      <c r="U38" s="316"/>
      <c r="V38" s="316"/>
      <c r="W38" s="316"/>
      <c r="X38" s="316"/>
      <c r="Y38" s="316"/>
      <c r="Z38" s="316"/>
      <c r="AA38" s="316"/>
      <c r="AB38" s="316"/>
      <c r="AC38" s="316"/>
      <c r="AD38" s="316"/>
      <c r="AE38" s="316"/>
      <c r="AF38" s="316"/>
      <c r="AG38" s="316"/>
      <c r="AH38" s="316"/>
      <c r="AI38" s="316"/>
      <c r="AJ38" s="316"/>
      <c r="AK38" s="316"/>
      <c r="AL38" s="316"/>
    </row>
    <row r="39" spans="1:38" ht="12.75">
      <c r="A39" s="316"/>
      <c r="B39" s="316"/>
      <c r="C39" s="316"/>
      <c r="D39" s="316"/>
      <c r="E39" s="316"/>
      <c r="F39" s="316"/>
      <c r="G39" s="316"/>
      <c r="H39" s="316"/>
      <c r="I39" s="316"/>
      <c r="J39" s="316"/>
      <c r="K39" s="316"/>
      <c r="L39" s="316"/>
      <c r="M39" s="316"/>
      <c r="N39" s="316"/>
      <c r="O39" s="316"/>
      <c r="P39" s="316"/>
      <c r="Q39" s="316"/>
      <c r="R39" s="316"/>
      <c r="S39" s="316"/>
      <c r="T39" s="316"/>
      <c r="U39" s="316"/>
      <c r="V39" s="316"/>
      <c r="W39" s="316"/>
      <c r="X39" s="316"/>
      <c r="Y39" s="316"/>
      <c r="Z39" s="316"/>
      <c r="AA39" s="316"/>
      <c r="AB39" s="316"/>
      <c r="AC39" s="316"/>
      <c r="AD39" s="316"/>
      <c r="AE39" s="316"/>
      <c r="AF39" s="316"/>
      <c r="AG39" s="316"/>
      <c r="AH39" s="316"/>
      <c r="AI39" s="316"/>
      <c r="AJ39" s="316"/>
      <c r="AK39" s="316"/>
      <c r="AL39" s="316"/>
    </row>
    <row r="40" spans="1:38" ht="12.75">
      <c r="A40" s="316"/>
      <c r="B40" s="316"/>
      <c r="C40" s="316"/>
      <c r="D40" s="316"/>
      <c r="E40" s="316"/>
      <c r="F40" s="316"/>
      <c r="G40" s="316"/>
      <c r="H40" s="316"/>
      <c r="I40" s="316"/>
      <c r="J40" s="316"/>
      <c r="K40" s="316"/>
      <c r="L40" s="316"/>
      <c r="M40" s="316"/>
      <c r="N40" s="316"/>
      <c r="O40" s="316"/>
      <c r="P40" s="316"/>
      <c r="Q40" s="316"/>
      <c r="R40" s="316"/>
      <c r="S40" s="316"/>
      <c r="T40" s="316"/>
      <c r="U40" s="316"/>
      <c r="V40" s="316"/>
      <c r="W40" s="316"/>
      <c r="X40" s="316"/>
      <c r="Y40" s="316"/>
      <c r="Z40" s="316"/>
      <c r="AA40" s="316"/>
      <c r="AB40" s="316"/>
      <c r="AC40" s="316"/>
      <c r="AD40" s="316"/>
      <c r="AE40" s="316"/>
      <c r="AF40" s="316"/>
      <c r="AG40" s="316"/>
      <c r="AH40" s="316"/>
      <c r="AI40" s="316"/>
      <c r="AJ40" s="316"/>
      <c r="AK40" s="316"/>
      <c r="AL40" s="316"/>
    </row>
    <row r="41" spans="1:38" ht="12.75">
      <c r="A41" s="317"/>
      <c r="B41" s="317"/>
      <c r="C41" s="317"/>
      <c r="D41" s="317"/>
      <c r="E41" s="317"/>
      <c r="F41" s="317"/>
      <c r="G41" s="317"/>
      <c r="H41" s="317"/>
      <c r="I41" s="317"/>
      <c r="J41" s="317"/>
      <c r="K41" s="317"/>
      <c r="L41" s="317"/>
      <c r="M41" s="317"/>
      <c r="N41" s="317"/>
      <c r="O41" s="317"/>
      <c r="P41" s="317"/>
      <c r="Q41" s="317"/>
      <c r="R41" s="317"/>
      <c r="S41" s="317"/>
      <c r="T41" s="317"/>
      <c r="U41" s="317"/>
      <c r="V41" s="317"/>
      <c r="W41" s="317"/>
      <c r="X41" s="317"/>
      <c r="Y41" s="317"/>
      <c r="Z41" s="317"/>
      <c r="AA41" s="317"/>
      <c r="AB41" s="317"/>
      <c r="AC41" s="317"/>
      <c r="AD41" s="317"/>
      <c r="AE41" s="317"/>
      <c r="AF41" s="317"/>
      <c r="AG41" s="317"/>
      <c r="AH41" s="317"/>
      <c r="AI41" s="317"/>
      <c r="AJ41" s="317"/>
      <c r="AK41" s="317"/>
      <c r="AL41" s="317"/>
    </row>
  </sheetData>
  <hyperlinks>
    <hyperlink ref="A1" r:id="rId1" xr:uid="{00000000-0004-0000-2C00-000000000000}"/>
    <hyperlink ref="B1" r:id="rId2" xr:uid="{00000000-0004-0000-2C00-000001000000}"/>
    <hyperlink ref="J1" r:id="rId3" xr:uid="{00000000-0004-0000-2C00-000002000000}"/>
    <hyperlink ref="P1" r:id="rId4" xr:uid="{00000000-0004-0000-2C00-000003000000}"/>
    <hyperlink ref="R1" r:id="rId5" xr:uid="{00000000-0004-0000-2C00-000004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0563C1"/>
    <outlinePr summaryBelow="0" summaryRight="0"/>
  </sheetPr>
  <dimension ref="A1:AL14"/>
  <sheetViews>
    <sheetView workbookViewId="0"/>
  </sheetViews>
  <sheetFormatPr baseColWidth="10" defaultColWidth="12.5703125" defaultRowHeight="15.75" customHeight="1"/>
  <sheetData>
    <row r="1" spans="1:38" ht="45" customHeight="1">
      <c r="A1" s="303" t="s">
        <v>12408</v>
      </c>
      <c r="B1" s="209" t="s">
        <v>12409</v>
      </c>
      <c r="C1" s="208" t="s">
        <v>8</v>
      </c>
      <c r="D1" s="304" t="s">
        <v>2192</v>
      </c>
      <c r="E1" s="208" t="s">
        <v>2191</v>
      </c>
      <c r="F1" s="208" t="s">
        <v>5</v>
      </c>
      <c r="G1" s="305" t="s">
        <v>12364</v>
      </c>
      <c r="H1" s="208" t="s">
        <v>10</v>
      </c>
      <c r="I1" s="306" t="s">
        <v>12365</v>
      </c>
      <c r="J1" s="307" t="s">
        <v>12366</v>
      </c>
      <c r="K1" s="208" t="s">
        <v>12367</v>
      </c>
      <c r="L1" s="308" t="s">
        <v>12368</v>
      </c>
      <c r="M1" s="208" t="s">
        <v>3</v>
      </c>
      <c r="N1" s="309" t="s">
        <v>12369</v>
      </c>
      <c r="O1" s="310" t="s">
        <v>12370</v>
      </c>
      <c r="P1" s="311" t="s">
        <v>12</v>
      </c>
      <c r="Q1" s="312" t="s">
        <v>13</v>
      </c>
      <c r="R1" s="312" t="s">
        <v>14</v>
      </c>
      <c r="S1" s="309" t="s">
        <v>15</v>
      </c>
      <c r="T1" s="309" t="s">
        <v>14</v>
      </c>
      <c r="U1" s="310" t="s">
        <v>12371</v>
      </c>
      <c r="V1" s="310" t="s">
        <v>12372</v>
      </c>
      <c r="W1" s="208" t="s">
        <v>12373</v>
      </c>
      <c r="X1" s="313" t="s">
        <v>12374</v>
      </c>
      <c r="Y1" s="313" t="s">
        <v>12375</v>
      </c>
      <c r="Z1" s="313" t="s">
        <v>12376</v>
      </c>
      <c r="AA1" s="208" t="s">
        <v>12377</v>
      </c>
      <c r="AB1" s="313" t="s">
        <v>12378</v>
      </c>
      <c r="AC1" s="313" t="s">
        <v>12379</v>
      </c>
    </row>
    <row r="2" spans="1:38" ht="12.75">
      <c r="A2" s="315" t="str">
        <f ca="1">IFERROR(__xludf.DUMMYFUNCTION("FILTER('GC maDMP Master Sheet'!J1:AS476,lookup(row(#REF!),if(len(#REF!),row(#REF!)),#REF!)=""11. HOST
Provides information on the system where data are stored. It can be used to provide details on a repository where data are deposited, e.g. a Core Trust S"&amp;"eal certified repository located in Europe that uses DOIs. It can also provide details on systems where data are stored and processed during research, e.g. a high performance computer that uses fast storage with two daily backups."")"),"#N/A")</f>
        <v>#N/A</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row>
    <row r="3" spans="1:38" ht="12.7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row>
    <row r="4" spans="1:38" ht="12.75">
      <c r="A4" s="316"/>
      <c r="B4" s="316"/>
      <c r="C4" s="316"/>
      <c r="D4" s="316"/>
      <c r="E4" s="316"/>
      <c r="F4" s="316"/>
      <c r="G4" s="316"/>
      <c r="H4" s="316"/>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row>
    <row r="5" spans="1:38" ht="12.75">
      <c r="A5" s="316"/>
      <c r="B5" s="316"/>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row>
    <row r="6" spans="1:38" ht="12.75">
      <c r="A6" s="316"/>
      <c r="B6" s="316"/>
      <c r="C6" s="316"/>
      <c r="D6" s="316"/>
      <c r="E6" s="316"/>
      <c r="F6" s="316"/>
      <c r="G6" s="316"/>
      <c r="H6" s="316"/>
      <c r="I6" s="316"/>
      <c r="J6" s="316"/>
      <c r="K6" s="316"/>
      <c r="L6" s="316"/>
      <c r="M6" s="316"/>
      <c r="N6" s="316"/>
      <c r="O6" s="316"/>
      <c r="P6" s="316"/>
      <c r="Q6" s="316"/>
      <c r="R6" s="316"/>
      <c r="S6" s="316"/>
      <c r="T6" s="316"/>
      <c r="U6" s="316"/>
      <c r="V6" s="316"/>
      <c r="W6" s="316"/>
      <c r="X6" s="316"/>
      <c r="Y6" s="316"/>
      <c r="Z6" s="316"/>
      <c r="AA6" s="316"/>
      <c r="AB6" s="316"/>
      <c r="AC6" s="316"/>
      <c r="AD6" s="316"/>
      <c r="AE6" s="316"/>
      <c r="AF6" s="316"/>
      <c r="AG6" s="316"/>
      <c r="AH6" s="316"/>
      <c r="AI6" s="316"/>
      <c r="AJ6" s="316"/>
      <c r="AK6" s="316"/>
      <c r="AL6" s="316"/>
    </row>
    <row r="7" spans="1:38" ht="12.75">
      <c r="A7" s="316"/>
      <c r="B7" s="316"/>
      <c r="C7" s="316"/>
      <c r="D7" s="316"/>
      <c r="E7" s="316"/>
      <c r="F7" s="316"/>
      <c r="G7" s="316"/>
      <c r="H7" s="316"/>
      <c r="I7" s="316"/>
      <c r="J7" s="316"/>
      <c r="K7" s="316"/>
      <c r="L7" s="316"/>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row>
    <row r="8" spans="1:38" ht="12.75">
      <c r="A8" s="316"/>
      <c r="B8" s="316"/>
      <c r="C8" s="316"/>
      <c r="D8" s="316"/>
      <c r="E8" s="316"/>
      <c r="F8" s="316"/>
      <c r="G8" s="316"/>
      <c r="H8" s="316"/>
      <c r="I8" s="316"/>
      <c r="J8" s="316"/>
      <c r="K8" s="316"/>
      <c r="L8" s="316"/>
      <c r="M8" s="316"/>
      <c r="N8" s="316"/>
      <c r="O8" s="316"/>
      <c r="P8" s="316"/>
      <c r="Q8" s="316"/>
      <c r="R8" s="316"/>
      <c r="S8" s="316"/>
      <c r="T8" s="316"/>
      <c r="U8" s="316"/>
      <c r="V8" s="316"/>
      <c r="W8" s="316"/>
      <c r="X8" s="316"/>
      <c r="Y8" s="316"/>
      <c r="Z8" s="316"/>
      <c r="AA8" s="316"/>
      <c r="AB8" s="316"/>
      <c r="AC8" s="316"/>
      <c r="AD8" s="316"/>
      <c r="AE8" s="316"/>
      <c r="AF8" s="316"/>
      <c r="AG8" s="316"/>
      <c r="AH8" s="316"/>
      <c r="AI8" s="316"/>
      <c r="AJ8" s="316"/>
      <c r="AK8" s="316"/>
      <c r="AL8" s="316"/>
    </row>
    <row r="9" spans="1:38" ht="12.75">
      <c r="A9" s="316"/>
      <c r="B9" s="316"/>
      <c r="C9" s="316"/>
      <c r="D9" s="316"/>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row>
    <row r="10" spans="1:38" ht="12.75">
      <c r="A10" s="316"/>
      <c r="B10" s="316"/>
      <c r="C10" s="316"/>
      <c r="D10" s="316"/>
      <c r="E10" s="316"/>
      <c r="F10" s="316"/>
      <c r="G10" s="316"/>
      <c r="H10" s="316"/>
      <c r="I10" s="316"/>
      <c r="J10" s="316"/>
      <c r="K10" s="316"/>
      <c r="L10" s="316"/>
      <c r="M10" s="316"/>
      <c r="N10" s="316"/>
      <c r="O10" s="316"/>
      <c r="P10" s="316"/>
      <c r="Q10" s="316"/>
      <c r="R10" s="316"/>
      <c r="S10" s="316"/>
      <c r="T10" s="316"/>
      <c r="U10" s="316"/>
      <c r="V10" s="316"/>
      <c r="W10" s="316"/>
      <c r="X10" s="316"/>
      <c r="Y10" s="316"/>
      <c r="Z10" s="316"/>
      <c r="AA10" s="316"/>
      <c r="AB10" s="316"/>
      <c r="AC10" s="316"/>
      <c r="AD10" s="316"/>
      <c r="AE10" s="316"/>
      <c r="AF10" s="316"/>
      <c r="AG10" s="316"/>
      <c r="AH10" s="316"/>
      <c r="AI10" s="316"/>
      <c r="AJ10" s="316"/>
      <c r="AK10" s="316"/>
      <c r="AL10" s="316"/>
    </row>
    <row r="11" spans="1:38" ht="12.75">
      <c r="A11" s="316"/>
      <c r="B11" s="316"/>
      <c r="C11" s="316"/>
      <c r="D11" s="316"/>
      <c r="E11" s="316"/>
      <c r="F11" s="316"/>
      <c r="G11" s="316"/>
      <c r="H11" s="316"/>
      <c r="I11" s="316"/>
      <c r="J11" s="316"/>
      <c r="K11" s="316"/>
      <c r="L11" s="316"/>
      <c r="M11" s="316"/>
      <c r="N11" s="316"/>
      <c r="O11" s="316"/>
      <c r="P11" s="316"/>
      <c r="Q11" s="316"/>
      <c r="R11" s="316"/>
      <c r="S11" s="316"/>
      <c r="T11" s="316"/>
      <c r="U11" s="316"/>
      <c r="V11" s="316"/>
      <c r="W11" s="316"/>
      <c r="X11" s="316"/>
      <c r="Y11" s="316"/>
      <c r="Z11" s="316"/>
      <c r="AA11" s="316"/>
      <c r="AB11" s="316"/>
      <c r="AC11" s="316"/>
      <c r="AD11" s="316"/>
      <c r="AE11" s="316"/>
      <c r="AF11" s="316"/>
      <c r="AG11" s="316"/>
      <c r="AH11" s="316"/>
      <c r="AI11" s="316"/>
      <c r="AJ11" s="316"/>
      <c r="AK11" s="316"/>
      <c r="AL11" s="316"/>
    </row>
    <row r="12" spans="1:38" ht="12.75">
      <c r="A12" s="316"/>
      <c r="B12" s="316"/>
      <c r="C12" s="316"/>
      <c r="D12" s="316"/>
      <c r="E12" s="316"/>
      <c r="F12" s="316"/>
      <c r="G12" s="316"/>
      <c r="H12" s="316"/>
      <c r="I12" s="316"/>
      <c r="J12" s="316"/>
      <c r="K12" s="316"/>
      <c r="L12" s="316"/>
      <c r="M12" s="316"/>
      <c r="N12" s="316"/>
      <c r="O12" s="316"/>
      <c r="P12" s="316"/>
      <c r="Q12" s="316"/>
      <c r="R12" s="316"/>
      <c r="S12" s="316"/>
      <c r="T12" s="316"/>
      <c r="U12" s="316"/>
      <c r="V12" s="316"/>
      <c r="W12" s="316"/>
      <c r="X12" s="316"/>
      <c r="Y12" s="316"/>
      <c r="Z12" s="316"/>
      <c r="AA12" s="316"/>
      <c r="AB12" s="316"/>
      <c r="AC12" s="316"/>
      <c r="AD12" s="316"/>
      <c r="AE12" s="316"/>
      <c r="AF12" s="316"/>
      <c r="AG12" s="316"/>
      <c r="AH12" s="316"/>
      <c r="AI12" s="316"/>
      <c r="AJ12" s="316"/>
      <c r="AK12" s="316"/>
      <c r="AL12" s="316"/>
    </row>
    <row r="13" spans="1:38" ht="12.75">
      <c r="A13" s="316"/>
      <c r="B13" s="316"/>
      <c r="C13" s="316"/>
      <c r="D13" s="316"/>
      <c r="E13" s="316"/>
      <c r="F13" s="316"/>
      <c r="G13" s="316"/>
      <c r="H13" s="316"/>
      <c r="I13" s="316"/>
      <c r="J13" s="316"/>
      <c r="K13" s="316"/>
      <c r="L13" s="316"/>
      <c r="M13" s="316"/>
      <c r="N13" s="316"/>
      <c r="O13" s="316"/>
      <c r="P13" s="316"/>
      <c r="Q13" s="316"/>
      <c r="R13" s="316"/>
      <c r="S13" s="316"/>
      <c r="T13" s="316"/>
      <c r="U13" s="316"/>
      <c r="V13" s="316"/>
      <c r="W13" s="316"/>
      <c r="X13" s="316"/>
      <c r="Y13" s="316"/>
      <c r="Z13" s="316"/>
      <c r="AA13" s="316"/>
      <c r="AB13" s="316"/>
      <c r="AC13" s="316"/>
      <c r="AD13" s="316"/>
      <c r="AE13" s="316"/>
      <c r="AF13" s="316"/>
      <c r="AG13" s="316"/>
      <c r="AH13" s="316"/>
      <c r="AI13" s="316"/>
      <c r="AJ13" s="316"/>
      <c r="AK13" s="316"/>
      <c r="AL13" s="316"/>
    </row>
    <row r="14" spans="1:38" ht="12.75">
      <c r="A14" s="317"/>
      <c r="B14" s="317"/>
      <c r="C14" s="317"/>
      <c r="D14" s="317"/>
      <c r="E14" s="317"/>
      <c r="F14" s="317"/>
      <c r="G14" s="317"/>
      <c r="H14" s="317"/>
      <c r="I14" s="317"/>
      <c r="J14" s="317"/>
      <c r="K14" s="317"/>
      <c r="L14" s="317"/>
      <c r="M14" s="317"/>
      <c r="N14" s="317"/>
      <c r="O14" s="317"/>
      <c r="P14" s="317"/>
      <c r="Q14" s="317"/>
      <c r="R14" s="317"/>
      <c r="S14" s="317"/>
      <c r="T14" s="317"/>
      <c r="U14" s="317"/>
      <c r="V14" s="317"/>
      <c r="W14" s="317"/>
      <c r="X14" s="317"/>
      <c r="Y14" s="317"/>
      <c r="Z14" s="317"/>
      <c r="AA14" s="317"/>
      <c r="AB14" s="317"/>
      <c r="AC14" s="317"/>
      <c r="AD14" s="317"/>
      <c r="AE14" s="317"/>
      <c r="AF14" s="317"/>
      <c r="AG14" s="317"/>
      <c r="AH14" s="317"/>
      <c r="AI14" s="317"/>
      <c r="AJ14" s="317"/>
      <c r="AK14" s="317"/>
      <c r="AL14" s="317"/>
    </row>
  </sheetData>
  <hyperlinks>
    <hyperlink ref="A1" r:id="rId1" xr:uid="{00000000-0004-0000-2D00-000000000000}"/>
    <hyperlink ref="B1" r:id="rId2" xr:uid="{00000000-0004-0000-2D00-000001000000}"/>
    <hyperlink ref="J1" r:id="rId3" xr:uid="{00000000-0004-0000-2D00-000002000000}"/>
    <hyperlink ref="P1" r:id="rId4" xr:uid="{00000000-0004-0000-2D00-000003000000}"/>
    <hyperlink ref="R1" r:id="rId5" xr:uid="{00000000-0004-0000-2D00-000004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0563C1"/>
    <outlinePr summaryBelow="0" summaryRight="0"/>
  </sheetPr>
  <dimension ref="A1:AL25"/>
  <sheetViews>
    <sheetView workbookViewId="0"/>
  </sheetViews>
  <sheetFormatPr baseColWidth="10" defaultColWidth="12.5703125" defaultRowHeight="15.75" customHeight="1"/>
  <sheetData>
    <row r="1" spans="1:38" ht="45" customHeight="1">
      <c r="A1" s="303" t="s">
        <v>12410</v>
      </c>
      <c r="B1" s="209" t="s">
        <v>12411</v>
      </c>
      <c r="C1" s="208" t="s">
        <v>8</v>
      </c>
      <c r="D1" s="304" t="s">
        <v>2192</v>
      </c>
      <c r="E1" s="208" t="s">
        <v>2191</v>
      </c>
      <c r="F1" s="208" t="s">
        <v>5</v>
      </c>
      <c r="G1" s="305" t="s">
        <v>12364</v>
      </c>
      <c r="H1" s="208" t="s">
        <v>10</v>
      </c>
      <c r="I1" s="306" t="s">
        <v>12365</v>
      </c>
      <c r="J1" s="307" t="s">
        <v>12366</v>
      </c>
      <c r="K1" s="208" t="s">
        <v>12367</v>
      </c>
      <c r="L1" s="308" t="s">
        <v>12368</v>
      </c>
      <c r="M1" s="208" t="s">
        <v>3</v>
      </c>
      <c r="N1" s="309" t="s">
        <v>12369</v>
      </c>
      <c r="O1" s="310" t="s">
        <v>12370</v>
      </c>
      <c r="P1" s="311" t="s">
        <v>12</v>
      </c>
      <c r="Q1" s="312" t="s">
        <v>13</v>
      </c>
      <c r="R1" s="312" t="s">
        <v>14</v>
      </c>
      <c r="S1" s="309" t="s">
        <v>15</v>
      </c>
      <c r="T1" s="309" t="s">
        <v>14</v>
      </c>
      <c r="U1" s="310" t="s">
        <v>12371</v>
      </c>
      <c r="V1" s="310" t="s">
        <v>12372</v>
      </c>
      <c r="W1" s="208" t="s">
        <v>12373</v>
      </c>
      <c r="X1" s="313" t="s">
        <v>12374</v>
      </c>
      <c r="Y1" s="313" t="s">
        <v>12375</v>
      </c>
      <c r="Z1" s="313" t="s">
        <v>12376</v>
      </c>
      <c r="AA1" s="208" t="s">
        <v>12377</v>
      </c>
      <c r="AB1" s="313" t="s">
        <v>12378</v>
      </c>
      <c r="AC1" s="313" t="s">
        <v>12379</v>
      </c>
    </row>
    <row r="2" spans="1:38" ht="12.75">
      <c r="A2" s="315" t="str">
        <f ca="1">IFERROR(__xludf.DUMMYFUNCTION("FILTER('GC maDMP Master Sheet'!J1:AS476,lookup(row(#REF!),if(len(#REF!),row(#REF!)),#REF!)=""12. DISPOSITION AND RETENTION"")"),"#N/A")</f>
        <v>#N/A</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row>
    <row r="3" spans="1:38" ht="12.75">
      <c r="A3" s="316"/>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row>
    <row r="4" spans="1:38" ht="12.75">
      <c r="A4" s="316"/>
      <c r="B4" s="316"/>
      <c r="C4" s="316"/>
      <c r="D4" s="316"/>
      <c r="E4" s="316"/>
      <c r="F4" s="316"/>
      <c r="G4" s="316"/>
      <c r="H4" s="316"/>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row>
    <row r="5" spans="1:38" ht="12.75">
      <c r="A5" s="316"/>
      <c r="B5" s="316"/>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row>
    <row r="6" spans="1:38" ht="12.75">
      <c r="A6" s="316"/>
      <c r="B6" s="316"/>
      <c r="C6" s="316"/>
      <c r="D6" s="316"/>
      <c r="E6" s="316"/>
      <c r="F6" s="316"/>
      <c r="G6" s="316"/>
      <c r="H6" s="316"/>
      <c r="I6" s="316"/>
      <c r="J6" s="316"/>
      <c r="K6" s="316"/>
      <c r="L6" s="316"/>
      <c r="M6" s="316"/>
      <c r="N6" s="316"/>
      <c r="O6" s="316"/>
      <c r="P6" s="316"/>
      <c r="Q6" s="316"/>
      <c r="R6" s="316"/>
      <c r="S6" s="316"/>
      <c r="T6" s="316"/>
      <c r="U6" s="316"/>
      <c r="V6" s="316"/>
      <c r="W6" s="316"/>
      <c r="X6" s="316"/>
      <c r="Y6" s="316"/>
      <c r="Z6" s="316"/>
      <c r="AA6" s="316"/>
      <c r="AB6" s="316"/>
      <c r="AC6" s="316"/>
      <c r="AD6" s="316"/>
      <c r="AE6" s="316"/>
      <c r="AF6" s="316"/>
      <c r="AG6" s="316"/>
      <c r="AH6" s="316"/>
      <c r="AI6" s="316"/>
      <c r="AJ6" s="316"/>
      <c r="AK6" s="316"/>
      <c r="AL6" s="316"/>
    </row>
    <row r="7" spans="1:38" ht="12.75">
      <c r="A7" s="316"/>
      <c r="B7" s="316"/>
      <c r="C7" s="316"/>
      <c r="D7" s="316"/>
      <c r="E7" s="316"/>
      <c r="F7" s="316"/>
      <c r="G7" s="316"/>
      <c r="H7" s="316"/>
      <c r="I7" s="316"/>
      <c r="J7" s="316"/>
      <c r="K7" s="316"/>
      <c r="L7" s="316"/>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row>
    <row r="8" spans="1:38" ht="12.75">
      <c r="A8" s="316"/>
      <c r="B8" s="316"/>
      <c r="C8" s="316"/>
      <c r="D8" s="316"/>
      <c r="E8" s="316"/>
      <c r="F8" s="316"/>
      <c r="G8" s="316"/>
      <c r="H8" s="316"/>
      <c r="I8" s="316"/>
      <c r="J8" s="316"/>
      <c r="K8" s="316"/>
      <c r="L8" s="316"/>
      <c r="M8" s="316"/>
      <c r="N8" s="316"/>
      <c r="O8" s="316"/>
      <c r="P8" s="316"/>
      <c r="Q8" s="316"/>
      <c r="R8" s="316"/>
      <c r="S8" s="316"/>
      <c r="T8" s="316"/>
      <c r="U8" s="316"/>
      <c r="V8" s="316"/>
      <c r="W8" s="316"/>
      <c r="X8" s="316"/>
      <c r="Y8" s="316"/>
      <c r="Z8" s="316"/>
      <c r="AA8" s="316"/>
      <c r="AB8" s="316"/>
      <c r="AC8" s="316"/>
      <c r="AD8" s="316"/>
      <c r="AE8" s="316"/>
      <c r="AF8" s="316"/>
      <c r="AG8" s="316"/>
      <c r="AH8" s="316"/>
      <c r="AI8" s="316"/>
      <c r="AJ8" s="316"/>
      <c r="AK8" s="316"/>
      <c r="AL8" s="316"/>
    </row>
    <row r="9" spans="1:38" ht="12.75">
      <c r="A9" s="316"/>
      <c r="B9" s="316"/>
      <c r="C9" s="316"/>
      <c r="D9" s="316"/>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row>
    <row r="10" spans="1:38" ht="12.75">
      <c r="A10" s="316"/>
      <c r="B10" s="316"/>
      <c r="C10" s="316"/>
      <c r="D10" s="316"/>
      <c r="E10" s="316"/>
      <c r="F10" s="316"/>
      <c r="G10" s="316"/>
      <c r="H10" s="316"/>
      <c r="I10" s="316"/>
      <c r="J10" s="316"/>
      <c r="K10" s="316"/>
      <c r="L10" s="316"/>
      <c r="M10" s="316"/>
      <c r="N10" s="316"/>
      <c r="O10" s="316"/>
      <c r="P10" s="316"/>
      <c r="Q10" s="316"/>
      <c r="R10" s="316"/>
      <c r="S10" s="316"/>
      <c r="T10" s="316"/>
      <c r="U10" s="316"/>
      <c r="V10" s="316"/>
      <c r="W10" s="316"/>
      <c r="X10" s="316"/>
      <c r="Y10" s="316"/>
      <c r="Z10" s="316"/>
      <c r="AA10" s="316"/>
      <c r="AB10" s="316"/>
      <c r="AC10" s="316"/>
      <c r="AD10" s="316"/>
      <c r="AE10" s="316"/>
      <c r="AF10" s="316"/>
      <c r="AG10" s="316"/>
      <c r="AH10" s="316"/>
      <c r="AI10" s="316"/>
      <c r="AJ10" s="316"/>
      <c r="AK10" s="316"/>
      <c r="AL10" s="316"/>
    </row>
    <row r="11" spans="1:38" ht="12.75">
      <c r="A11" s="316"/>
      <c r="B11" s="316"/>
      <c r="C11" s="316"/>
      <c r="D11" s="316"/>
      <c r="E11" s="316"/>
      <c r="F11" s="316"/>
      <c r="G11" s="316"/>
      <c r="H11" s="316"/>
      <c r="I11" s="316"/>
      <c r="J11" s="316"/>
      <c r="K11" s="316"/>
      <c r="L11" s="316"/>
      <c r="M11" s="316"/>
      <c r="N11" s="316"/>
      <c r="O11" s="316"/>
      <c r="P11" s="316"/>
      <c r="Q11" s="316"/>
      <c r="R11" s="316"/>
      <c r="S11" s="316"/>
      <c r="T11" s="316"/>
      <c r="U11" s="316"/>
      <c r="V11" s="316"/>
      <c r="W11" s="316"/>
      <c r="X11" s="316"/>
      <c r="Y11" s="316"/>
      <c r="Z11" s="316"/>
      <c r="AA11" s="316"/>
      <c r="AB11" s="316"/>
      <c r="AC11" s="316"/>
      <c r="AD11" s="316"/>
      <c r="AE11" s="316"/>
      <c r="AF11" s="316"/>
      <c r="AG11" s="316"/>
      <c r="AH11" s="316"/>
      <c r="AI11" s="316"/>
      <c r="AJ11" s="316"/>
      <c r="AK11" s="316"/>
      <c r="AL11" s="316"/>
    </row>
    <row r="12" spans="1:38" ht="12.75">
      <c r="A12" s="316"/>
      <c r="B12" s="316"/>
      <c r="C12" s="316"/>
      <c r="D12" s="316"/>
      <c r="E12" s="316"/>
      <c r="F12" s="316"/>
      <c r="G12" s="316"/>
      <c r="H12" s="316"/>
      <c r="I12" s="316"/>
      <c r="J12" s="316"/>
      <c r="K12" s="316"/>
      <c r="L12" s="316"/>
      <c r="M12" s="316"/>
      <c r="N12" s="316"/>
      <c r="O12" s="316"/>
      <c r="P12" s="316"/>
      <c r="Q12" s="316"/>
      <c r="R12" s="316"/>
      <c r="S12" s="316"/>
      <c r="T12" s="316"/>
      <c r="U12" s="316"/>
      <c r="V12" s="316"/>
      <c r="W12" s="316"/>
      <c r="X12" s="316"/>
      <c r="Y12" s="316"/>
      <c r="Z12" s="316"/>
      <c r="AA12" s="316"/>
      <c r="AB12" s="316"/>
      <c r="AC12" s="316"/>
      <c r="AD12" s="316"/>
      <c r="AE12" s="316"/>
      <c r="AF12" s="316"/>
      <c r="AG12" s="316"/>
      <c r="AH12" s="316"/>
      <c r="AI12" s="316"/>
      <c r="AJ12" s="316"/>
      <c r="AK12" s="316"/>
      <c r="AL12" s="316"/>
    </row>
    <row r="13" spans="1:38" ht="12.75">
      <c r="A13" s="316"/>
      <c r="B13" s="316"/>
      <c r="C13" s="316"/>
      <c r="D13" s="316"/>
      <c r="E13" s="316"/>
      <c r="F13" s="316"/>
      <c r="G13" s="316"/>
      <c r="H13" s="316"/>
      <c r="I13" s="316"/>
      <c r="J13" s="316"/>
      <c r="K13" s="316"/>
      <c r="L13" s="316"/>
      <c r="M13" s="316"/>
      <c r="N13" s="316"/>
      <c r="O13" s="316"/>
      <c r="P13" s="316"/>
      <c r="Q13" s="316"/>
      <c r="R13" s="316"/>
      <c r="S13" s="316"/>
      <c r="T13" s="316"/>
      <c r="U13" s="316"/>
      <c r="V13" s="316"/>
      <c r="W13" s="316"/>
      <c r="X13" s="316"/>
      <c r="Y13" s="316"/>
      <c r="Z13" s="316"/>
      <c r="AA13" s="316"/>
      <c r="AB13" s="316"/>
      <c r="AC13" s="316"/>
      <c r="AD13" s="316"/>
      <c r="AE13" s="316"/>
      <c r="AF13" s="316"/>
      <c r="AG13" s="316"/>
      <c r="AH13" s="316"/>
      <c r="AI13" s="316"/>
      <c r="AJ13" s="316"/>
      <c r="AK13" s="316"/>
      <c r="AL13" s="316"/>
    </row>
    <row r="14" spans="1:38" ht="12.75">
      <c r="A14" s="316"/>
      <c r="B14" s="316"/>
      <c r="C14" s="316"/>
      <c r="D14" s="316"/>
      <c r="E14" s="316"/>
      <c r="F14" s="316"/>
      <c r="G14" s="316"/>
      <c r="H14" s="316"/>
      <c r="I14" s="316"/>
      <c r="J14" s="316"/>
      <c r="K14" s="316"/>
      <c r="L14" s="316"/>
      <c r="M14" s="316"/>
      <c r="N14" s="316"/>
      <c r="O14" s="316"/>
      <c r="P14" s="316"/>
      <c r="Q14" s="316"/>
      <c r="R14" s="316"/>
      <c r="S14" s="316"/>
      <c r="T14" s="316"/>
      <c r="U14" s="316"/>
      <c r="V14" s="316"/>
      <c r="W14" s="316"/>
      <c r="X14" s="316"/>
      <c r="Y14" s="316"/>
      <c r="Z14" s="316"/>
      <c r="AA14" s="316"/>
      <c r="AB14" s="316"/>
      <c r="AC14" s="316"/>
      <c r="AD14" s="316"/>
      <c r="AE14" s="316"/>
      <c r="AF14" s="316"/>
      <c r="AG14" s="316"/>
      <c r="AH14" s="316"/>
      <c r="AI14" s="316"/>
      <c r="AJ14" s="316"/>
      <c r="AK14" s="316"/>
      <c r="AL14" s="316"/>
    </row>
    <row r="15" spans="1:38" ht="12.75">
      <c r="A15" s="316"/>
      <c r="B15" s="316"/>
      <c r="C15" s="316"/>
      <c r="D15" s="316"/>
      <c r="E15" s="316"/>
      <c r="F15" s="316"/>
      <c r="G15" s="316"/>
      <c r="H15" s="316"/>
      <c r="I15" s="316"/>
      <c r="J15" s="316"/>
      <c r="K15" s="316"/>
      <c r="L15" s="316"/>
      <c r="M15" s="316"/>
      <c r="N15" s="316"/>
      <c r="O15" s="316"/>
      <c r="P15" s="316"/>
      <c r="Q15" s="316"/>
      <c r="R15" s="316"/>
      <c r="S15" s="316"/>
      <c r="T15" s="316"/>
      <c r="U15" s="316"/>
      <c r="V15" s="316"/>
      <c r="W15" s="316"/>
      <c r="X15" s="316"/>
      <c r="Y15" s="316"/>
      <c r="Z15" s="316"/>
      <c r="AA15" s="316"/>
      <c r="AB15" s="316"/>
      <c r="AC15" s="316"/>
      <c r="AD15" s="316"/>
      <c r="AE15" s="316"/>
      <c r="AF15" s="316"/>
      <c r="AG15" s="316"/>
      <c r="AH15" s="316"/>
      <c r="AI15" s="316"/>
      <c r="AJ15" s="316"/>
      <c r="AK15" s="316"/>
      <c r="AL15" s="316"/>
    </row>
    <row r="16" spans="1:38" ht="12.75">
      <c r="A16" s="316"/>
      <c r="B16" s="316"/>
      <c r="C16" s="316"/>
      <c r="D16" s="316"/>
      <c r="E16" s="316"/>
      <c r="F16" s="316"/>
      <c r="G16" s="316"/>
      <c r="H16" s="316"/>
      <c r="I16" s="316"/>
      <c r="J16" s="316"/>
      <c r="K16" s="316"/>
      <c r="L16" s="316"/>
      <c r="M16" s="316"/>
      <c r="N16" s="316"/>
      <c r="O16" s="316"/>
      <c r="P16" s="316"/>
      <c r="Q16" s="316"/>
      <c r="R16" s="316"/>
      <c r="S16" s="316"/>
      <c r="T16" s="316"/>
      <c r="U16" s="316"/>
      <c r="V16" s="316"/>
      <c r="W16" s="316"/>
      <c r="X16" s="316"/>
      <c r="Y16" s="316"/>
      <c r="Z16" s="316"/>
      <c r="AA16" s="316"/>
      <c r="AB16" s="316"/>
      <c r="AC16" s="316"/>
      <c r="AD16" s="316"/>
      <c r="AE16" s="316"/>
      <c r="AF16" s="316"/>
      <c r="AG16" s="316"/>
      <c r="AH16" s="316"/>
      <c r="AI16" s="316"/>
      <c r="AJ16" s="316"/>
      <c r="AK16" s="316"/>
      <c r="AL16" s="316"/>
    </row>
    <row r="17" spans="1:38" ht="12.75">
      <c r="A17" s="316"/>
      <c r="B17" s="316"/>
      <c r="C17" s="316"/>
      <c r="D17" s="316"/>
      <c r="E17" s="316"/>
      <c r="F17" s="316"/>
      <c r="G17" s="316"/>
      <c r="H17" s="316"/>
      <c r="I17" s="316"/>
      <c r="J17" s="316"/>
      <c r="K17" s="316"/>
      <c r="L17" s="316"/>
      <c r="M17" s="316"/>
      <c r="N17" s="316"/>
      <c r="O17" s="316"/>
      <c r="P17" s="316"/>
      <c r="Q17" s="316"/>
      <c r="R17" s="316"/>
      <c r="S17" s="316"/>
      <c r="T17" s="316"/>
      <c r="U17" s="316"/>
      <c r="V17" s="316"/>
      <c r="W17" s="316"/>
      <c r="X17" s="316"/>
      <c r="Y17" s="316"/>
      <c r="Z17" s="316"/>
      <c r="AA17" s="316"/>
      <c r="AB17" s="316"/>
      <c r="AC17" s="316"/>
      <c r="AD17" s="316"/>
      <c r="AE17" s="316"/>
      <c r="AF17" s="316"/>
      <c r="AG17" s="316"/>
      <c r="AH17" s="316"/>
      <c r="AI17" s="316"/>
      <c r="AJ17" s="316"/>
      <c r="AK17" s="316"/>
      <c r="AL17" s="316"/>
    </row>
    <row r="18" spans="1:38" ht="12.75">
      <c r="A18" s="316"/>
      <c r="B18" s="316"/>
      <c r="C18" s="316"/>
      <c r="D18" s="316"/>
      <c r="E18" s="316"/>
      <c r="F18" s="316"/>
      <c r="G18" s="316"/>
      <c r="H18" s="316"/>
      <c r="I18" s="316"/>
      <c r="J18" s="316"/>
      <c r="K18" s="316"/>
      <c r="L18" s="316"/>
      <c r="M18" s="316"/>
      <c r="N18" s="316"/>
      <c r="O18" s="316"/>
      <c r="P18" s="316"/>
      <c r="Q18" s="316"/>
      <c r="R18" s="316"/>
      <c r="S18" s="316"/>
      <c r="T18" s="316"/>
      <c r="U18" s="316"/>
      <c r="V18" s="316"/>
      <c r="W18" s="316"/>
      <c r="X18" s="316"/>
      <c r="Y18" s="316"/>
      <c r="Z18" s="316"/>
      <c r="AA18" s="316"/>
      <c r="AB18" s="316"/>
      <c r="AC18" s="316"/>
      <c r="AD18" s="316"/>
      <c r="AE18" s="316"/>
      <c r="AF18" s="316"/>
      <c r="AG18" s="316"/>
      <c r="AH18" s="316"/>
      <c r="AI18" s="316"/>
      <c r="AJ18" s="316"/>
      <c r="AK18" s="316"/>
      <c r="AL18" s="316"/>
    </row>
    <row r="19" spans="1:38" ht="12.75">
      <c r="A19" s="316"/>
      <c r="B19" s="316"/>
      <c r="C19" s="316"/>
      <c r="D19" s="316"/>
      <c r="E19" s="316"/>
      <c r="F19" s="316"/>
      <c r="G19" s="316"/>
      <c r="H19" s="316"/>
      <c r="I19" s="316"/>
      <c r="J19" s="316"/>
      <c r="K19" s="316"/>
      <c r="L19" s="316"/>
      <c r="M19" s="316"/>
      <c r="N19" s="316"/>
      <c r="O19" s="316"/>
      <c r="P19" s="316"/>
      <c r="Q19" s="316"/>
      <c r="R19" s="316"/>
      <c r="S19" s="316"/>
      <c r="T19" s="316"/>
      <c r="U19" s="316"/>
      <c r="V19" s="316"/>
      <c r="W19" s="316"/>
      <c r="X19" s="316"/>
      <c r="Y19" s="316"/>
      <c r="Z19" s="316"/>
      <c r="AA19" s="316"/>
      <c r="AB19" s="316"/>
      <c r="AC19" s="316"/>
      <c r="AD19" s="316"/>
      <c r="AE19" s="316"/>
      <c r="AF19" s="316"/>
      <c r="AG19" s="316"/>
      <c r="AH19" s="316"/>
      <c r="AI19" s="316"/>
      <c r="AJ19" s="316"/>
      <c r="AK19" s="316"/>
      <c r="AL19" s="316"/>
    </row>
    <row r="20" spans="1:38" ht="12.75">
      <c r="A20" s="316"/>
      <c r="B20" s="316"/>
      <c r="C20" s="316"/>
      <c r="D20" s="316"/>
      <c r="E20" s="316"/>
      <c r="F20" s="316"/>
      <c r="G20" s="316"/>
      <c r="H20" s="316"/>
      <c r="I20" s="316"/>
      <c r="J20" s="316"/>
      <c r="K20" s="316"/>
      <c r="L20" s="316"/>
      <c r="M20" s="316"/>
      <c r="N20" s="316"/>
      <c r="O20" s="316"/>
      <c r="P20" s="316"/>
      <c r="Q20" s="316"/>
      <c r="R20" s="316"/>
      <c r="S20" s="316"/>
      <c r="T20" s="316"/>
      <c r="U20" s="316"/>
      <c r="V20" s="316"/>
      <c r="W20" s="316"/>
      <c r="X20" s="316"/>
      <c r="Y20" s="316"/>
      <c r="Z20" s="316"/>
      <c r="AA20" s="316"/>
      <c r="AB20" s="316"/>
      <c r="AC20" s="316"/>
      <c r="AD20" s="316"/>
      <c r="AE20" s="316"/>
      <c r="AF20" s="316"/>
      <c r="AG20" s="316"/>
      <c r="AH20" s="316"/>
      <c r="AI20" s="316"/>
      <c r="AJ20" s="316"/>
      <c r="AK20" s="316"/>
      <c r="AL20" s="316"/>
    </row>
    <row r="21" spans="1:38" ht="12.75">
      <c r="A21" s="316"/>
      <c r="B21" s="316"/>
      <c r="C21" s="316"/>
      <c r="D21" s="316"/>
      <c r="E21" s="316"/>
      <c r="F21" s="316"/>
      <c r="G21" s="316"/>
      <c r="H21" s="316"/>
      <c r="I21" s="316"/>
      <c r="J21" s="316"/>
      <c r="K21" s="316"/>
      <c r="L21" s="316"/>
      <c r="M21" s="316"/>
      <c r="N21" s="316"/>
      <c r="O21" s="316"/>
      <c r="P21" s="316"/>
      <c r="Q21" s="316"/>
      <c r="R21" s="316"/>
      <c r="S21" s="316"/>
      <c r="T21" s="316"/>
      <c r="U21" s="316"/>
      <c r="V21" s="316"/>
      <c r="W21" s="316"/>
      <c r="X21" s="316"/>
      <c r="Y21" s="316"/>
      <c r="Z21" s="316"/>
      <c r="AA21" s="316"/>
      <c r="AB21" s="316"/>
      <c r="AC21" s="316"/>
      <c r="AD21" s="316"/>
      <c r="AE21" s="316"/>
      <c r="AF21" s="316"/>
      <c r="AG21" s="316"/>
      <c r="AH21" s="316"/>
      <c r="AI21" s="316"/>
      <c r="AJ21" s="316"/>
      <c r="AK21" s="316"/>
      <c r="AL21" s="316"/>
    </row>
    <row r="22" spans="1:38" ht="12.75">
      <c r="A22" s="316"/>
      <c r="B22" s="316"/>
      <c r="C22" s="316"/>
      <c r="D22" s="316"/>
      <c r="E22" s="316"/>
      <c r="F22" s="316"/>
      <c r="G22" s="316"/>
      <c r="H22" s="316"/>
      <c r="I22" s="316"/>
      <c r="J22" s="316"/>
      <c r="K22" s="316"/>
      <c r="L22" s="316"/>
      <c r="M22" s="316"/>
      <c r="N22" s="316"/>
      <c r="O22" s="316"/>
      <c r="P22" s="316"/>
      <c r="Q22" s="316"/>
      <c r="R22" s="316"/>
      <c r="S22" s="316"/>
      <c r="T22" s="316"/>
      <c r="U22" s="316"/>
      <c r="V22" s="316"/>
      <c r="W22" s="316"/>
      <c r="X22" s="316"/>
      <c r="Y22" s="316"/>
      <c r="Z22" s="316"/>
      <c r="AA22" s="316"/>
      <c r="AB22" s="316"/>
      <c r="AC22" s="316"/>
      <c r="AD22" s="316"/>
      <c r="AE22" s="316"/>
      <c r="AF22" s="316"/>
      <c r="AG22" s="316"/>
      <c r="AH22" s="316"/>
      <c r="AI22" s="316"/>
      <c r="AJ22" s="316"/>
      <c r="AK22" s="316"/>
      <c r="AL22" s="316"/>
    </row>
    <row r="23" spans="1:38" ht="12.75">
      <c r="A23" s="316"/>
      <c r="B23" s="316"/>
      <c r="C23" s="316"/>
      <c r="D23" s="316"/>
      <c r="E23" s="316"/>
      <c r="F23" s="316"/>
      <c r="G23" s="316"/>
      <c r="H23" s="316"/>
      <c r="I23" s="316"/>
      <c r="J23" s="316"/>
      <c r="K23" s="316"/>
      <c r="L23" s="316"/>
      <c r="M23" s="316"/>
      <c r="N23" s="316"/>
      <c r="O23" s="316"/>
      <c r="P23" s="316"/>
      <c r="Q23" s="316"/>
      <c r="R23" s="316"/>
      <c r="S23" s="316"/>
      <c r="T23" s="316"/>
      <c r="U23" s="316"/>
      <c r="V23" s="316"/>
      <c r="W23" s="316"/>
      <c r="X23" s="316"/>
      <c r="Y23" s="316"/>
      <c r="Z23" s="316"/>
      <c r="AA23" s="316"/>
      <c r="AB23" s="316"/>
      <c r="AC23" s="316"/>
      <c r="AD23" s="316"/>
      <c r="AE23" s="316"/>
      <c r="AF23" s="316"/>
      <c r="AG23" s="316"/>
      <c r="AH23" s="316"/>
      <c r="AI23" s="316"/>
      <c r="AJ23" s="316"/>
      <c r="AK23" s="316"/>
      <c r="AL23" s="316"/>
    </row>
    <row r="24" spans="1:38" ht="12.75">
      <c r="A24" s="316"/>
      <c r="B24" s="316"/>
      <c r="C24" s="316"/>
      <c r="D24" s="316"/>
      <c r="E24" s="316"/>
      <c r="F24" s="316"/>
      <c r="G24" s="316"/>
      <c r="H24" s="316"/>
      <c r="I24" s="316"/>
      <c r="J24" s="316"/>
      <c r="K24" s="316"/>
      <c r="L24" s="316"/>
      <c r="M24" s="316"/>
      <c r="N24" s="316"/>
      <c r="O24" s="316"/>
      <c r="P24" s="316"/>
      <c r="Q24" s="316"/>
      <c r="R24" s="316"/>
      <c r="S24" s="316"/>
      <c r="T24" s="316"/>
      <c r="U24" s="316"/>
      <c r="V24" s="316"/>
      <c r="W24" s="316"/>
      <c r="X24" s="316"/>
      <c r="Y24" s="316"/>
      <c r="Z24" s="316"/>
      <c r="AA24" s="316"/>
      <c r="AB24" s="316"/>
      <c r="AC24" s="316"/>
      <c r="AD24" s="316"/>
      <c r="AE24" s="316"/>
      <c r="AF24" s="316"/>
      <c r="AG24" s="316"/>
      <c r="AH24" s="316"/>
      <c r="AI24" s="316"/>
      <c r="AJ24" s="316"/>
      <c r="AK24" s="316"/>
      <c r="AL24" s="316"/>
    </row>
    <row r="25" spans="1:38" ht="12.75">
      <c r="A25" s="317"/>
      <c r="B25" s="317"/>
      <c r="C25" s="317"/>
      <c r="D25" s="317"/>
      <c r="E25" s="317"/>
      <c r="F25" s="317"/>
      <c r="G25" s="317"/>
      <c r="H25" s="317"/>
      <c r="I25" s="317"/>
      <c r="J25" s="317"/>
      <c r="K25" s="317"/>
      <c r="L25" s="317"/>
      <c r="M25" s="317"/>
      <c r="N25" s="317"/>
      <c r="O25" s="317"/>
      <c r="P25" s="317"/>
      <c r="Q25" s="317"/>
      <c r="R25" s="317"/>
      <c r="S25" s="317"/>
      <c r="T25" s="317"/>
      <c r="U25" s="317"/>
      <c r="V25" s="317"/>
      <c r="W25" s="317"/>
      <c r="X25" s="317"/>
      <c r="Y25" s="317"/>
      <c r="Z25" s="317"/>
      <c r="AA25" s="317"/>
      <c r="AB25" s="317"/>
      <c r="AC25" s="317"/>
      <c r="AD25" s="317"/>
      <c r="AE25" s="317"/>
      <c r="AF25" s="317"/>
      <c r="AG25" s="317"/>
      <c r="AH25" s="317"/>
      <c r="AI25" s="317"/>
      <c r="AJ25" s="317"/>
      <c r="AK25" s="317"/>
      <c r="AL25" s="317"/>
    </row>
  </sheetData>
  <hyperlinks>
    <hyperlink ref="A1" r:id="rId1" xr:uid="{00000000-0004-0000-2E00-000000000000}"/>
    <hyperlink ref="B1" r:id="rId2" xr:uid="{00000000-0004-0000-2E00-000001000000}"/>
    <hyperlink ref="J1" r:id="rId3" xr:uid="{00000000-0004-0000-2E00-000002000000}"/>
    <hyperlink ref="P1" r:id="rId4" xr:uid="{00000000-0004-0000-2E00-000003000000}"/>
    <hyperlink ref="R1" r:id="rId5" xr:uid="{00000000-0004-0000-2E00-000004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sheetPr>
  <dimension ref="A1:M100"/>
  <sheetViews>
    <sheetView workbookViewId="0">
      <pane ySplit="3" topLeftCell="A4" activePane="bottomLeft" state="frozen"/>
      <selection pane="bottomLeft" activeCell="B5" sqref="B5"/>
    </sheetView>
  </sheetViews>
  <sheetFormatPr baseColWidth="10" defaultColWidth="12.5703125" defaultRowHeight="15.75" customHeight="1"/>
  <cols>
    <col min="1" max="1" width="15.7109375" customWidth="1"/>
    <col min="2" max="2" width="14.7109375" customWidth="1"/>
    <col min="3" max="3" width="8.42578125" customWidth="1"/>
    <col min="4" max="4" width="8.5703125" customWidth="1"/>
    <col min="5" max="5" width="52.42578125" customWidth="1"/>
    <col min="6" max="6" width="30.42578125" customWidth="1"/>
    <col min="7" max="8" width="19.42578125" customWidth="1"/>
    <col min="9" max="9" width="71" customWidth="1"/>
    <col min="10" max="10" width="60.28515625" customWidth="1"/>
  </cols>
  <sheetData>
    <row r="1" spans="1:13">
      <c r="A1" s="339" t="s">
        <v>12414</v>
      </c>
      <c r="B1" s="338"/>
      <c r="C1" s="338"/>
      <c r="D1" s="338"/>
      <c r="E1" s="338"/>
      <c r="F1" s="338"/>
      <c r="G1" s="322"/>
      <c r="H1" s="322"/>
      <c r="I1" s="322"/>
      <c r="J1" s="323"/>
      <c r="K1" s="324"/>
      <c r="L1" s="324"/>
      <c r="M1" s="324"/>
    </row>
    <row r="2" spans="1:13">
      <c r="A2" s="340" t="s">
        <v>12415</v>
      </c>
      <c r="B2" s="340" t="s">
        <v>12416</v>
      </c>
      <c r="C2" s="340" t="s">
        <v>12417</v>
      </c>
      <c r="D2" s="340" t="s">
        <v>1218</v>
      </c>
      <c r="E2" s="341" t="s">
        <v>12418</v>
      </c>
      <c r="F2" s="342" t="s">
        <v>12419</v>
      </c>
      <c r="G2" s="343" t="s">
        <v>12420</v>
      </c>
      <c r="H2" s="338"/>
      <c r="I2" s="338"/>
      <c r="J2" s="323"/>
      <c r="K2" s="324"/>
      <c r="L2" s="324"/>
      <c r="M2" s="324"/>
    </row>
    <row r="3" spans="1:13">
      <c r="A3" s="338"/>
      <c r="B3" s="338"/>
      <c r="C3" s="338"/>
      <c r="D3" s="338"/>
      <c r="E3" s="338"/>
      <c r="F3" s="338"/>
      <c r="G3" s="325" t="s">
        <v>12421</v>
      </c>
      <c r="H3" s="325" t="s">
        <v>12422</v>
      </c>
      <c r="I3" s="319" t="s">
        <v>12413</v>
      </c>
      <c r="J3" s="321" t="s">
        <v>12412</v>
      </c>
      <c r="K3" s="324"/>
      <c r="L3" s="324"/>
      <c r="M3" s="324"/>
    </row>
    <row r="4" spans="1:13">
      <c r="A4" s="326"/>
      <c r="B4" s="326"/>
      <c r="C4" s="327"/>
      <c r="D4" s="326"/>
      <c r="E4" s="327" t="s">
        <v>12423</v>
      </c>
      <c r="F4" s="328"/>
      <c r="G4" s="324"/>
      <c r="H4" s="324"/>
      <c r="I4" s="329" t="s">
        <v>12424</v>
      </c>
      <c r="J4" s="329" t="s">
        <v>12425</v>
      </c>
      <c r="K4" s="324"/>
      <c r="L4" s="324"/>
      <c r="M4" s="324"/>
    </row>
    <row r="5" spans="1:13">
      <c r="A5" s="330"/>
      <c r="B5" s="330"/>
      <c r="C5" s="330" t="s">
        <v>12426</v>
      </c>
      <c r="D5" s="330" t="s">
        <v>2244</v>
      </c>
      <c r="E5" s="324" t="s">
        <v>12427</v>
      </c>
      <c r="F5" s="324" t="s">
        <v>12426</v>
      </c>
      <c r="G5" s="318"/>
      <c r="H5" s="318"/>
      <c r="I5" s="318"/>
      <c r="J5" s="329"/>
      <c r="K5" s="324"/>
      <c r="L5" s="324"/>
      <c r="M5" s="324"/>
    </row>
    <row r="6" spans="1:13">
      <c r="A6" s="330"/>
      <c r="B6" s="330"/>
      <c r="C6" s="330" t="s">
        <v>12426</v>
      </c>
      <c r="D6" s="330" t="s">
        <v>2244</v>
      </c>
      <c r="E6" s="324" t="s">
        <v>12428</v>
      </c>
      <c r="F6" s="324" t="s">
        <v>12426</v>
      </c>
      <c r="G6" s="318"/>
      <c r="H6" s="318"/>
      <c r="I6" s="318"/>
      <c r="J6" s="329"/>
      <c r="K6" s="324"/>
      <c r="L6" s="324"/>
      <c r="M6" s="324"/>
    </row>
    <row r="7" spans="1:13">
      <c r="A7" s="331"/>
      <c r="B7" s="331"/>
      <c r="C7" s="327"/>
      <c r="D7" s="331"/>
      <c r="E7" s="327" t="s">
        <v>12429</v>
      </c>
      <c r="F7" s="328"/>
      <c r="G7" s="318"/>
      <c r="H7" s="318"/>
      <c r="I7" s="318"/>
      <c r="J7" s="329"/>
      <c r="K7" s="324"/>
      <c r="L7" s="324"/>
      <c r="M7" s="324"/>
    </row>
    <row r="8" spans="1:13">
      <c r="A8" s="330"/>
      <c r="B8" s="330"/>
      <c r="C8" s="330" t="s">
        <v>12426</v>
      </c>
      <c r="D8" s="330" t="s">
        <v>2244</v>
      </c>
      <c r="E8" s="324" t="s">
        <v>12430</v>
      </c>
      <c r="F8" s="324" t="s">
        <v>12426</v>
      </c>
      <c r="G8" s="318"/>
      <c r="H8" s="318"/>
      <c r="I8" s="318"/>
      <c r="J8" s="329"/>
      <c r="K8" s="324"/>
      <c r="L8" s="324"/>
      <c r="M8" s="324"/>
    </row>
    <row r="9" spans="1:13">
      <c r="A9" s="330"/>
      <c r="B9" s="330"/>
      <c r="C9" s="330" t="s">
        <v>12426</v>
      </c>
      <c r="D9" s="330" t="s">
        <v>2244</v>
      </c>
      <c r="E9" s="222" t="s">
        <v>2406</v>
      </c>
      <c r="F9" s="324" t="s">
        <v>12426</v>
      </c>
      <c r="G9" s="318"/>
      <c r="H9" s="318"/>
      <c r="I9" s="320" t="s">
        <v>12431</v>
      </c>
      <c r="J9" s="329" t="s">
        <v>12432</v>
      </c>
      <c r="K9" s="324"/>
      <c r="L9" s="324"/>
      <c r="M9" s="324"/>
    </row>
    <row r="10" spans="1:13">
      <c r="A10" s="330"/>
      <c r="B10" s="330"/>
      <c r="C10" s="330" t="s">
        <v>12426</v>
      </c>
      <c r="D10" s="330" t="s">
        <v>2244</v>
      </c>
      <c r="E10" s="332" t="s">
        <v>1084</v>
      </c>
      <c r="F10" s="324" t="s">
        <v>12426</v>
      </c>
      <c r="G10" s="318"/>
      <c r="H10" s="318"/>
      <c r="I10" s="320" t="s">
        <v>12433</v>
      </c>
      <c r="J10" s="329" t="s">
        <v>12434</v>
      </c>
      <c r="K10" s="324"/>
      <c r="L10" s="324"/>
      <c r="M10" s="324"/>
    </row>
    <row r="11" spans="1:13">
      <c r="A11" s="330"/>
      <c r="B11" s="330"/>
      <c r="C11" s="330" t="s">
        <v>12426</v>
      </c>
      <c r="D11" s="330" t="s">
        <v>2244</v>
      </c>
      <c r="E11" s="333" t="s">
        <v>1167</v>
      </c>
      <c r="F11" s="324" t="s">
        <v>12435</v>
      </c>
      <c r="G11" s="318"/>
      <c r="H11" s="318"/>
      <c r="I11" s="318"/>
      <c r="J11" s="329"/>
      <c r="K11" s="324"/>
      <c r="L11" s="324"/>
      <c r="M11" s="324"/>
    </row>
    <row r="12" spans="1:13">
      <c r="A12" s="330"/>
      <c r="B12" s="330"/>
      <c r="C12" s="330" t="s">
        <v>12426</v>
      </c>
      <c r="D12" s="330" t="s">
        <v>2244</v>
      </c>
      <c r="E12" s="333" t="s">
        <v>12436</v>
      </c>
      <c r="F12" s="324" t="s">
        <v>12435</v>
      </c>
      <c r="G12" s="318"/>
      <c r="H12" s="318"/>
      <c r="I12" s="318"/>
      <c r="J12" s="329"/>
      <c r="K12" s="324"/>
      <c r="L12" s="324"/>
      <c r="M12" s="324"/>
    </row>
    <row r="13" spans="1:13">
      <c r="A13" s="330"/>
      <c r="B13" s="330"/>
      <c r="C13" s="330" t="s">
        <v>12426</v>
      </c>
      <c r="D13" s="330" t="s">
        <v>2244</v>
      </c>
      <c r="E13" s="324" t="s">
        <v>12437</v>
      </c>
      <c r="F13" s="324" t="s">
        <v>12435</v>
      </c>
      <c r="G13" s="318"/>
      <c r="H13" s="318"/>
      <c r="I13" s="318"/>
      <c r="J13" s="329"/>
      <c r="K13" s="324"/>
      <c r="L13" s="324"/>
      <c r="M13" s="324"/>
    </row>
    <row r="14" spans="1:13">
      <c r="A14" s="330"/>
      <c r="B14" s="330"/>
      <c r="C14" s="330" t="s">
        <v>12426</v>
      </c>
      <c r="D14" s="330" t="s">
        <v>2244</v>
      </c>
      <c r="E14" s="324" t="s">
        <v>12438</v>
      </c>
      <c r="F14" s="324" t="s">
        <v>12426</v>
      </c>
      <c r="G14" s="318"/>
      <c r="H14" s="318"/>
      <c r="I14" s="318"/>
      <c r="J14" s="329"/>
      <c r="K14" s="324"/>
      <c r="L14" s="324"/>
      <c r="M14" s="324"/>
    </row>
    <row r="15" spans="1:13">
      <c r="A15" s="326"/>
      <c r="B15" s="326"/>
      <c r="C15" s="327"/>
      <c r="D15" s="326"/>
      <c r="E15" s="327" t="s">
        <v>12439</v>
      </c>
      <c r="F15" s="327"/>
      <c r="G15" s="318"/>
      <c r="H15" s="318"/>
      <c r="I15" s="318"/>
      <c r="J15" s="329"/>
      <c r="K15" s="324"/>
      <c r="L15" s="324"/>
      <c r="M15" s="324"/>
    </row>
    <row r="16" spans="1:13">
      <c r="A16" s="330"/>
      <c r="B16" s="330"/>
      <c r="C16" s="330" t="s">
        <v>12426</v>
      </c>
      <c r="D16" s="330" t="s">
        <v>2244</v>
      </c>
      <c r="E16" s="334" t="s">
        <v>12440</v>
      </c>
      <c r="F16" s="324" t="s">
        <v>12426</v>
      </c>
      <c r="G16" s="318"/>
      <c r="H16" s="318"/>
      <c r="I16" s="318"/>
      <c r="J16" s="329"/>
      <c r="K16" s="324"/>
      <c r="L16" s="324"/>
      <c r="M16" s="324"/>
    </row>
    <row r="17" spans="1:13">
      <c r="A17" s="330"/>
      <c r="B17" s="330"/>
      <c r="C17" s="330" t="s">
        <v>12426</v>
      </c>
      <c r="D17" s="330" t="s">
        <v>2244</v>
      </c>
      <c r="E17" s="222" t="s">
        <v>2277</v>
      </c>
      <c r="F17" s="324" t="s">
        <v>12426</v>
      </c>
      <c r="G17" s="318"/>
      <c r="H17" s="318"/>
      <c r="I17" s="318"/>
      <c r="J17" s="329"/>
      <c r="K17" s="324"/>
      <c r="L17" s="324"/>
      <c r="M17" s="324"/>
    </row>
    <row r="18" spans="1:13">
      <c r="A18" s="330"/>
      <c r="B18" s="330"/>
      <c r="C18" s="330" t="s">
        <v>12426</v>
      </c>
      <c r="D18" s="330" t="s">
        <v>2244</v>
      </c>
      <c r="E18" s="335" t="s">
        <v>12441</v>
      </c>
      <c r="F18" s="324" t="s">
        <v>12426</v>
      </c>
      <c r="G18" s="318"/>
      <c r="H18" s="318"/>
      <c r="I18" s="318"/>
      <c r="J18" s="329"/>
      <c r="K18" s="324"/>
      <c r="L18" s="324"/>
      <c r="M18" s="324"/>
    </row>
    <row r="19" spans="1:13">
      <c r="A19" s="330"/>
      <c r="B19" s="330"/>
      <c r="C19" s="330" t="s">
        <v>12426</v>
      </c>
      <c r="D19" s="330" t="s">
        <v>2244</v>
      </c>
      <c r="E19" s="335" t="s">
        <v>12442</v>
      </c>
      <c r="F19" s="324" t="s">
        <v>12426</v>
      </c>
      <c r="G19" s="318"/>
      <c r="H19" s="318"/>
      <c r="I19" s="318"/>
      <c r="J19" s="329"/>
      <c r="K19" s="324"/>
      <c r="L19" s="324"/>
      <c r="M19" s="324"/>
    </row>
    <row r="20" spans="1:13">
      <c r="A20" s="330"/>
      <c r="B20" s="330"/>
      <c r="C20" s="330" t="s">
        <v>12426</v>
      </c>
      <c r="D20" s="330" t="s">
        <v>2244</v>
      </c>
      <c r="E20" s="335" t="s">
        <v>12443</v>
      </c>
      <c r="F20" s="324" t="s">
        <v>12426</v>
      </c>
      <c r="G20" s="318"/>
      <c r="H20" s="318"/>
      <c r="I20" s="318"/>
      <c r="J20" s="329"/>
      <c r="K20" s="324"/>
      <c r="L20" s="324"/>
      <c r="M20" s="324"/>
    </row>
    <row r="21" spans="1:13">
      <c r="A21" s="330"/>
      <c r="B21" s="330"/>
      <c r="C21" s="330" t="s">
        <v>12426</v>
      </c>
      <c r="D21" s="330" t="s">
        <v>2244</v>
      </c>
      <c r="E21" s="334" t="s">
        <v>12444</v>
      </c>
      <c r="F21" s="324" t="s">
        <v>12435</v>
      </c>
      <c r="G21" s="318"/>
      <c r="H21" s="318"/>
      <c r="I21" s="318"/>
      <c r="J21" s="329"/>
      <c r="K21" s="324"/>
      <c r="L21" s="324"/>
      <c r="M21" s="324"/>
    </row>
    <row r="22" spans="1:13">
      <c r="A22" s="330"/>
      <c r="B22" s="330"/>
      <c r="C22" s="330" t="s">
        <v>12426</v>
      </c>
      <c r="D22" s="330" t="s">
        <v>2244</v>
      </c>
      <c r="E22" s="222" t="s">
        <v>12445</v>
      </c>
      <c r="F22" s="324" t="s">
        <v>12435</v>
      </c>
      <c r="G22" s="318"/>
      <c r="H22" s="318"/>
      <c r="I22" s="318"/>
      <c r="J22" s="329"/>
      <c r="K22" s="324"/>
      <c r="L22" s="324"/>
      <c r="M22" s="324"/>
    </row>
    <row r="23" spans="1:13">
      <c r="A23" s="330"/>
      <c r="B23" s="330"/>
      <c r="C23" s="330" t="s">
        <v>12426</v>
      </c>
      <c r="D23" s="330" t="s">
        <v>2244</v>
      </c>
      <c r="E23" s="222" t="s">
        <v>2223</v>
      </c>
      <c r="F23" s="324" t="s">
        <v>12426</v>
      </c>
      <c r="G23" s="318"/>
      <c r="H23" s="318"/>
      <c r="I23" s="318"/>
      <c r="J23" s="329"/>
      <c r="K23" s="324"/>
      <c r="L23" s="324"/>
      <c r="M23" s="324"/>
    </row>
    <row r="24" spans="1:13">
      <c r="A24" s="330"/>
      <c r="B24" s="330"/>
      <c r="C24" s="330" t="s">
        <v>12426</v>
      </c>
      <c r="D24" s="330" t="s">
        <v>2244</v>
      </c>
      <c r="E24" s="222" t="s">
        <v>12446</v>
      </c>
      <c r="F24" s="324" t="s">
        <v>12426</v>
      </c>
      <c r="G24" s="318"/>
      <c r="H24" s="318"/>
      <c r="I24" s="318"/>
      <c r="J24" s="329"/>
      <c r="K24" s="324"/>
      <c r="L24" s="324"/>
      <c r="M24" s="324"/>
    </row>
    <row r="25" spans="1:13">
      <c r="A25" s="330"/>
      <c r="B25" s="330"/>
      <c r="C25" s="330" t="s">
        <v>12426</v>
      </c>
      <c r="D25" s="330" t="s">
        <v>2244</v>
      </c>
      <c r="E25" s="222" t="s">
        <v>12447</v>
      </c>
      <c r="F25" s="324" t="s">
        <v>12426</v>
      </c>
      <c r="G25" s="318"/>
      <c r="H25" s="318"/>
      <c r="I25" s="318"/>
      <c r="J25" s="329"/>
      <c r="K25" s="324"/>
      <c r="L25" s="324"/>
      <c r="M25" s="324"/>
    </row>
    <row r="26" spans="1:13">
      <c r="A26" s="330"/>
      <c r="B26" s="330"/>
      <c r="C26" s="330" t="s">
        <v>12426</v>
      </c>
      <c r="D26" s="330" t="s">
        <v>2244</v>
      </c>
      <c r="E26" s="222" t="s">
        <v>2203</v>
      </c>
      <c r="F26" s="324" t="s">
        <v>12426</v>
      </c>
      <c r="G26" s="318"/>
      <c r="H26" s="318"/>
      <c r="I26" s="318"/>
      <c r="J26" s="329"/>
      <c r="K26" s="324"/>
      <c r="L26" s="324"/>
      <c r="M26" s="324"/>
    </row>
    <row r="27" spans="1:13">
      <c r="A27" s="330"/>
      <c r="B27" s="330"/>
      <c r="C27" s="330" t="s">
        <v>12426</v>
      </c>
      <c r="D27" s="330" t="s">
        <v>2244</v>
      </c>
      <c r="E27" s="222" t="s">
        <v>12448</v>
      </c>
      <c r="F27" s="324" t="s">
        <v>12426</v>
      </c>
      <c r="G27" s="318"/>
      <c r="H27" s="318"/>
      <c r="I27" s="318"/>
      <c r="J27" s="329"/>
      <c r="K27" s="324"/>
      <c r="L27" s="324"/>
      <c r="M27" s="324"/>
    </row>
    <row r="28" spans="1:13">
      <c r="A28" s="330"/>
      <c r="B28" s="330"/>
      <c r="C28" s="330" t="s">
        <v>12426</v>
      </c>
      <c r="D28" s="330" t="s">
        <v>2244</v>
      </c>
      <c r="E28" s="222" t="s">
        <v>12449</v>
      </c>
      <c r="F28" s="324" t="s">
        <v>12426</v>
      </c>
      <c r="G28" s="318"/>
      <c r="H28" s="318"/>
      <c r="I28" s="318"/>
      <c r="J28" s="329"/>
      <c r="K28" s="324"/>
      <c r="L28" s="324"/>
      <c r="M28" s="324"/>
    </row>
    <row r="29" spans="1:13">
      <c r="A29" s="330"/>
      <c r="B29" s="330"/>
      <c r="C29" s="330" t="s">
        <v>12426</v>
      </c>
      <c r="D29" s="330" t="s">
        <v>2244</v>
      </c>
      <c r="E29" s="318" t="s">
        <v>12450</v>
      </c>
      <c r="F29" s="324" t="s">
        <v>12426</v>
      </c>
      <c r="G29" s="318"/>
      <c r="H29" s="318"/>
      <c r="I29" s="318"/>
      <c r="J29" s="329"/>
      <c r="K29" s="324"/>
      <c r="L29" s="324"/>
      <c r="M29" s="324"/>
    </row>
    <row r="30" spans="1:13">
      <c r="A30" s="330"/>
      <c r="B30" s="330"/>
      <c r="C30" s="330" t="s">
        <v>12426</v>
      </c>
      <c r="D30" s="330" t="s">
        <v>2244</v>
      </c>
      <c r="E30" s="222" t="s">
        <v>12451</v>
      </c>
      <c r="F30" s="324" t="s">
        <v>12426</v>
      </c>
      <c r="G30" s="318"/>
      <c r="H30" s="318"/>
      <c r="I30" s="318"/>
      <c r="J30" s="329"/>
      <c r="K30" s="324"/>
      <c r="L30" s="324"/>
      <c r="M30" s="324"/>
    </row>
    <row r="31" spans="1:13">
      <c r="A31" s="330"/>
      <c r="B31" s="330"/>
      <c r="C31" s="330" t="s">
        <v>12426</v>
      </c>
      <c r="D31" s="330" t="s">
        <v>2244</v>
      </c>
      <c r="E31" s="222" t="s">
        <v>12452</v>
      </c>
      <c r="F31" s="324" t="s">
        <v>12426</v>
      </c>
      <c r="G31" s="318"/>
      <c r="H31" s="318"/>
      <c r="I31" s="318"/>
      <c r="J31" s="329"/>
      <c r="K31" s="324"/>
      <c r="L31" s="324"/>
      <c r="M31" s="324"/>
    </row>
    <row r="32" spans="1:13">
      <c r="A32" s="330"/>
      <c r="B32" s="330"/>
      <c r="C32" s="330" t="s">
        <v>12426</v>
      </c>
      <c r="D32" s="330" t="s">
        <v>2244</v>
      </c>
      <c r="E32" s="222" t="s">
        <v>12453</v>
      </c>
      <c r="F32" s="324" t="s">
        <v>12426</v>
      </c>
      <c r="G32" s="318"/>
      <c r="H32" s="318"/>
      <c r="I32" s="318"/>
      <c r="J32" s="329"/>
      <c r="K32" s="324"/>
      <c r="L32" s="324"/>
      <c r="M32" s="324"/>
    </row>
    <row r="33" spans="1:13">
      <c r="A33" s="330"/>
      <c r="B33" s="330"/>
      <c r="C33" s="330" t="s">
        <v>12426</v>
      </c>
      <c r="D33" s="330" t="s">
        <v>2244</v>
      </c>
      <c r="E33" s="222" t="s">
        <v>2260</v>
      </c>
      <c r="F33" s="324" t="s">
        <v>12426</v>
      </c>
      <c r="G33" s="318"/>
      <c r="H33" s="318"/>
      <c r="I33" s="318"/>
      <c r="J33" s="329"/>
      <c r="K33" s="324"/>
      <c r="L33" s="324"/>
      <c r="M33" s="324"/>
    </row>
    <row r="34" spans="1:13">
      <c r="A34" s="330"/>
      <c r="B34" s="330"/>
      <c r="C34" s="330" t="s">
        <v>12426</v>
      </c>
      <c r="D34" s="330" t="s">
        <v>2244</v>
      </c>
      <c r="E34" s="222" t="s">
        <v>2261</v>
      </c>
      <c r="F34" s="324" t="s">
        <v>12426</v>
      </c>
      <c r="G34" s="318"/>
      <c r="H34" s="318"/>
      <c r="I34" s="318"/>
      <c r="J34" s="329"/>
      <c r="K34" s="324"/>
      <c r="L34" s="324"/>
      <c r="M34" s="324"/>
    </row>
    <row r="35" spans="1:13">
      <c r="A35" s="330"/>
      <c r="B35" s="330"/>
      <c r="C35" s="330" t="s">
        <v>12426</v>
      </c>
      <c r="D35" s="330" t="s">
        <v>2244</v>
      </c>
      <c r="E35" s="222" t="s">
        <v>2175</v>
      </c>
      <c r="F35" s="324" t="s">
        <v>12426</v>
      </c>
      <c r="G35" s="318"/>
      <c r="H35" s="318"/>
      <c r="I35" s="318"/>
      <c r="J35" s="329"/>
      <c r="K35" s="324"/>
      <c r="L35" s="324"/>
      <c r="M35" s="324"/>
    </row>
    <row r="36" spans="1:13">
      <c r="A36" s="330"/>
      <c r="B36" s="330"/>
      <c r="C36" s="330" t="s">
        <v>12426</v>
      </c>
      <c r="D36" s="330" t="s">
        <v>2244</v>
      </c>
      <c r="E36" s="222" t="s">
        <v>2177</v>
      </c>
      <c r="F36" s="324" t="s">
        <v>12426</v>
      </c>
      <c r="G36" s="318"/>
      <c r="H36" s="318"/>
      <c r="I36" s="318"/>
      <c r="J36" s="329"/>
      <c r="K36" s="324"/>
      <c r="L36" s="324"/>
      <c r="M36" s="324"/>
    </row>
    <row r="37" spans="1:13">
      <c r="A37" s="330"/>
      <c r="B37" s="330"/>
      <c r="C37" s="330" t="s">
        <v>12426</v>
      </c>
      <c r="D37" s="330" t="s">
        <v>2244</v>
      </c>
      <c r="E37" s="222" t="s">
        <v>2178</v>
      </c>
      <c r="F37" s="324" t="s">
        <v>12426</v>
      </c>
      <c r="G37" s="318"/>
      <c r="H37" s="318"/>
      <c r="I37" s="318"/>
      <c r="J37" s="329"/>
      <c r="K37" s="324"/>
      <c r="L37" s="324"/>
      <c r="M37" s="324"/>
    </row>
    <row r="38" spans="1:13">
      <c r="A38" s="330"/>
      <c r="B38" s="330"/>
      <c r="C38" s="330" t="s">
        <v>12426</v>
      </c>
      <c r="D38" s="330" t="s">
        <v>2244</v>
      </c>
      <c r="E38" s="222" t="s">
        <v>2179</v>
      </c>
      <c r="F38" s="324" t="s">
        <v>12426</v>
      </c>
      <c r="G38" s="318"/>
      <c r="H38" s="318"/>
      <c r="I38" s="318"/>
      <c r="J38" s="329"/>
      <c r="K38" s="324"/>
      <c r="L38" s="324"/>
      <c r="M38" s="324"/>
    </row>
    <row r="39" spans="1:13">
      <c r="A39" s="330"/>
      <c r="B39" s="330"/>
      <c r="C39" s="330" t="s">
        <v>12426</v>
      </c>
      <c r="D39" s="330" t="s">
        <v>2244</v>
      </c>
      <c r="E39" s="336" t="s">
        <v>2266</v>
      </c>
      <c r="F39" s="324" t="s">
        <v>12426</v>
      </c>
      <c r="G39" s="318"/>
      <c r="H39" s="318"/>
      <c r="I39" s="318"/>
      <c r="J39" s="329"/>
      <c r="K39" s="324"/>
      <c r="L39" s="324"/>
      <c r="M39" s="324"/>
    </row>
    <row r="40" spans="1:13">
      <c r="A40" s="330"/>
      <c r="B40" s="330"/>
      <c r="C40" s="330" t="s">
        <v>12426</v>
      </c>
      <c r="D40" s="330" t="s">
        <v>2244</v>
      </c>
      <c r="E40" s="337" t="s">
        <v>2268</v>
      </c>
      <c r="F40" s="324" t="s">
        <v>12426</v>
      </c>
      <c r="G40" s="318"/>
      <c r="H40" s="318"/>
      <c r="I40" s="318"/>
      <c r="J40" s="329"/>
      <c r="K40" s="324"/>
      <c r="L40" s="324"/>
      <c r="M40" s="324"/>
    </row>
    <row r="41" spans="1:13">
      <c r="A41" s="330"/>
      <c r="B41" s="330"/>
      <c r="C41" s="330" t="s">
        <v>12426</v>
      </c>
      <c r="D41" s="330" t="s">
        <v>2244</v>
      </c>
      <c r="E41" s="336" t="s">
        <v>12454</v>
      </c>
      <c r="F41" s="324" t="s">
        <v>12426</v>
      </c>
      <c r="G41" s="318"/>
      <c r="H41" s="318"/>
      <c r="I41" s="318"/>
      <c r="J41" s="329"/>
      <c r="K41" s="324"/>
      <c r="L41" s="324"/>
      <c r="M41" s="324"/>
    </row>
    <row r="42" spans="1:13">
      <c r="A42" s="330"/>
      <c r="B42" s="330"/>
      <c r="C42" s="330" t="s">
        <v>12426</v>
      </c>
      <c r="D42" s="330" t="s">
        <v>2244</v>
      </c>
      <c r="E42" s="336" t="s">
        <v>12455</v>
      </c>
      <c r="F42" s="324" t="s">
        <v>12426</v>
      </c>
      <c r="G42" s="318"/>
      <c r="H42" s="318"/>
      <c r="I42" s="318"/>
      <c r="J42" s="329"/>
      <c r="K42" s="324"/>
      <c r="L42" s="324"/>
      <c r="M42" s="324"/>
    </row>
    <row r="43" spans="1:13">
      <c r="A43" s="330"/>
      <c r="B43" s="330"/>
      <c r="C43" s="330" t="s">
        <v>12426</v>
      </c>
      <c r="D43" s="330" t="s">
        <v>2244</v>
      </c>
      <c r="E43" s="336" t="s">
        <v>12456</v>
      </c>
      <c r="F43" s="324" t="s">
        <v>12426</v>
      </c>
      <c r="G43" s="318"/>
      <c r="H43" s="318"/>
      <c r="I43" s="318"/>
      <c r="J43" s="329"/>
      <c r="K43" s="324"/>
      <c r="L43" s="324"/>
      <c r="M43" s="324"/>
    </row>
    <row r="44" spans="1:13">
      <c r="A44" s="330"/>
      <c r="B44" s="330"/>
      <c r="C44" s="330" t="s">
        <v>12426</v>
      </c>
      <c r="D44" s="330" t="s">
        <v>2244</v>
      </c>
      <c r="E44" s="336" t="s">
        <v>12457</v>
      </c>
      <c r="F44" s="324" t="s">
        <v>12426</v>
      </c>
      <c r="G44" s="318"/>
      <c r="H44" s="318"/>
      <c r="I44" s="318"/>
      <c r="J44" s="329"/>
      <c r="K44" s="324"/>
      <c r="L44" s="324"/>
      <c r="M44" s="324"/>
    </row>
    <row r="45" spans="1:13">
      <c r="A45" s="330"/>
      <c r="B45" s="330"/>
      <c r="C45" s="330" t="s">
        <v>12426</v>
      </c>
      <c r="D45" s="330" t="s">
        <v>2244</v>
      </c>
      <c r="E45" s="336" t="s">
        <v>12458</v>
      </c>
      <c r="F45" s="324" t="s">
        <v>12426</v>
      </c>
      <c r="G45" s="318"/>
      <c r="H45" s="318"/>
      <c r="I45" s="318"/>
      <c r="J45" s="329"/>
      <c r="K45" s="324"/>
      <c r="L45" s="324"/>
      <c r="M45" s="324"/>
    </row>
    <row r="46" spans="1:13">
      <c r="A46" s="330"/>
      <c r="B46" s="330"/>
      <c r="C46" s="330" t="s">
        <v>12426</v>
      </c>
      <c r="D46" s="330" t="s">
        <v>2244</v>
      </c>
      <c r="E46" s="222" t="s">
        <v>12459</v>
      </c>
      <c r="F46" s="324" t="s">
        <v>12426</v>
      </c>
      <c r="G46" s="318"/>
      <c r="H46" s="318"/>
      <c r="I46" s="318"/>
      <c r="J46" s="329"/>
      <c r="K46" s="324"/>
      <c r="L46" s="324"/>
      <c r="M46" s="324"/>
    </row>
    <row r="47" spans="1:13">
      <c r="A47" s="330"/>
      <c r="B47" s="330"/>
      <c r="C47" s="330" t="s">
        <v>12426</v>
      </c>
      <c r="D47" s="330" t="s">
        <v>2244</v>
      </c>
      <c r="E47" s="336" t="s">
        <v>2183</v>
      </c>
      <c r="F47" s="324" t="s">
        <v>12426</v>
      </c>
      <c r="G47" s="318"/>
      <c r="H47" s="318"/>
      <c r="I47" s="318"/>
      <c r="J47" s="329"/>
      <c r="K47" s="324"/>
      <c r="L47" s="324"/>
      <c r="M47" s="324"/>
    </row>
    <row r="48" spans="1:13">
      <c r="A48" s="330"/>
      <c r="B48" s="330"/>
      <c r="C48" s="330" t="s">
        <v>12426</v>
      </c>
      <c r="D48" s="330" t="s">
        <v>2244</v>
      </c>
      <c r="E48" s="336" t="s">
        <v>2184</v>
      </c>
      <c r="F48" s="324" t="s">
        <v>12426</v>
      </c>
      <c r="G48" s="318"/>
      <c r="H48" s="318"/>
      <c r="I48" s="318"/>
      <c r="J48" s="329"/>
      <c r="K48" s="324"/>
      <c r="L48" s="324"/>
      <c r="M48" s="324"/>
    </row>
    <row r="49" spans="1:13">
      <c r="A49" s="330"/>
      <c r="B49" s="330"/>
      <c r="C49" s="330" t="s">
        <v>12426</v>
      </c>
      <c r="D49" s="330" t="s">
        <v>2244</v>
      </c>
      <c r="E49" s="336" t="s">
        <v>2181</v>
      </c>
      <c r="F49" s="324" t="s">
        <v>12426</v>
      </c>
      <c r="G49" s="318"/>
      <c r="H49" s="318"/>
      <c r="I49" s="318"/>
      <c r="J49" s="329"/>
      <c r="K49" s="324"/>
      <c r="L49" s="324"/>
      <c r="M49" s="324"/>
    </row>
    <row r="50" spans="1:13">
      <c r="A50" s="330"/>
      <c r="B50" s="330"/>
      <c r="C50" s="330" t="s">
        <v>12426</v>
      </c>
      <c r="D50" s="330" t="s">
        <v>2244</v>
      </c>
      <c r="E50" s="222" t="s">
        <v>2269</v>
      </c>
      <c r="F50" s="324" t="s">
        <v>12426</v>
      </c>
      <c r="G50" s="318"/>
      <c r="H50" s="318"/>
      <c r="I50" s="318"/>
      <c r="J50" s="329"/>
      <c r="K50" s="324"/>
      <c r="L50" s="324"/>
      <c r="M50" s="324"/>
    </row>
    <row r="51" spans="1:13">
      <c r="A51" s="330"/>
      <c r="B51" s="330"/>
      <c r="C51" s="330" t="s">
        <v>12426</v>
      </c>
      <c r="D51" s="330" t="s">
        <v>2244</v>
      </c>
      <c r="E51" s="222" t="s">
        <v>2270</v>
      </c>
      <c r="F51" s="324" t="s">
        <v>12426</v>
      </c>
      <c r="G51" s="318"/>
      <c r="H51" s="318"/>
      <c r="I51" s="318"/>
      <c r="J51" s="329"/>
      <c r="K51" s="324"/>
      <c r="L51" s="324"/>
      <c r="M51" s="324"/>
    </row>
    <row r="52" spans="1:13">
      <c r="A52" s="330"/>
      <c r="B52" s="330"/>
      <c r="C52" s="330" t="s">
        <v>12426</v>
      </c>
      <c r="D52" s="330" t="s">
        <v>2244</v>
      </c>
      <c r="E52" s="222" t="s">
        <v>12460</v>
      </c>
      <c r="F52" s="324" t="s">
        <v>12426</v>
      </c>
      <c r="G52" s="318"/>
      <c r="H52" s="318"/>
      <c r="I52" s="318"/>
      <c r="J52" s="329"/>
      <c r="K52" s="324"/>
      <c r="L52" s="324"/>
      <c r="M52" s="324"/>
    </row>
    <row r="53" spans="1:13">
      <c r="A53" s="330"/>
      <c r="B53" s="330"/>
      <c r="C53" s="330" t="s">
        <v>12426</v>
      </c>
      <c r="D53" s="330" t="s">
        <v>2244</v>
      </c>
      <c r="E53" s="222" t="s">
        <v>12461</v>
      </c>
      <c r="F53" s="324" t="s">
        <v>12426</v>
      </c>
      <c r="G53" s="318"/>
      <c r="H53" s="318"/>
      <c r="I53" s="318"/>
      <c r="J53" s="329"/>
      <c r="K53" s="324"/>
      <c r="L53" s="324"/>
      <c r="M53" s="324"/>
    </row>
    <row r="54" spans="1:13">
      <c r="A54" s="330"/>
      <c r="B54" s="330"/>
      <c r="C54" s="330" t="s">
        <v>12426</v>
      </c>
      <c r="D54" s="330" t="s">
        <v>2244</v>
      </c>
      <c r="E54" s="222" t="s">
        <v>12462</v>
      </c>
      <c r="F54" s="324" t="s">
        <v>12426</v>
      </c>
      <c r="G54" s="318"/>
      <c r="H54" s="318"/>
      <c r="I54" s="318"/>
      <c r="J54" s="329"/>
      <c r="K54" s="324"/>
      <c r="L54" s="324"/>
      <c r="M54" s="324"/>
    </row>
    <row r="55" spans="1:13">
      <c r="A55" s="330"/>
      <c r="B55" s="330"/>
      <c r="C55" s="330" t="s">
        <v>12426</v>
      </c>
      <c r="D55" s="330" t="s">
        <v>2244</v>
      </c>
      <c r="E55" s="222" t="s">
        <v>12463</v>
      </c>
      <c r="F55" s="324" t="s">
        <v>12426</v>
      </c>
      <c r="G55" s="318"/>
      <c r="H55" s="318"/>
      <c r="I55" s="318"/>
      <c r="J55" s="329"/>
      <c r="K55" s="324"/>
      <c r="L55" s="324"/>
      <c r="M55" s="324"/>
    </row>
    <row r="56" spans="1:13">
      <c r="A56" s="330"/>
      <c r="B56" s="330"/>
      <c r="C56" s="330" t="s">
        <v>12426</v>
      </c>
      <c r="D56" s="330" t="s">
        <v>2244</v>
      </c>
      <c r="E56" s="222" t="s">
        <v>12464</v>
      </c>
      <c r="F56" s="324" t="s">
        <v>12426</v>
      </c>
      <c r="G56" s="318"/>
      <c r="H56" s="318"/>
      <c r="I56" s="318"/>
      <c r="J56" s="329"/>
      <c r="K56" s="324"/>
      <c r="L56" s="324"/>
      <c r="M56" s="324"/>
    </row>
    <row r="57" spans="1:13">
      <c r="A57" s="330"/>
      <c r="B57" s="330"/>
      <c r="C57" s="330" t="s">
        <v>12426</v>
      </c>
      <c r="D57" s="330" t="s">
        <v>2244</v>
      </c>
      <c r="E57" s="222" t="s">
        <v>12465</v>
      </c>
      <c r="F57" s="324" t="s">
        <v>12426</v>
      </c>
      <c r="G57" s="318"/>
      <c r="H57" s="318"/>
      <c r="I57" s="318"/>
      <c r="J57" s="329"/>
      <c r="K57" s="324"/>
      <c r="L57" s="324"/>
      <c r="M57" s="324"/>
    </row>
    <row r="58" spans="1:13">
      <c r="A58" s="330"/>
      <c r="B58" s="330"/>
      <c r="C58" s="330" t="s">
        <v>12426</v>
      </c>
      <c r="D58" s="330" t="s">
        <v>2244</v>
      </c>
      <c r="E58" s="222" t="s">
        <v>12466</v>
      </c>
      <c r="F58" s="324" t="s">
        <v>12426</v>
      </c>
      <c r="G58" s="318"/>
      <c r="H58" s="318"/>
      <c r="I58" s="318"/>
      <c r="J58" s="329"/>
      <c r="K58" s="324"/>
      <c r="L58" s="324"/>
      <c r="M58" s="324"/>
    </row>
    <row r="59" spans="1:13">
      <c r="A59" s="330"/>
      <c r="B59" s="330"/>
      <c r="C59" s="330" t="s">
        <v>12426</v>
      </c>
      <c r="D59" s="330" t="s">
        <v>2244</v>
      </c>
      <c r="E59" s="222" t="s">
        <v>12467</v>
      </c>
      <c r="F59" s="324" t="s">
        <v>12426</v>
      </c>
      <c r="G59" s="318"/>
      <c r="H59" s="318"/>
      <c r="I59" s="318"/>
      <c r="J59" s="329"/>
      <c r="K59" s="324"/>
      <c r="L59" s="324"/>
      <c r="M59" s="324"/>
    </row>
    <row r="60" spans="1:13">
      <c r="A60" s="330"/>
      <c r="B60" s="330"/>
      <c r="C60" s="330" t="s">
        <v>12426</v>
      </c>
      <c r="D60" s="330" t="s">
        <v>2244</v>
      </c>
      <c r="E60" s="222" t="s">
        <v>12468</v>
      </c>
      <c r="F60" s="324" t="s">
        <v>12426</v>
      </c>
      <c r="G60" s="318"/>
      <c r="H60" s="318"/>
      <c r="I60" s="318"/>
      <c r="J60" s="329"/>
      <c r="K60" s="324"/>
      <c r="L60" s="324"/>
      <c r="M60" s="324"/>
    </row>
    <row r="61" spans="1:13">
      <c r="A61" s="330"/>
      <c r="B61" s="330"/>
      <c r="C61" s="330" t="s">
        <v>12426</v>
      </c>
      <c r="D61" s="330" t="s">
        <v>2244</v>
      </c>
      <c r="E61" s="222" t="s">
        <v>12469</v>
      </c>
      <c r="F61" s="324" t="s">
        <v>12426</v>
      </c>
      <c r="G61" s="318"/>
      <c r="H61" s="318"/>
      <c r="I61" s="318"/>
      <c r="J61" s="329"/>
      <c r="K61" s="324"/>
      <c r="L61" s="324"/>
      <c r="M61" s="324"/>
    </row>
    <row r="62" spans="1:13">
      <c r="A62" s="330"/>
      <c r="B62" s="330"/>
      <c r="C62" s="330" t="s">
        <v>12426</v>
      </c>
      <c r="D62" s="330" t="s">
        <v>2244</v>
      </c>
      <c r="E62" s="222" t="s">
        <v>12470</v>
      </c>
      <c r="F62" s="324" t="s">
        <v>12426</v>
      </c>
      <c r="G62" s="318"/>
      <c r="H62" s="318"/>
      <c r="I62" s="318"/>
      <c r="J62" s="329"/>
      <c r="K62" s="324"/>
      <c r="L62" s="324"/>
      <c r="M62" s="324"/>
    </row>
    <row r="63" spans="1:13">
      <c r="A63" s="330"/>
      <c r="B63" s="330"/>
      <c r="C63" s="330" t="s">
        <v>12426</v>
      </c>
      <c r="D63" s="330" t="s">
        <v>2244</v>
      </c>
      <c r="E63" s="222" t="s">
        <v>12471</v>
      </c>
      <c r="F63" s="324" t="s">
        <v>12426</v>
      </c>
      <c r="G63" s="318"/>
      <c r="H63" s="318"/>
      <c r="I63" s="318"/>
      <c r="J63" s="329"/>
      <c r="K63" s="324"/>
      <c r="L63" s="324"/>
      <c r="M63" s="324"/>
    </row>
    <row r="64" spans="1:13">
      <c r="A64" s="330"/>
      <c r="B64" s="330"/>
      <c r="C64" s="330" t="s">
        <v>12426</v>
      </c>
      <c r="D64" s="330" t="s">
        <v>2244</v>
      </c>
      <c r="E64" s="318" t="s">
        <v>12472</v>
      </c>
      <c r="F64" s="324" t="s">
        <v>12426</v>
      </c>
      <c r="G64" s="318"/>
      <c r="H64" s="318"/>
      <c r="I64" s="318"/>
      <c r="J64" s="329"/>
      <c r="K64" s="324"/>
      <c r="L64" s="324"/>
      <c r="M64" s="324"/>
    </row>
    <row r="65" spans="1:13">
      <c r="A65" s="330"/>
      <c r="B65" s="330"/>
      <c r="C65" s="330" t="s">
        <v>12426</v>
      </c>
      <c r="D65" s="330" t="s">
        <v>2244</v>
      </c>
      <c r="E65" s="318" t="s">
        <v>12473</v>
      </c>
      <c r="F65" s="324" t="s">
        <v>12426</v>
      </c>
      <c r="G65" s="318"/>
      <c r="H65" s="318"/>
      <c r="I65" s="318"/>
      <c r="J65" s="329"/>
      <c r="K65" s="324"/>
      <c r="L65" s="324"/>
      <c r="M65" s="324"/>
    </row>
    <row r="66" spans="1:13">
      <c r="A66" s="330"/>
      <c r="B66" s="330"/>
      <c r="C66" s="330" t="s">
        <v>12426</v>
      </c>
      <c r="D66" s="330" t="s">
        <v>2244</v>
      </c>
      <c r="E66" s="318" t="s">
        <v>12474</v>
      </c>
      <c r="F66" s="324" t="s">
        <v>12426</v>
      </c>
      <c r="G66" s="318"/>
      <c r="H66" s="318"/>
      <c r="I66" s="318"/>
      <c r="J66" s="329"/>
      <c r="K66" s="324"/>
      <c r="L66" s="324"/>
      <c r="M66" s="324"/>
    </row>
    <row r="67" spans="1:13">
      <c r="A67" s="330"/>
      <c r="B67" s="330"/>
      <c r="C67" s="324"/>
      <c r="D67" s="330"/>
      <c r="E67" s="324"/>
      <c r="F67" s="324"/>
      <c r="G67" s="318"/>
      <c r="H67" s="318"/>
      <c r="I67" s="318"/>
      <c r="J67" s="329"/>
      <c r="K67" s="324"/>
      <c r="L67" s="324"/>
      <c r="M67" s="324"/>
    </row>
    <row r="68" spans="1:13">
      <c r="A68" s="330"/>
      <c r="B68" s="330"/>
      <c r="C68" s="324"/>
      <c r="D68" s="330"/>
      <c r="E68" s="324"/>
      <c r="F68" s="324"/>
      <c r="G68" s="318"/>
      <c r="H68" s="318"/>
      <c r="I68" s="318"/>
      <c r="J68" s="329"/>
      <c r="K68" s="324"/>
      <c r="L68" s="324"/>
      <c r="M68" s="324"/>
    </row>
    <row r="69" spans="1:13">
      <c r="A69" s="330"/>
      <c r="B69" s="330"/>
      <c r="C69" s="324"/>
      <c r="D69" s="330"/>
      <c r="E69" s="324"/>
      <c r="F69" s="324"/>
      <c r="G69" s="318"/>
      <c r="H69" s="318"/>
      <c r="I69" s="318"/>
      <c r="J69" s="329"/>
      <c r="K69" s="324"/>
      <c r="L69" s="324"/>
      <c r="M69" s="324"/>
    </row>
    <row r="70" spans="1:13">
      <c r="A70" s="330"/>
      <c r="B70" s="330"/>
      <c r="C70" s="324"/>
      <c r="D70" s="330"/>
      <c r="E70" s="324"/>
      <c r="F70" s="324"/>
      <c r="G70" s="318"/>
      <c r="H70" s="318"/>
      <c r="I70" s="318"/>
      <c r="J70" s="329"/>
      <c r="K70" s="324"/>
      <c r="L70" s="324"/>
      <c r="M70" s="324"/>
    </row>
    <row r="71" spans="1:13">
      <c r="A71" s="330"/>
      <c r="B71" s="330"/>
      <c r="C71" s="324"/>
      <c r="D71" s="330"/>
      <c r="E71" s="324"/>
      <c r="F71" s="324"/>
      <c r="G71" s="318"/>
      <c r="H71" s="318"/>
      <c r="I71" s="318"/>
      <c r="J71" s="329"/>
      <c r="K71" s="324"/>
      <c r="L71" s="324"/>
      <c r="M71" s="324"/>
    </row>
    <row r="72" spans="1:13">
      <c r="A72" s="330"/>
      <c r="B72" s="330"/>
      <c r="C72" s="324"/>
      <c r="D72" s="330"/>
      <c r="E72" s="324"/>
      <c r="F72" s="324"/>
      <c r="G72" s="318"/>
      <c r="H72" s="318"/>
      <c r="I72" s="318"/>
      <c r="J72" s="329"/>
      <c r="K72" s="324"/>
      <c r="L72" s="324"/>
      <c r="M72" s="324"/>
    </row>
    <row r="73" spans="1:13">
      <c r="A73" s="330"/>
      <c r="B73" s="330"/>
      <c r="C73" s="324"/>
      <c r="D73" s="330"/>
      <c r="E73" s="324"/>
      <c r="F73" s="324"/>
      <c r="G73" s="318"/>
      <c r="H73" s="318"/>
      <c r="I73" s="318"/>
      <c r="J73" s="329"/>
      <c r="K73" s="324"/>
      <c r="L73" s="324"/>
      <c r="M73" s="324"/>
    </row>
    <row r="74" spans="1:13">
      <c r="A74" s="330"/>
      <c r="B74" s="330"/>
      <c r="C74" s="324"/>
      <c r="D74" s="330"/>
      <c r="E74" s="324"/>
      <c r="F74" s="324"/>
      <c r="G74" s="318"/>
      <c r="H74" s="318"/>
      <c r="I74" s="318"/>
      <c r="J74" s="329"/>
      <c r="K74" s="324"/>
      <c r="L74" s="324"/>
      <c r="M74" s="324"/>
    </row>
    <row r="75" spans="1:13">
      <c r="A75" s="330"/>
      <c r="B75" s="330"/>
      <c r="C75" s="324"/>
      <c r="D75" s="330"/>
      <c r="E75" s="324"/>
      <c r="F75" s="324"/>
      <c r="G75" s="318"/>
      <c r="H75" s="318"/>
      <c r="I75" s="318"/>
      <c r="J75" s="329"/>
      <c r="K75" s="324"/>
      <c r="L75" s="324"/>
      <c r="M75" s="324"/>
    </row>
    <row r="76" spans="1:13">
      <c r="A76" s="330"/>
      <c r="B76" s="330"/>
      <c r="C76" s="324"/>
      <c r="D76" s="330"/>
      <c r="E76" s="324"/>
      <c r="F76" s="324"/>
      <c r="G76" s="318"/>
      <c r="H76" s="318"/>
      <c r="I76" s="318"/>
      <c r="J76" s="329"/>
      <c r="K76" s="324"/>
      <c r="L76" s="324"/>
      <c r="M76" s="324"/>
    </row>
    <row r="77" spans="1:13">
      <c r="A77" s="330"/>
      <c r="B77" s="330"/>
      <c r="C77" s="324"/>
      <c r="D77" s="330"/>
      <c r="E77" s="324"/>
      <c r="F77" s="324"/>
      <c r="G77" s="318"/>
      <c r="H77" s="318"/>
      <c r="I77" s="318"/>
      <c r="J77" s="329"/>
      <c r="K77" s="324"/>
      <c r="L77" s="324"/>
      <c r="M77" s="324"/>
    </row>
    <row r="78" spans="1:13">
      <c r="A78" s="330"/>
      <c r="B78" s="330"/>
      <c r="C78" s="324"/>
      <c r="D78" s="330"/>
      <c r="E78" s="324"/>
      <c r="F78" s="324"/>
      <c r="G78" s="318"/>
      <c r="H78" s="318"/>
      <c r="I78" s="318"/>
      <c r="J78" s="329"/>
      <c r="K78" s="324"/>
      <c r="L78" s="324"/>
      <c r="M78" s="324"/>
    </row>
    <row r="79" spans="1:13">
      <c r="A79" s="330"/>
      <c r="B79" s="330"/>
      <c r="C79" s="324"/>
      <c r="D79" s="330"/>
      <c r="E79" s="324"/>
      <c r="F79" s="324"/>
      <c r="G79" s="318"/>
      <c r="H79" s="318"/>
      <c r="I79" s="318"/>
      <c r="J79" s="329"/>
      <c r="K79" s="324"/>
      <c r="L79" s="324"/>
      <c r="M79" s="324"/>
    </row>
    <row r="80" spans="1:13">
      <c r="A80" s="330"/>
      <c r="B80" s="330"/>
      <c r="C80" s="324"/>
      <c r="D80" s="330"/>
      <c r="E80" s="324"/>
      <c r="F80" s="324"/>
      <c r="G80" s="318"/>
      <c r="H80" s="318"/>
      <c r="I80" s="318"/>
      <c r="J80" s="329"/>
      <c r="K80" s="324"/>
      <c r="L80" s="324"/>
      <c r="M80" s="324"/>
    </row>
    <row r="81" spans="1:13">
      <c r="A81" s="330"/>
      <c r="B81" s="330"/>
      <c r="C81" s="324"/>
      <c r="D81" s="330"/>
      <c r="E81" s="324"/>
      <c r="F81" s="324"/>
      <c r="G81" s="318"/>
      <c r="H81" s="318"/>
      <c r="I81" s="318"/>
      <c r="J81" s="329"/>
      <c r="K81" s="324"/>
      <c r="L81" s="324"/>
      <c r="M81" s="324"/>
    </row>
    <row r="82" spans="1:13">
      <c r="A82" s="330"/>
      <c r="B82" s="330"/>
      <c r="C82" s="324"/>
      <c r="D82" s="330"/>
      <c r="E82" s="324"/>
      <c r="F82" s="324"/>
      <c r="G82" s="318"/>
      <c r="H82" s="318"/>
      <c r="I82" s="318"/>
      <c r="J82" s="329"/>
      <c r="K82" s="324"/>
      <c r="L82" s="324"/>
      <c r="M82" s="324"/>
    </row>
    <row r="83" spans="1:13">
      <c r="A83" s="330"/>
      <c r="B83" s="330"/>
      <c r="C83" s="324"/>
      <c r="D83" s="330"/>
      <c r="E83" s="324"/>
      <c r="F83" s="324"/>
      <c r="G83" s="318"/>
      <c r="H83" s="318"/>
      <c r="I83" s="318"/>
      <c r="J83" s="329"/>
      <c r="K83" s="324"/>
      <c r="L83" s="324"/>
      <c r="M83" s="324"/>
    </row>
    <row r="84" spans="1:13">
      <c r="A84" s="330"/>
      <c r="B84" s="330"/>
      <c r="C84" s="324"/>
      <c r="D84" s="330"/>
      <c r="E84" s="324"/>
      <c r="F84" s="324"/>
      <c r="G84" s="318"/>
      <c r="H84" s="318"/>
      <c r="I84" s="318"/>
      <c r="J84" s="329"/>
      <c r="K84" s="324"/>
      <c r="L84" s="324"/>
      <c r="M84" s="324"/>
    </row>
    <row r="85" spans="1:13">
      <c r="A85" s="330"/>
      <c r="B85" s="330"/>
      <c r="C85" s="324"/>
      <c r="D85" s="330"/>
      <c r="E85" s="324"/>
      <c r="F85" s="324"/>
      <c r="G85" s="318"/>
      <c r="H85" s="318"/>
      <c r="I85" s="318"/>
      <c r="J85" s="329"/>
      <c r="K85" s="324"/>
      <c r="L85" s="324"/>
      <c r="M85" s="324"/>
    </row>
    <row r="86" spans="1:13">
      <c r="A86" s="330"/>
      <c r="B86" s="330"/>
      <c r="C86" s="324"/>
      <c r="D86" s="330"/>
      <c r="E86" s="324"/>
      <c r="F86" s="324"/>
      <c r="G86" s="318"/>
      <c r="H86" s="318"/>
      <c r="I86" s="318"/>
      <c r="J86" s="329"/>
      <c r="K86" s="324"/>
      <c r="L86" s="324"/>
      <c r="M86" s="324"/>
    </row>
    <row r="87" spans="1:13">
      <c r="A87" s="330"/>
      <c r="B87" s="330"/>
      <c r="C87" s="324"/>
      <c r="D87" s="330"/>
      <c r="E87" s="324"/>
      <c r="F87" s="324"/>
      <c r="G87" s="318"/>
      <c r="H87" s="318"/>
      <c r="I87" s="318"/>
      <c r="J87" s="329"/>
      <c r="K87" s="324"/>
      <c r="L87" s="324"/>
      <c r="M87" s="324"/>
    </row>
    <row r="88" spans="1:13">
      <c r="A88" s="330"/>
      <c r="B88" s="330"/>
      <c r="C88" s="324"/>
      <c r="D88" s="330"/>
      <c r="E88" s="324"/>
      <c r="F88" s="324"/>
      <c r="G88" s="318"/>
      <c r="H88" s="318"/>
      <c r="I88" s="318"/>
      <c r="J88" s="329"/>
      <c r="K88" s="324"/>
      <c r="L88" s="324"/>
      <c r="M88" s="324"/>
    </row>
    <row r="89" spans="1:13">
      <c r="A89" s="330"/>
      <c r="B89" s="330"/>
      <c r="C89" s="324"/>
      <c r="D89" s="330"/>
      <c r="E89" s="324"/>
      <c r="F89" s="324"/>
      <c r="G89" s="318"/>
      <c r="H89" s="318"/>
      <c r="I89" s="318"/>
      <c r="J89" s="329"/>
      <c r="K89" s="324"/>
      <c r="L89" s="324"/>
      <c r="M89" s="324"/>
    </row>
    <row r="90" spans="1:13">
      <c r="A90" s="330"/>
      <c r="B90" s="330"/>
      <c r="C90" s="324"/>
      <c r="D90" s="330"/>
      <c r="E90" s="324"/>
      <c r="F90" s="324"/>
      <c r="G90" s="318"/>
      <c r="H90" s="318"/>
      <c r="I90" s="318"/>
      <c r="J90" s="329"/>
      <c r="K90" s="324"/>
      <c r="L90" s="324"/>
      <c r="M90" s="324"/>
    </row>
    <row r="91" spans="1:13">
      <c r="A91" s="330"/>
      <c r="B91" s="330"/>
      <c r="C91" s="324"/>
      <c r="D91" s="330"/>
      <c r="E91" s="324"/>
      <c r="F91" s="324"/>
      <c r="G91" s="318"/>
      <c r="H91" s="318"/>
      <c r="I91" s="318"/>
      <c r="J91" s="329"/>
      <c r="K91" s="324"/>
      <c r="L91" s="324"/>
      <c r="M91" s="324"/>
    </row>
    <row r="92" spans="1:13">
      <c r="A92" s="330"/>
      <c r="B92" s="330"/>
      <c r="C92" s="324"/>
      <c r="D92" s="330"/>
      <c r="E92" s="324"/>
      <c r="F92" s="324"/>
      <c r="G92" s="318"/>
      <c r="H92" s="318"/>
      <c r="I92" s="318"/>
      <c r="J92" s="329"/>
      <c r="K92" s="324"/>
      <c r="L92" s="324"/>
      <c r="M92" s="324"/>
    </row>
    <row r="93" spans="1:13">
      <c r="A93" s="330"/>
      <c r="B93" s="330"/>
      <c r="C93" s="324"/>
      <c r="D93" s="330"/>
      <c r="E93" s="324"/>
      <c r="F93" s="324"/>
      <c r="G93" s="318"/>
      <c r="H93" s="318"/>
      <c r="I93" s="318"/>
      <c r="J93" s="329"/>
      <c r="K93" s="324"/>
      <c r="L93" s="324"/>
      <c r="M93" s="324"/>
    </row>
    <row r="94" spans="1:13">
      <c r="A94" s="330"/>
      <c r="B94" s="330"/>
      <c r="C94" s="324"/>
      <c r="D94" s="330"/>
      <c r="E94" s="324"/>
      <c r="F94" s="324"/>
      <c r="G94" s="318"/>
      <c r="H94" s="318"/>
      <c r="I94" s="318"/>
      <c r="J94" s="329"/>
      <c r="K94" s="324"/>
      <c r="L94" s="324"/>
      <c r="M94" s="324"/>
    </row>
    <row r="95" spans="1:13">
      <c r="A95" s="330"/>
      <c r="B95" s="330"/>
      <c r="C95" s="324"/>
      <c r="D95" s="330"/>
      <c r="E95" s="324"/>
      <c r="F95" s="324"/>
      <c r="G95" s="318"/>
      <c r="H95" s="318"/>
      <c r="I95" s="318"/>
      <c r="J95" s="329"/>
      <c r="K95" s="324"/>
      <c r="L95" s="324"/>
      <c r="M95" s="324"/>
    </row>
    <row r="96" spans="1:13">
      <c r="A96" s="330"/>
      <c r="B96" s="330"/>
      <c r="C96" s="324"/>
      <c r="D96" s="330"/>
      <c r="E96" s="324"/>
      <c r="F96" s="324"/>
      <c r="G96" s="318"/>
      <c r="H96" s="318"/>
      <c r="I96" s="318"/>
      <c r="J96" s="329"/>
      <c r="K96" s="324"/>
      <c r="L96" s="324"/>
      <c r="M96" s="324"/>
    </row>
    <row r="97" spans="1:13">
      <c r="A97" s="330"/>
      <c r="B97" s="330"/>
      <c r="C97" s="324"/>
      <c r="D97" s="330"/>
      <c r="E97" s="324"/>
      <c r="F97" s="324"/>
      <c r="G97" s="318"/>
      <c r="H97" s="318"/>
      <c r="I97" s="318"/>
      <c r="J97" s="329"/>
      <c r="K97" s="324"/>
      <c r="L97" s="324"/>
      <c r="M97" s="324"/>
    </row>
    <row r="98" spans="1:13">
      <c r="A98" s="330"/>
      <c r="B98" s="330"/>
      <c r="C98" s="324"/>
      <c r="D98" s="330"/>
      <c r="E98" s="324"/>
      <c r="F98" s="324"/>
      <c r="G98" s="318"/>
      <c r="H98" s="318"/>
      <c r="I98" s="318"/>
      <c r="J98" s="329"/>
      <c r="K98" s="324"/>
      <c r="L98" s="324"/>
      <c r="M98" s="324"/>
    </row>
    <row r="99" spans="1:13">
      <c r="A99" s="330"/>
      <c r="B99" s="330"/>
      <c r="C99" s="324"/>
      <c r="D99" s="330"/>
      <c r="E99" s="324"/>
      <c r="F99" s="324"/>
      <c r="G99" s="318"/>
      <c r="H99" s="318"/>
      <c r="I99" s="318"/>
      <c r="J99" s="329"/>
      <c r="K99" s="324"/>
      <c r="L99" s="324"/>
      <c r="M99" s="324"/>
    </row>
    <row r="100" spans="1:13">
      <c r="A100" s="330"/>
      <c r="B100" s="330"/>
      <c r="C100" s="324"/>
      <c r="D100" s="330"/>
      <c r="E100" s="324"/>
      <c r="F100" s="324"/>
      <c r="G100" s="318"/>
      <c r="H100" s="318"/>
      <c r="I100" s="318"/>
      <c r="J100" s="329"/>
      <c r="K100" s="324"/>
      <c r="L100" s="324"/>
      <c r="M100" s="324"/>
    </row>
  </sheetData>
  <mergeCells count="8">
    <mergeCell ref="G2:I2"/>
    <mergeCell ref="A1:F1"/>
    <mergeCell ref="A2:A3"/>
    <mergeCell ref="B2:B3"/>
    <mergeCell ref="C2:C3"/>
    <mergeCell ref="D2:D3"/>
    <mergeCell ref="E2:E3"/>
    <mergeCell ref="F2:F3"/>
  </mergeCells>
  <hyperlinks>
    <hyperlink ref="E2" r:id="rId1" xr:uid="{00000000-0004-0000-33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21</vt:i4>
      </vt:variant>
    </vt:vector>
  </HeadingPairs>
  <TitlesOfParts>
    <vt:vector size="21" baseType="lpstr">
      <vt:lpstr>GC maDMP Master Sheet</vt:lpstr>
      <vt:lpstr>Changes made to Orange Tab</vt:lpstr>
      <vt:lpstr>Currency codes</vt:lpstr>
      <vt:lpstr>UNESCO endangered languages</vt:lpstr>
      <vt:lpstr>2. Approvals</vt:lpstr>
      <vt:lpstr>4. People</vt:lpstr>
      <vt:lpstr>5a. Resources</vt:lpstr>
      <vt:lpstr>5b. Computing Environment</vt:lpstr>
      <vt:lpstr>6a. Funding</vt:lpstr>
      <vt:lpstr>6b. Costs</vt:lpstr>
      <vt:lpstr>7a. LegalEthical</vt:lpstr>
      <vt:lpstr>7b. Indigenous</vt:lpstr>
      <vt:lpstr>7c. SecurityPrivacy</vt:lpstr>
      <vt:lpstr>7d. Intellectual Property</vt:lpstr>
      <vt:lpstr>7e. License</vt:lpstr>
      <vt:lpstr>8. Metadata Standards</vt:lpstr>
      <vt:lpstr>9. Dataset</vt:lpstr>
      <vt:lpstr>10. Distributions</vt:lpstr>
      <vt:lpstr>11. Hosts</vt:lpstr>
      <vt:lpstr>12. Dispositions</vt:lpstr>
      <vt:lpstr>GC additions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Charles,Dominique (she, her | elle) (ECCC)</dc:creator>
  <cp:lastModifiedBy>Charles,Dominique (she, her | elle) (ECCC)</cp:lastModifiedBy>
  <dcterms:modified xsi:type="dcterms:W3CDTF">2026-05-04T22:18:41Z</dcterms:modified>
</cp:coreProperties>
</file>